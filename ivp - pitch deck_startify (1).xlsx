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VP amount sanctioned" sheetId="1" r:id="rId4"/>
    <sheet state="visible" name=" ivp" sheetId="2" r:id="rId5"/>
    <sheet state="visible" name="startify3.0" sheetId="3" r:id="rId6"/>
    <sheet state="visible" name="Sheet2" sheetId="4" r:id="rId7"/>
    <sheet state="visible" name="review schedule" sheetId="5" r:id="rId8"/>
    <sheet state="visible" name="all funds -1926" sheetId="6" r:id="rId9"/>
    <sheet state="visible" name="ivp - problem statement" sheetId="7" r:id="rId10"/>
  </sheets>
  <definedNames>
    <definedName hidden="1" localSheetId="1" name="_xlnm._FilterDatabase">' ivp'!$A$1:$U$179</definedName>
    <definedName hidden="1" localSheetId="2" name="_xlnm._FilterDatabase">startify3.0!$A$1:$N$225</definedName>
    <definedName hidden="1" localSheetId="4" name="_xlnm._FilterDatabase">'review schedule'!$A$1:$K$145</definedName>
    <definedName hidden="1" localSheetId="6" name="_xlnm._FilterDatabase">'ivp - problem statement'!$A$1:$U$1111</definedName>
    <definedName hidden="1" localSheetId="6" name="Z_5E5A1074_1036_4B66_89EC_3D40ACE4342C_.wvu.FilterData">'ivp - problem statement'!$A$1:$U$1111</definedName>
  </definedNames>
  <calcPr/>
  <customWorkbookViews>
    <customWorkbookView activeSheetId="0" maximized="1" windowHeight="0" windowWidth="0" guid="{5E5A1074-1036-4B66-89EC-3D40ACE4342C}" name="Filter 1"/>
  </customWorkbookViews>
  <extLst>
    <ext uri="GoogleSheetsCustomDataVersion2">
      <go:sheetsCustomData xmlns:go="http://customooxmlschemas.google.com/" r:id="rId11" roundtripDataChecksum="UuKYstSS6/dHdtqzIW7Jas42QJTIj6oB5cckY6rePfk="/>
    </ext>
  </extLst>
</workbook>
</file>

<file path=xl/sharedStrings.xml><?xml version="1.0" encoding="utf-8"?>
<sst xmlns="http://schemas.openxmlformats.org/spreadsheetml/2006/main" count="5930" uniqueCount="2020">
  <si>
    <t xml:space="preserve"> Name</t>
  </si>
  <si>
    <t>EMAIL</t>
  </si>
  <si>
    <t>PASSWORD</t>
  </si>
  <si>
    <t xml:space="preserve">                                                                        </t>
  </si>
  <si>
    <t>grant status</t>
  </si>
  <si>
    <t>COMPLETED</t>
  </si>
  <si>
    <t>schedule date</t>
  </si>
  <si>
    <t>Column 8</t>
  </si>
  <si>
    <t>phone no.</t>
  </si>
  <si>
    <t>team size</t>
  </si>
  <si>
    <t xml:space="preserve">Start up incubated </t>
  </si>
  <si>
    <t>Start up Registered</t>
  </si>
  <si>
    <t>women beneficiaries</t>
  </si>
  <si>
    <t xml:space="preserve">tier </t>
  </si>
  <si>
    <t>address</t>
  </si>
  <si>
    <t>gender</t>
  </si>
  <si>
    <t>caste</t>
  </si>
  <si>
    <t>cross verfy start sno.</t>
  </si>
  <si>
    <t>preinc ; whatsapp group</t>
  </si>
  <si>
    <t xml:space="preserve">prototyping ; whatsapp group </t>
  </si>
  <si>
    <t>Team ID</t>
  </si>
  <si>
    <t>TEAM ID</t>
  </si>
  <si>
    <t>Primary Contact Name</t>
  </si>
  <si>
    <t xml:space="preserve">pitch deck file </t>
  </si>
  <si>
    <t>Primary contact no.</t>
  </si>
  <si>
    <t>Total amount</t>
  </si>
  <si>
    <t>Primary Email.</t>
  </si>
  <si>
    <t>sanjeev / ashwin jk</t>
  </si>
  <si>
    <t>Please upload your Pitch presentation</t>
  </si>
  <si>
    <t>misdautomation@gmail.com</t>
  </si>
  <si>
    <t>S.NO</t>
  </si>
  <si>
    <t>25-26</t>
  </si>
  <si>
    <t>IVP Selected</t>
  </si>
  <si>
    <t>30.06.26 ( Old )</t>
  </si>
  <si>
    <t>2 founder</t>
  </si>
  <si>
    <t>NAME</t>
  </si>
  <si>
    <t>`</t>
  </si>
  <si>
    <t>pre</t>
  </si>
  <si>
    <t>Grant</t>
  </si>
  <si>
    <t>College name</t>
  </si>
  <si>
    <t>CEDAU-04</t>
  </si>
  <si>
    <t>RESHMA C H</t>
  </si>
  <si>
    <t>SC-n4aonf</t>
  </si>
  <si>
    <t xml:space="preserve">Linkedin </t>
  </si>
  <si>
    <t>https://docs.google.com/presentation/d/11pbQZHDGUguVuSuwEOLjm3MfecqFhYTM/edit?usp=sharing&amp;ouid=104277249549708518105&amp;rtpof=true&amp;sd=true</t>
  </si>
  <si>
    <t>Status Date</t>
  </si>
  <si>
    <t>colege linkedin</t>
  </si>
  <si>
    <t>Status</t>
  </si>
  <si>
    <t>Domain</t>
  </si>
  <si>
    <t>Aathavan valanarasu</t>
  </si>
  <si>
    <t>ivp sno.</t>
  </si>
  <si>
    <t>PHNO.</t>
  </si>
  <si>
    <t>TEAMID</t>
  </si>
  <si>
    <t>binureshma110@gmail.com</t>
  </si>
  <si>
    <t>pitch manual</t>
  </si>
  <si>
    <t>pitch sub form</t>
  </si>
  <si>
    <t>https://drive.google.com/open?id=1Ntxw63M7DcsoxOIi704XmNM8A5r7ezz0</t>
  </si>
  <si>
    <t>work</t>
  </si>
  <si>
    <t>Shakthi Prashanth G</t>
  </si>
  <si>
    <t>SC-rea6ge</t>
  </si>
  <si>
    <t>in whatsapp group</t>
  </si>
  <si>
    <t>https://drive.google.com/file/d/1icj55HRkpEE6D2YhMiuNvMZMm4qS83lU/view?usp=sharing</t>
  </si>
  <si>
    <t>remarks</t>
  </si>
  <si>
    <t>not selected</t>
  </si>
  <si>
    <t>14.11.25</t>
  </si>
  <si>
    <t>https://www.linkedin.com/in/aathavanvalan1/overlay/about-this-profile/?lipi=urn%3Ali%3Apage%3Ad_flagship3_profile_view_base%3BriTF2OrHS4OJ7A6z6xWIuQ%3D%3D</t>
  </si>
  <si>
    <t>College of Engineering Guindy</t>
  </si>
  <si>
    <t>Selected for Finals</t>
  </si>
  <si>
    <t>yes</t>
  </si>
  <si>
    <t>cedau-02</t>
  </si>
  <si>
    <t>https://drive.google.com/file/d/1nMe76mTFPVo5XOKaU2FZJ_icdnBYZdPt/view?usp=sharing</t>
  </si>
  <si>
    <t>Deep-Tech</t>
  </si>
  <si>
    <t>https://www.linkedin.com/school/st.-joseph%27s-college-of-engineering/</t>
  </si>
  <si>
    <t>CEDAU-08</t>
  </si>
  <si>
    <t>VISHNU PRASANNA DEVARAJAN</t>
  </si>
  <si>
    <t>Kota Nageshwar</t>
  </si>
  <si>
    <t>vishnuprasanna.dl@gmail.com</t>
  </si>
  <si>
    <t>abikns@gmail.com</t>
  </si>
  <si>
    <t>https://drive.google.com/open?id=16s3ed2pzozhPf-uAvWKXGMnci6USeI9O</t>
  </si>
  <si>
    <t>Abikns@12</t>
  </si>
  <si>
    <t>SC-591xv</t>
  </si>
  <si>
    <t>30.01.26</t>
  </si>
  <si>
    <t xml:space="preserve">DEEPIKA </t>
  </si>
  <si>
    <t>SC-qtithv</t>
  </si>
  <si>
    <t>https://drive.google.com/file/d/1OUSJwH2xDGJqMtzE109n35wkSSxf7pE8/view?usp=sharing</t>
  </si>
  <si>
    <t>1 Founder</t>
  </si>
  <si>
    <t>private</t>
  </si>
  <si>
    <t>Tier 1</t>
  </si>
  <si>
    <t>6/31, G-2 raghas flats postal colony 2nd street, west mambalam, chennai -33</t>
  </si>
  <si>
    <t>Male</t>
  </si>
  <si>
    <t>GENERAL</t>
  </si>
  <si>
    <t>preinc</t>
  </si>
  <si>
    <t>CEDAU-07</t>
  </si>
  <si>
    <t>https://drive.google.com/file/d/1n3xy0kOxO2Yp2Z-7V4fJMq_x4C118BzN/view?usp=sharing</t>
  </si>
  <si>
    <t>https://www.linkedin.com/in/deepika-harigovindan-8974a7315/</t>
  </si>
  <si>
    <t>St. Joseph's College of Engineering , OMR, Chennai.</t>
  </si>
  <si>
    <t>https://www.linkedin.com/school/sri-sairam-homoeopathy-medical-college-inst.-code---209-chennai/about/</t>
  </si>
  <si>
    <t>Reshma Ch</t>
  </si>
  <si>
    <t>Binureshma@110</t>
  </si>
  <si>
    <t>GP-1bjcbo</t>
  </si>
  <si>
    <t>12.01.26</t>
  </si>
  <si>
    <t>Saravanan K</t>
  </si>
  <si>
    <t>SC-1ewg7k</t>
  </si>
  <si>
    <t>vijaykrishna</t>
  </si>
  <si>
    <t>26 B Sivakami Nagar Korattur Chennai 600076</t>
  </si>
  <si>
    <t>saravanankrish@annauniv.edu</t>
  </si>
  <si>
    <t>Female</t>
  </si>
  <si>
    <t>https://drive.google.com/open?id=1b5MrpNXt1nMVPylbe9wylHSNXuDk8qDu</t>
  </si>
  <si>
    <t>SC-9e48xs</t>
  </si>
  <si>
    <t>called</t>
  </si>
  <si>
    <t>https://docs.google.com/presentation/d/1Ntxw63M7DcsoxOIi704XmNM8A5r7ezz0/edit?usp=sharing&amp;ouid=104277249549708518105&amp;rtpof=true&amp;sd=true</t>
  </si>
  <si>
    <t>https://docs.google.com/presentation/d/1RcoSCW7AzUCA6qeqWWS2U1sE5cu9pSk6/edit?usp=sharing&amp;ouid=104277249549708518105&amp;rtpof=true&amp;sd=true</t>
  </si>
  <si>
    <t>exams</t>
  </si>
  <si>
    <t>https://www.linkedin.com/in/vijay-krishna-s/</t>
  </si>
  <si>
    <t>Ed-Tech</t>
  </si>
  <si>
    <t>Gokkul M</t>
  </si>
  <si>
    <t>https://www.linkedin.com/school/college-of-engineering-guindy/posts/?feedView=all</t>
  </si>
  <si>
    <t>GP-zvvwzi</t>
  </si>
  <si>
    <t>mrgokkul@gmail.com</t>
  </si>
  <si>
    <t>Dr.P.Ganesh Kumar</t>
  </si>
  <si>
    <t>drganesh30@gmail.com</t>
  </si>
  <si>
    <t>https://drive.google.com/open?id=1RaSKcvZtyuFxCyemLEnoqYmV2Y58scdO</t>
  </si>
  <si>
    <t>Gokkul21341.</t>
  </si>
  <si>
    <t>13.02.26</t>
  </si>
  <si>
    <t>prempradeep S</t>
  </si>
  <si>
    <t>no</t>
  </si>
  <si>
    <t>SC-b4jkfxa</t>
  </si>
  <si>
    <t>https://drive.google.com/file/d/1VorSWnUlyM-hZbEwKD3-ydU3amct_rNZ/view?usp=sharing</t>
  </si>
  <si>
    <t>Tier 2</t>
  </si>
  <si>
    <t>2/93-2 Melachithram street, kattuparamakudi taluk, paramakudi, ramanathapuram 623707</t>
  </si>
  <si>
    <t>OBC</t>
  </si>
  <si>
    <t>University College of Engineering, Thirukkuvalai</t>
  </si>
  <si>
    <t>cedau-05</t>
  </si>
  <si>
    <t>https://drive.google.com/file/d/1p4i1zajYvfSaNqnNbQ1cEiLOuEYvjDSJ/view?usp=sharing</t>
  </si>
  <si>
    <t>https://www.linkedin.com/in/prem-pradeep-s</t>
  </si>
  <si>
    <t>PX-875q6</t>
  </si>
  <si>
    <t>vetriprasath V</t>
  </si>
  <si>
    <t>Space-Tech</t>
  </si>
  <si>
    <t>https://www.linkedin.com/school/r.m.k-engineering-college/</t>
  </si>
  <si>
    <t>vetriprasath59@gmail.com</t>
  </si>
  <si>
    <t>https://drive.google.com/open?id=1kkTkDVzx7IcjWyCseEaZRkQ-xYIfc6PJ</t>
  </si>
  <si>
    <t>S varshaa</t>
  </si>
  <si>
    <t>SC-ss0phb</t>
  </si>
  <si>
    <t>Praveen Kumar R</t>
  </si>
  <si>
    <t>SC-ywojqq</t>
  </si>
  <si>
    <t>https://docs.google.com/presentation/d/1r_uJDDSgeSqdewnxUdc17ddlmhNFHjj7/edit?usp=sharing&amp;ouid=104277249549708518105&amp;rtpof=true&amp;sd=true</t>
  </si>
  <si>
    <t xml:space="preserve">2 Founders + 10 employees </t>
  </si>
  <si>
    <t>Private</t>
  </si>
  <si>
    <t>9 + 2515 other women benenficiaries</t>
  </si>
  <si>
    <t xml:space="preserve">Tier 3 </t>
  </si>
  <si>
    <t>https://www.linkedin.com/in/varshaaselva/?utm_source=share&amp;utm_campaign=share_via&amp;utm_content=profile&amp;utm_medium=ios_app</t>
  </si>
  <si>
    <t>PX-9cgwli</t>
  </si>
  <si>
    <t>cedau-19</t>
  </si>
  <si>
    <t>https://docs.google.com/presentation/d/14q8HVWXmbsPywVvXUfo8vnvagpaozDFv/edit?usp=sharing&amp;ouid=104277249549708518105&amp;rtpof=true&amp;sd=true</t>
  </si>
  <si>
    <t>Suraj</t>
  </si>
  <si>
    <t>8bix2024@gmail.com</t>
  </si>
  <si>
    <t>https://drive.google.com/open?id=1zZYNJcw9kwJdoQmeNNB9xPR9xS-vA50l</t>
  </si>
  <si>
    <t>Semmozhi Selvam S P</t>
  </si>
  <si>
    <t>semmozhiselvamsp@gmail.com</t>
  </si>
  <si>
    <t>selv@m2301</t>
  </si>
  <si>
    <t>purushothaman J</t>
  </si>
  <si>
    <t>SC-aodnso</t>
  </si>
  <si>
    <t>https://docs.google.com/presentation/d/1Jqm6_fP9FgL0YIqrGdUb-tYgGnQ5StAv/edit?usp=sharing&amp;ouid=104277249549708518105&amp;rtpof=true&amp;sd=true</t>
  </si>
  <si>
    <t>SC-8s2knl</t>
  </si>
  <si>
    <t>-</t>
  </si>
  <si>
    <t>Tier 3</t>
  </si>
  <si>
    <t xml:space="preserve">121, Agraharam street, vembanoor, Moolangudi post, manjakkudi, KUDAVASAL, THIRUVARUR , 612610
</t>
  </si>
  <si>
    <t>https://www.linkedin.com/in/purushothaman-jayavel-19b121286?utm_source=share&amp;utm_campaign=share_via&amp;utm_content=profile&amp;utm_medium=android_app</t>
  </si>
  <si>
    <t>SC-8heikl</t>
  </si>
  <si>
    <t>https://docs.google.com/presentation/d/1L7eTzNmLVNQ7B7omSBjUOMv_Fo6yEUuj/edit?usp=sharing&amp;ouid=104277249549708518105&amp;rtpof=true&amp;sd=true</t>
  </si>
  <si>
    <t>PX-xocu6</t>
  </si>
  <si>
    <t>Antanet Anusha G</t>
  </si>
  <si>
    <t>Vishnu Prasanna D</t>
  </si>
  <si>
    <t>Mepco Schlenk Engineering College</t>
  </si>
  <si>
    <t>AKSHAY KARTHIKEYAN SK</t>
  </si>
  <si>
    <t>anuthiraviam@gmail.com</t>
  </si>
  <si>
    <t>Vishnuprasanna@123</t>
  </si>
  <si>
    <t>https://drive.google.com/open?id=1GTUuQ193iH8aPr4qTGOjSh7oj8tF1aN7</t>
  </si>
  <si>
    <t>SC-2us6k</t>
  </si>
  <si>
    <t>https://drive.google.com/file/d/1iWc68HJJJgFSsLxllZe3TY45JOCKec0Z/view?usp=sharing</t>
  </si>
  <si>
    <t>AYUSH</t>
  </si>
  <si>
    <t>413, South Street, Bangalore main road, Thokkavadi, Thukkapet post, Chengam</t>
  </si>
  <si>
    <t>SC</t>
  </si>
  <si>
    <t>SC-g2rv7h</t>
  </si>
  <si>
    <t>https://docs.google.com/presentation/d/16s3ed2pzozhPf-uAvWKXGMnci6USeI9O/edit?usp=sharing&amp;ouid=104277249549708518105&amp;rtpof=true&amp;sd=true</t>
  </si>
  <si>
    <t>https://www.linkedin.com/in/akshay--sk?utm_source=share&amp;utm_campaign=share_via&amp;utm_content=profile&amp;utm_medium=ios_app</t>
  </si>
  <si>
    <t>Sakthivel S</t>
  </si>
  <si>
    <t>last checks</t>
  </si>
  <si>
    <t>iyyansoft@gmail.com</t>
  </si>
  <si>
    <t>SC-07G6MO</t>
  </si>
  <si>
    <t>Pw4IyyanSoft</t>
  </si>
  <si>
    <t>https://www.linkedin.com/school/psg-college-of-technology/</t>
  </si>
  <si>
    <t>Tharaneeshwaran A</t>
  </si>
  <si>
    <t>Chettinad College of Engineering &amp; Technology</t>
  </si>
  <si>
    <t>21.07.26</t>
  </si>
  <si>
    <t>Selected to Pre-finals</t>
  </si>
  <si>
    <t>tharaneeshwaran5555@gmail.com</t>
  </si>
  <si>
    <t>https://drive.google.com/open?id=1zH7oPcHBU2ypBkNZMJ-UzIHydcevpHCz</t>
  </si>
  <si>
    <t>SaaS</t>
  </si>
  <si>
    <t>Plot 30/2, 2nd St, Ramapuram, Officers Colony, Adambakkam, Chennai, Tamil Nadu 600088</t>
  </si>
  <si>
    <t>CEDAU-09</t>
  </si>
  <si>
    <t>https://docs.google.com/presentation/d/1PSNb4KAfoToZb3vJ3ZDzvwtjMzaZ7y4H/edit?usp=sharing&amp;ouid=104277249549708518105&amp;rtpof=true&amp;sd=true</t>
  </si>
  <si>
    <t>SC-mjkoin</t>
  </si>
  <si>
    <t>suraj(8bix)</t>
  </si>
  <si>
    <t>https://docs.google.com/presentation/d/1zZYNJcw9kwJdoQmeNNB9xPR9xS-vA50l/edit?usp=sharing&amp;ouid=104277249549708518105&amp;rtpof=true&amp;sd=true</t>
  </si>
  <si>
    <t>Thiru Kumaran Nr</t>
  </si>
  <si>
    <t>kumaranthiru346@gmail.com</t>
  </si>
  <si>
    <t>Kumaranthiru@346</t>
  </si>
  <si>
    <t>SC-1uzde</t>
  </si>
  <si>
    <t>10.03.26</t>
  </si>
  <si>
    <t>Thilagaraaj .J</t>
  </si>
  <si>
    <t>24it177@stjosephs.ac.in</t>
  </si>
  <si>
    <t>Startify Status - 1 Yet to Apply Grant, 2 Processed from CED, 3 Grant Application Submitted to Govt., 4 Grant Steering Committee Interview Scheduled, 5 Granted 6 Investor Pitching Requested</t>
  </si>
  <si>
    <t>https://drive.google.com/open?id=1h9tBZeIaTYj8Em_ZR4Zz4Hh5uaf9SDvU</t>
  </si>
  <si>
    <t>60, Queen Victoria Road, Ambal City, Poonamallee, 600056</t>
  </si>
  <si>
    <t>CEDAU-10</t>
  </si>
  <si>
    <t>College of Engineering Guindy, Anna University</t>
  </si>
  <si>
    <t>https://docs.google.com/presentation/d/1GpS3lq2AUHyhjevALarZz2JiP0aXoCf6/edit?usp=sharing&amp;ouid=104277249549708518105&amp;rtpof=true&amp;sd=true</t>
  </si>
  <si>
    <t>MAaaS</t>
  </si>
  <si>
    <t>selvakumar</t>
  </si>
  <si>
    <t>CEDAU-01</t>
  </si>
  <si>
    <t>https://drive.google.com/file/d/1AFBWvei8iUFsbPvbpVzaLqXAFsFu4jvS/view</t>
  </si>
  <si>
    <t>SC-2aiz3p</t>
  </si>
  <si>
    <t>SC-ebcgyq</t>
  </si>
  <si>
    <t>Mukeshkumar M</t>
  </si>
  <si>
    <t>mukeshkumar.cse24@gmail.com</t>
  </si>
  <si>
    <t>https://drive.google.com/open?id=1UJbWZgyLzAlkh7J9SHcaH0BMVLJ5RJMx</t>
  </si>
  <si>
    <t>Ms. M.Nirmaladevi Senthilkumar</t>
  </si>
  <si>
    <t>amuchitraditionalfoods@gmail.com</t>
  </si>
  <si>
    <t>Snsurya@1</t>
  </si>
  <si>
    <t>29.07.26</t>
  </si>
  <si>
    <t>Mepco Schlenk Engineering College, Sivakasi</t>
  </si>
  <si>
    <t>saravanan</t>
  </si>
  <si>
    <t>SC-321ex</t>
  </si>
  <si>
    <t>Jayashree M</t>
  </si>
  <si>
    <t>GP-003</t>
  </si>
  <si>
    <t>https://docs.google.com/presentation/d/1b5MrpNXt1nMVPylbe9wylHSNXuDk8qDu/edit?usp=sharing&amp;ouid=104277249549708518105&amp;rtpof=true&amp;sd=true</t>
  </si>
  <si>
    <t>jayashreemad0505@gmail.com</t>
  </si>
  <si>
    <t>No - 23, Sri Ram Nagar, Kooram Gate, Kancheepuram - 631552</t>
  </si>
  <si>
    <t>https://drive.google.com/open?id=1MfHI_NNqr7AkbgYK9KOLmgUp_0weURL_</t>
  </si>
  <si>
    <t>​6379986903</t>
  </si>
  <si>
    <t>SC-1l7eqi</t>
  </si>
  <si>
    <t>CEDAU-29</t>
  </si>
  <si>
    <t>https://drive.google.com/file/d/1sFC4pPdrt2TlqHFgBbsQ0UUPSKQ--6He/view?usp=sharing</t>
  </si>
  <si>
    <t>https://www.linkedin.com/in/saravanan-krishnan-26373b5/</t>
  </si>
  <si>
    <t xml:space="preserve">called </t>
  </si>
  <si>
    <t xml:space="preserve">he </t>
  </si>
  <si>
    <t>Chettinad College of Engineering and Technology</t>
  </si>
  <si>
    <t>SC-3gcyak</t>
  </si>
  <si>
    <t>Muni Chandrasekar Reddy K</t>
  </si>
  <si>
    <t>Dr N. Vasudevan</t>
  </si>
  <si>
    <t>Agri-Tech</t>
  </si>
  <si>
    <t>kmcr2005@gmail.com</t>
  </si>
  <si>
    <t>https://drive.google.com/open?id=1uK1jvNK5uZzUPeWETKPYgSroJ5mXheZM</t>
  </si>
  <si>
    <t>nikarika ramesh</t>
  </si>
  <si>
    <t>SS-xiv9fo</t>
  </si>
  <si>
    <t>02.03.26</t>
  </si>
  <si>
    <t>https://docs.google.com/presentation/d/1UuvB8CG5hK21LYH5-VK1-ElnDGm_z_ck/edit?slide=id.p1#slide=id.p1</t>
  </si>
  <si>
    <t>SC-l7i27h</t>
  </si>
  <si>
    <t>https://www.linkedin.com/in/nikarika-ramesh-242842198/</t>
  </si>
  <si>
    <t>CEDAU-12</t>
  </si>
  <si>
    <t>https://drive.google.com/file/d/1Em_cP1ecMnwQxTbmcsLeqcczsvVaZdln/view?usp=sharing</t>
  </si>
  <si>
    <t>send pref g invite link</t>
  </si>
  <si>
    <t>Velammal institute of Technology</t>
  </si>
  <si>
    <t>SEMMOZHI SELVAM SP</t>
  </si>
  <si>
    <t>Jai Ganesh M</t>
  </si>
  <si>
    <t>https://drive.google.com/open?id=1L7eTzNmLVNQ7B7omSBjUOMv_Fo6yEUuj</t>
  </si>
  <si>
    <t>cedau-03</t>
  </si>
  <si>
    <t>https://drive.google.com/file/d/1f0KPgYZmecnbvsrtUrlSgDz0N6apAXyJ/view?usp=drive_link</t>
  </si>
  <si>
    <t>Sriranjan</t>
  </si>
  <si>
    <t>arkfx@tuta.io</t>
  </si>
  <si>
    <t>Arkfx@12</t>
  </si>
  <si>
    <t>SC-fg08d</t>
  </si>
  <si>
    <t xml:space="preserve">Ranjith. K </t>
  </si>
  <si>
    <t>2nd main road , kalaimagal nagar , ekkattuthangal , chennai -</t>
  </si>
  <si>
    <t>https://docs.google.com/presentation/d/1if-EUnplBW5VbKgR7L12TzrIzz_2XseW/edit?usp=sharing&amp;ouid=104277249549708518105&amp;rtpof=true&amp;sd=true</t>
  </si>
  <si>
    <t>Sc-wx4f45</t>
  </si>
  <si>
    <t>https://docs.google.com/presentation/d/1WTC753AOBmjf_nBHKMzSdm2saxshkMHi/edit?usp=sharing&amp;ouid=104277249549708518105&amp;rtpof=true&amp;sd=true</t>
  </si>
  <si>
    <t>SC-8S2KNL</t>
  </si>
  <si>
    <t>Tharani P S</t>
  </si>
  <si>
    <t>Prathib Vamsi P (2024-25)</t>
  </si>
  <si>
    <t>DaaS</t>
  </si>
  <si>
    <t>pstharani.2004@gmail.com</t>
  </si>
  <si>
    <t>cedau-06</t>
  </si>
  <si>
    <t>https://drive.google.com/open?id=1Rbchip-rj68Va3SjmYraQyLPBDxUK_cI</t>
  </si>
  <si>
    <t>https://docs.google.com/presentation/d/1R3kivspd_3Lf6F3BjWMmF6CfZnH8UGnm/edit?usp=drive_link&amp;ouid=104277249549708518105&amp;rtpof=true&amp;sd=true</t>
  </si>
  <si>
    <t>Subanesh</t>
  </si>
  <si>
    <t>SC-wv04l9</t>
  </si>
  <si>
    <t>https://www.linkedin.com/in/prathip-vamsi/</t>
  </si>
  <si>
    <t>25.05.26</t>
  </si>
  <si>
    <t>Satyendra</t>
  </si>
  <si>
    <t>IPO-ozm1k</t>
  </si>
  <si>
    <t>https://drive.google.com/file/d/18TKSjzu0XBMIfcvR-TzwQO4eOlv5TP4I/view?usp=sharing</t>
  </si>
  <si>
    <t>SC-9a9rgd</t>
  </si>
  <si>
    <t>Jeziel Praise Son M</t>
  </si>
  <si>
    <t>KGiSL Institute of Technology</t>
  </si>
  <si>
    <t>mjeziel18@gmail.com</t>
  </si>
  <si>
    <t>https://drive.google.com/open?id=149HppxiF5fWSdC5NDButuJX_m6yEKHIP</t>
  </si>
  <si>
    <t>Thanvi</t>
  </si>
  <si>
    <t>SC-ewhypl</t>
  </si>
  <si>
    <t>https://drive.google.com/file/d/1qUQVHPhnQ3qdrzuMrbhNc2rdmt8eokYp/view?usp=sharing</t>
  </si>
  <si>
    <t>cedau-14</t>
  </si>
  <si>
    <t>P.N. Chendilnadan</t>
  </si>
  <si>
    <t>Jeremiah Japhet</t>
  </si>
  <si>
    <t>cedau-11</t>
  </si>
  <si>
    <t>SC-d3cp</t>
  </si>
  <si>
    <t>https://docs.google.com/presentation/d/1EV9T72VDcsImuuEu7YDiejbpGu0Mvy9q/edit?usp=sharing&amp;ouid=104277249549708518105&amp;rtpof=true&amp;sd=true</t>
  </si>
  <si>
    <t>not done</t>
  </si>
  <si>
    <t>Vijay Krishna S</t>
  </si>
  <si>
    <t>svijaykrishna12@gmail.com</t>
  </si>
  <si>
    <t>https://drive.google.com/open?id=14RsQA1eVb85QE9odrA6BXVDLlBtJTkru</t>
  </si>
  <si>
    <t>cedau-15</t>
  </si>
  <si>
    <t>R.M.D. Engineering College</t>
  </si>
  <si>
    <t>Harish Kumar</t>
  </si>
  <si>
    <t>SC-9y6edj</t>
  </si>
  <si>
    <t>SUBA LAKSHMI K</t>
  </si>
  <si>
    <t>SC-oajf6r</t>
  </si>
  <si>
    <t>subalakshmikannan16@gmail.com</t>
  </si>
  <si>
    <t>https://drive.google.com/open?id=1yhwdGyqyQaxxCpTdhazJmfT0qeGAy4je</t>
  </si>
  <si>
    <t>cedau-16</t>
  </si>
  <si>
    <t>Harihara Prabhu</t>
  </si>
  <si>
    <t>Erode Sengunthar Engineering College</t>
  </si>
  <si>
    <t>SC-aeude</t>
  </si>
  <si>
    <t>MAILESWARAN R S</t>
  </si>
  <si>
    <t>mailrsm2005@gmail.com</t>
  </si>
  <si>
    <t>SC-4moum</t>
  </si>
  <si>
    <t>cedau-17</t>
  </si>
  <si>
    <t>https://drive.google.com/open?id=1eSK4TMygEDUwydtw3Bz8FhlF3MQxJlQy</t>
  </si>
  <si>
    <t>https://docs.google.com/presentation/d/1prMqTR-f9CdW-27PIrxhheLFhTq5VHGk/edit?usp=sharing&amp;ouid=104277249549708518105&amp;rtpof=true&amp;sd=true</t>
  </si>
  <si>
    <t>Selvakumar</t>
  </si>
  <si>
    <t>Meenakshi Sundararajan Engineering College</t>
  </si>
  <si>
    <t>29.07.25</t>
  </si>
  <si>
    <t>Purushothaman J</t>
  </si>
  <si>
    <t>Health-Tech</t>
  </si>
  <si>
    <t>purushj1996@gmail.com</t>
  </si>
  <si>
    <t>https://drive.google.com/open?id=1xdZR6PVuIhORvbO3UsCrFV3Vdziv_z8D</t>
  </si>
  <si>
    <t>2 Founder</t>
  </si>
  <si>
    <t>Perungudi, Kancheepuram</t>
  </si>
  <si>
    <t>Saveetha Engineering College</t>
  </si>
  <si>
    <r>
      <rPr>
        <rFont val="Arial"/>
        <color rgb="FF1155CC"/>
        <sz val="11.0"/>
        <u/>
      </rPr>
      <t>https://drive.google.com/file/d/1AFBWvei8iUFsbPvbpVzaLqXAFsFu4jvS/view?usp=drive_link</t>
    </r>
  </si>
  <si>
    <t>EV Services</t>
  </si>
  <si>
    <t>Prem Pradeep S</t>
  </si>
  <si>
    <t>prempradeep038@gmail.com</t>
  </si>
  <si>
    <t>https://drive.google.com/open?id=1VorSWnUlyM-hZbEwKD3-ydU3amct_rNZ</t>
  </si>
  <si>
    <t>3,00,000</t>
  </si>
  <si>
    <t>PX-cm2mr</t>
  </si>
  <si>
    <t>Suraj(8Bix)</t>
  </si>
  <si>
    <t>3 Founder</t>
  </si>
  <si>
    <t>N.No. 137, O. No.62, V.M. Street, Royapettah, Chennai, Chennai, Tamil Nadu, India, 600014.</t>
  </si>
  <si>
    <t>Sri Sairam Institute of Technology</t>
  </si>
  <si>
    <t>SC-bgbq2f</t>
  </si>
  <si>
    <t>S Sadhana</t>
  </si>
  <si>
    <t>slsadhana26@gmail.com</t>
  </si>
  <si>
    <t>https://drive.google.com/open?id=1ENBbWjMrus_c-pGMptggJFsm1nLYauzS</t>
  </si>
  <si>
    <t>SC-2t6aon</t>
  </si>
  <si>
    <t>Aarjun Thiagarajan</t>
  </si>
  <si>
    <t>KCG College of Technology</t>
  </si>
  <si>
    <t>CEDAU-20</t>
  </si>
  <si>
    <t>Climate-Tech</t>
  </si>
  <si>
    <t>nil</t>
  </si>
  <si>
    <t>Dr.R.Senthilnathan</t>
  </si>
  <si>
    <t>SC-dbkdjs</t>
  </si>
  <si>
    <t>drsenthil2460@gmail.com</t>
  </si>
  <si>
    <t>Drsenthil@2460</t>
  </si>
  <si>
    <t>Dhanesh</t>
  </si>
  <si>
    <t>SC-qdryod</t>
  </si>
  <si>
    <t>absent</t>
  </si>
  <si>
    <t>k.m.dhanesh2005@gmail.com</t>
  </si>
  <si>
    <t>https://drive.google.com/open?id=1AKxv-vEykgim5SRlL5e67fYOaca71-EL</t>
  </si>
  <si>
    <t>D10/77 -1b S.G.pudur Arasur Post, coimbatore-641407. Tamil Nadu.</t>
  </si>
  <si>
    <t>cedau-22</t>
  </si>
  <si>
    <t>https://docs.google.com/presentation/d/19KDfehkfiMjlVS4MmIh7c7SpujP0fHpK/edit?usp=sharing&amp;ouid=104277249549708518105&amp;rtpof=true&amp;sd=true</t>
  </si>
  <si>
    <t>SC-divnug</t>
  </si>
  <si>
    <t>Balamurugan</t>
  </si>
  <si>
    <t>SC-en6n7o</t>
  </si>
  <si>
    <t>balamurugan16sa@gmail.com</t>
  </si>
  <si>
    <t>https://drive.google.com/open?id=1Qy4bFXYACWScXWuGrRJ2SjJqvZ5p6CgW</t>
  </si>
  <si>
    <t xml:space="preserve">need to apply ivp </t>
  </si>
  <si>
    <t>Aathavan Valanarasu</t>
  </si>
  <si>
    <t>aathavan.valanarasu5@gmail.com</t>
  </si>
  <si>
    <t>Aathavan@123</t>
  </si>
  <si>
    <t>R.M.K. Engineering College</t>
  </si>
  <si>
    <t>4 Founders</t>
  </si>
  <si>
    <t>INIYAAN S V</t>
  </si>
  <si>
    <t>Block C2, Toddhunter Nagar, PWD quarters,Saidapet, chennai-15</t>
  </si>
  <si>
    <t>SC-paxd4f</t>
  </si>
  <si>
    <t>iniyaaniniyaan@gmail.com</t>
  </si>
  <si>
    <t>https://drive.google.com/open?id=1NXq1MT1nOZOwoEwzjtHP8wfEw4HrFKUH</t>
  </si>
  <si>
    <t>Nelson</t>
  </si>
  <si>
    <t>sathyanelson.m@gmail.com</t>
  </si>
  <si>
    <t>SRM IST TRICHY</t>
  </si>
  <si>
    <t>TrinityWorldReal!7</t>
  </si>
  <si>
    <t>05.06.26</t>
  </si>
  <si>
    <t>Enviro-Tech</t>
  </si>
  <si>
    <t>SKCL Techsquare, Lazer Stret, South Phase, SIDCO Industrial Estate, Guindy, Chennai</t>
  </si>
  <si>
    <t>General</t>
  </si>
  <si>
    <t>cedau-25</t>
  </si>
  <si>
    <t>https://docs.google.com/presentation/d/1svlsWidPE9Mo4IunAUtMRWoX6-3FELRG/edit?usp=sharing&amp;ouid=104277249549708518105&amp;rtpof=true&amp;sd=true</t>
  </si>
  <si>
    <t>PX-3ki6nj</t>
  </si>
  <si>
    <t>Velalar College of Engineering and Technology</t>
  </si>
  <si>
    <t>THANVI M</t>
  </si>
  <si>
    <t>Prathib Vamsi P</t>
  </si>
  <si>
    <t xml:space="preserve"> </t>
  </si>
  <si>
    <t>28.11.25</t>
  </si>
  <si>
    <t>thanvi1313@gmail.com</t>
  </si>
  <si>
    <t>SC-07g6mo</t>
  </si>
  <si>
    <t>https://drive.google.com/open?id=1qUQVHPhnQ3qdrzuMrbhNc2rdmt8eokYp</t>
  </si>
  <si>
    <t>2 founder +20 emp = 22</t>
  </si>
  <si>
    <t xml:space="preserve">private </t>
  </si>
  <si>
    <t>SC-fp1ter</t>
  </si>
  <si>
    <t>Navinkrishna K</t>
  </si>
  <si>
    <t>Abilesha.B</t>
  </si>
  <si>
    <t>SC-4dv97</t>
  </si>
  <si>
    <t>krishnanavin03@gmail.com</t>
  </si>
  <si>
    <t>abilesha131205@gmail.com</t>
  </si>
  <si>
    <t>https://drive.google.com/open?id=1OLvPZ68ByXNy7YfpMPQm7yBxDzWSn8pt</t>
  </si>
  <si>
    <t>Navi@1</t>
  </si>
  <si>
    <t>NO.106/1024, T.H ROAD, KALADIPET,THIRUVOTTIYUR</t>
  </si>
  <si>
    <t>cedau-27</t>
  </si>
  <si>
    <t>https://docs.google.com/presentation/d/1d8-jiX9yr-sMsCczAoqAxNddaCFgD9Lb/edit?usp=sharing&amp;ouid=104277249549708518105&amp;rtpof=true&amp;sd=true</t>
  </si>
  <si>
    <t>SC-u1zyff</t>
  </si>
  <si>
    <t>SC-i8ijt</t>
  </si>
  <si>
    <t>RITHIKA B</t>
  </si>
  <si>
    <t>G Rathi</t>
  </si>
  <si>
    <t>rathiraghuprakash@gmail.com</t>
  </si>
  <si>
    <t>Yet to present</t>
  </si>
  <si>
    <t>rithikabaskaran07@gmail.com</t>
  </si>
  <si>
    <t>https://drive.google.com/open?id=1AGp92K4_64IgcM-2B-4hcOB_R8Gr-GZe</t>
  </si>
  <si>
    <t>CEDAU-28</t>
  </si>
  <si>
    <t>https://docs.google.com/presentation/d/1FXIGWLrifrRMQscDpQMdcN-VyYJj8lRY/edit?usp=sharing&amp;ouid=104277249549708518105&amp;rtpof=true&amp;sd=true</t>
  </si>
  <si>
    <t>SC-4lbm5d</t>
  </si>
  <si>
    <t>Athithya Rayan R</t>
  </si>
  <si>
    <t>AAA College of Engineering and Technology</t>
  </si>
  <si>
    <t>2 founders</t>
  </si>
  <si>
    <t>kabif - preinc</t>
  </si>
  <si>
    <t>cedau-24</t>
  </si>
  <si>
    <t>https://drive.google.com/file/d/1TQHqyQdolrHhxhMYy4F0qSG_uUNK2Vpv/view?usp=sharing</t>
  </si>
  <si>
    <t>SC-ft2xkq</t>
  </si>
  <si>
    <t>SC-i8u89</t>
  </si>
  <si>
    <t>Jafrin Thabasum S</t>
  </si>
  <si>
    <t>S Varshaa</t>
  </si>
  <si>
    <t>varshaaselva@gmail.com</t>
  </si>
  <si>
    <t>Madras Institute of Technology, Chromepet</t>
  </si>
  <si>
    <t>Varshaaselva@06</t>
  </si>
  <si>
    <t>jafrinthabasum.s.ad@care.ac.in</t>
  </si>
  <si>
    <t>3 founders</t>
  </si>
  <si>
    <t>https://drive.google.com/open?id=1cLQg3qoEPu5AXEckhDn3oepEgP6QvwIN</t>
  </si>
  <si>
    <t xml:space="preserve">connect to yash </t>
  </si>
  <si>
    <t>SC-yd0hxd</t>
  </si>
  <si>
    <t>No.1,Babuji Nagar, Thiru VI Ka Nagar, Vinayakapuram, Lakshmipuram, Chennai, Tamil Nadu 600066</t>
  </si>
  <si>
    <t xml:space="preserve">V Vijaya kumar </t>
  </si>
  <si>
    <t>roxercub@gmail.com</t>
  </si>
  <si>
    <t>Roxercub@123</t>
  </si>
  <si>
    <t>Adhiyamaan College of Agriculture and Research</t>
  </si>
  <si>
    <t>SC-ireg2m</t>
  </si>
  <si>
    <t>SC-oyp2ts</t>
  </si>
  <si>
    <t>cedau-26</t>
  </si>
  <si>
    <t>https://docs.google.com/presentation/d/1F6UprY1Bo46MyZFlV5jxGpMy8RoiGBv4/edit?usp=sharing&amp;ouid=104277249549708518105&amp;rtpof=true&amp;sd=true</t>
  </si>
  <si>
    <t>R S ARUN NIVETAN</t>
  </si>
  <si>
    <t>arunnivetan2005@gmail.com</t>
  </si>
  <si>
    <t>send f g invite link</t>
  </si>
  <si>
    <t>https://drive.google.com/open?id=1oVGXQB851bH8GxkM8Q2Ul1WD3_NojREl</t>
  </si>
  <si>
    <t>Nagendra Dasari</t>
  </si>
  <si>
    <t>muralidora504@gmail.com</t>
  </si>
  <si>
    <t>Nagendra@2608</t>
  </si>
  <si>
    <t>NOt selected</t>
  </si>
  <si>
    <t>12.08.26</t>
  </si>
  <si>
    <t>Address of the Company1/37, MIG-II, Block1, TNHB-1500 Flat, SHOLLINGANALLUR, CHENNAI, TAMIL NADU</t>
  </si>
  <si>
    <t>CEDAU-32</t>
  </si>
  <si>
    <t>SC-j51bjj</t>
  </si>
  <si>
    <t>https://docs.google.com/presentation/d/1gXlydx6GGyjViK9BH2DExwsitvhYxcTC/edit?usp=sharing&amp;ouid=104277249549708518105&amp;rtpof=true&amp;sd=true</t>
  </si>
  <si>
    <t>Harini P</t>
  </si>
  <si>
    <t>kalyani patra</t>
  </si>
  <si>
    <t>aswiga91@gmail.com</t>
  </si>
  <si>
    <t>hari22013.cb@rmkec.ac.in</t>
  </si>
  <si>
    <t>Kalyani*1</t>
  </si>
  <si>
    <t>https://drive.google.com/open?id=1V-32Gir5a5QIm0vNZVAbU7v4XnkamQTt</t>
  </si>
  <si>
    <t>No 1 chithra enclave, Aarthi nagar, East Tambaram</t>
  </si>
  <si>
    <t>SC-1k48n8</t>
  </si>
  <si>
    <t>ipo-28zbru</t>
  </si>
  <si>
    <t>https://docs.google.com/presentation/d/1YFjs7wBOE-FwqPCIpm92exmo75IKjAZU/edit?usp=sharing&amp;ouid=104277249549708518105&amp;rtpof=true&amp;sd=true</t>
  </si>
  <si>
    <t xml:space="preserve">Akash  </t>
  </si>
  <si>
    <t>akashr.annauniv@gmail.com</t>
  </si>
  <si>
    <t>Akashr.annauniv@12</t>
  </si>
  <si>
    <t>SC-mnnn9n</t>
  </si>
  <si>
    <t>BARATH RAJ J</t>
  </si>
  <si>
    <t>69/122, Vannier Street, Chooliamedu, Chennai - 600 094</t>
  </si>
  <si>
    <t>SC-wl7dmv</t>
  </si>
  <si>
    <t>barathraj1375@gmail.com</t>
  </si>
  <si>
    <t>CEDAU-34</t>
  </si>
  <si>
    <t>https://docs.google.com/presentation/d/1vvNjk_1_mJJVLriLTt7MFXxwPhGuccHt/edit?usp=sharing&amp;ouid=104277249549708518105&amp;rtpof=true&amp;sd=true</t>
  </si>
  <si>
    <t>https://drive.google.com/open?id=1Kkw_iTDBFZV0hwN1-vITM_lwyEMhi6Dw</t>
  </si>
  <si>
    <t>get back</t>
  </si>
  <si>
    <t>Sathyabama Institute of Science and Technology</t>
  </si>
  <si>
    <t>Surendar K</t>
  </si>
  <si>
    <t>arcadeslevel@gmail.com</t>
  </si>
  <si>
    <t>SIH@aot6</t>
  </si>
  <si>
    <t>93635 32027</t>
  </si>
  <si>
    <t>SC-jxifzd</t>
  </si>
  <si>
    <t>SC-mu44dw</t>
  </si>
  <si>
    <t>118/78,Nappalaya Street,Villupuram,Villupuram - 605602</t>
  </si>
  <si>
    <t>Girijesh R</t>
  </si>
  <si>
    <t>CEDAU-35</t>
  </si>
  <si>
    <t>girijeshstudio@gmail.com</t>
  </si>
  <si>
    <t>https://drive.google.com/file/d/1iMYV5dCGbdlUDh24yHlB6oced5JQ3Bc2/view?usp=sharing</t>
  </si>
  <si>
    <t>https://drive.google.com/open?id=1AHZg48MqudezXNp1_6WBgna8gprHtxmo</t>
  </si>
  <si>
    <t>Panimalar Engineering College</t>
  </si>
  <si>
    <t>Hari Krishnan</t>
  </si>
  <si>
    <t>Tynkohari@123</t>
  </si>
  <si>
    <t>blank</t>
  </si>
  <si>
    <t>harikrisrr@gmail.com</t>
  </si>
  <si>
    <t>SC-pcw53a</t>
  </si>
  <si>
    <t>Sc-n4aonf</t>
  </si>
  <si>
    <t>SANJEEV M</t>
  </si>
  <si>
    <t>CEDAU-36</t>
  </si>
  <si>
    <t>https://drive.google.com/open?id=11pbQZHDGUguVuSuwEOLjm3MfecqFhYTM</t>
  </si>
  <si>
    <t>https://drive.google.com/file/d/1Jpe5V4pSn5lJy2WIv8hH5IrXrD21Dcd2/view?usp=sharing</t>
  </si>
  <si>
    <t>company incorporation</t>
  </si>
  <si>
    <t>Rajalakshmi Engineering College</t>
  </si>
  <si>
    <t>Abinaya</t>
  </si>
  <si>
    <t>abinaya.auceg@gmail.com</t>
  </si>
  <si>
    <t>ATbian@2026</t>
  </si>
  <si>
    <t>SC-nryy8h</t>
  </si>
  <si>
    <t>SC-l8l0si</t>
  </si>
  <si>
    <t>54/3, bypass road, Melasanthapalayam, Musiri, Trichy -621211</t>
  </si>
  <si>
    <t>Bharath MS</t>
  </si>
  <si>
    <t>CEDAU-37</t>
  </si>
  <si>
    <t>https://docs.google.com/presentation/d/1mFOPCn7ZHKzvNicJaWvacJD6nFsAMFeD/edit?usp=sharing&amp;ouid=104277249549708518105&amp;rtpof=true&amp;sd=true</t>
  </si>
  <si>
    <t>bharathmunirathinam333@gmail.com</t>
  </si>
  <si>
    <t>https://drive.google.com/open?id=1LB6DGTZ3ddGWtphg2oztcjwijHiSMvJD</t>
  </si>
  <si>
    <t>R.M.K College of Engineering and Technology, Tiruvallur</t>
  </si>
  <si>
    <t>Aparup Roy</t>
  </si>
  <si>
    <t>Automobile</t>
  </si>
  <si>
    <t>aparupdgp713217@gmail.com</t>
  </si>
  <si>
    <t>Gopalmath#713217</t>
  </si>
  <si>
    <t>SC-4yp9l</t>
  </si>
  <si>
    <t>College of Engineering Guindy, Anna University, 12, Sardar Patel Road, Guindy, Chennai, Tamil Nadu, 600025</t>
  </si>
  <si>
    <t>Mohammed Azgar</t>
  </si>
  <si>
    <t>cedau-38</t>
  </si>
  <si>
    <t>https://drive.google.com/file/d/1ghr4wKJHaB9cM-p8gmva4wiN-FUH3Mmg/view?usp=sharing</t>
  </si>
  <si>
    <t>iazgarmohammed@gmail.com</t>
  </si>
  <si>
    <t>https://drive.google.com/open?id=1VWhrxq4im2ROTVEhW3mI93TDMyUbpKfn</t>
  </si>
  <si>
    <t xml:space="preserve">exams </t>
  </si>
  <si>
    <t>Jansons Institute of Technology</t>
  </si>
  <si>
    <t>Anantha Kumar</t>
  </si>
  <si>
    <t>Contacts@ztorys.com</t>
  </si>
  <si>
    <t>Ztorys@2026!</t>
  </si>
  <si>
    <t>Industrial IoT /Smart City</t>
  </si>
  <si>
    <t>8th floor, 85, Anna Salai, Guindy Institutional Area, SIDCO Industrial Estate, Guindy, Chennai, Tamil Nadu 600032</t>
  </si>
  <si>
    <t>cedau-39</t>
  </si>
  <si>
    <t>https://drive.google.com/open?id=1BTOx2EJcVCm4KsEBVzT3_P2bLZlD7fok</t>
  </si>
  <si>
    <t>https://drive.google.com/file/d/1zwrG0J_pCo6yZG42LAl7d5Jx_zdp-LZ_/view?usp=sharing</t>
  </si>
  <si>
    <t xml:space="preserve">Kartheka Bojan </t>
  </si>
  <si>
    <t>karthekabojan@gmail.com</t>
  </si>
  <si>
    <t>Innovation2026</t>
  </si>
  <si>
    <t>26-27</t>
  </si>
  <si>
    <t>SC-os5t2w</t>
  </si>
  <si>
    <t>Anil Kumar</t>
  </si>
  <si>
    <t>t.anilkumar0001@gmail.com</t>
  </si>
  <si>
    <t>SC-y43euj</t>
  </si>
  <si>
    <t>https://drive.google.com/open?id=1qyALgLmfBGwRQZVtXpNxFVOCOLST_2BK</t>
  </si>
  <si>
    <t>cedau-40</t>
  </si>
  <si>
    <t>https://drive.google.com/file/d/1uDPKPYE5yjMZJlz_KH9e1FA4BpniXAqV/view?usp=sharing</t>
  </si>
  <si>
    <t xml:space="preserve">letter no. : </t>
  </si>
  <si>
    <t>Name</t>
  </si>
  <si>
    <t>B Arumugapandian</t>
  </si>
  <si>
    <t>Contact</t>
  </si>
  <si>
    <t>startup name</t>
  </si>
  <si>
    <t>SC-ox0pjd</t>
  </si>
  <si>
    <t>Session no.</t>
  </si>
  <si>
    <t>SALONICA D</t>
  </si>
  <si>
    <t>salonicaalex4@gmail.com</t>
  </si>
  <si>
    <t>https://drive.google.com/open?id=1nHZJs4i8lSAPFeGmnNbmIfUuscVuCEPM</t>
  </si>
  <si>
    <t>cedau-41</t>
  </si>
  <si>
    <t>https://docs.google.com/presentation/d/17jQg9XR0LqRPj3eRC3a4YTSCC34bS2xC/edit?usp=sharing&amp;ouid=104277249549708518105&amp;rtpof=true&amp;sd=true</t>
  </si>
  <si>
    <t>MotorX Mobility Private Limited</t>
  </si>
  <si>
    <t>Consumables</t>
  </si>
  <si>
    <t>S6</t>
  </si>
  <si>
    <t>EDII-TN</t>
  </si>
  <si>
    <t>Sathishraj Selvaraj</t>
  </si>
  <si>
    <t>Sonucreativelabs@gmail.com</t>
  </si>
  <si>
    <t>Aswath Vishnu.E</t>
  </si>
  <si>
    <t>Sonu09@edii</t>
  </si>
  <si>
    <t>PX-3ki6nJ</t>
  </si>
  <si>
    <t>Adithya Institute of Technology</t>
  </si>
  <si>
    <t>SC-pye3oi</t>
  </si>
  <si>
    <t>ChrysoLux</t>
  </si>
  <si>
    <t>S5</t>
  </si>
  <si>
    <t>Sadhana S and Priyanga R</t>
  </si>
  <si>
    <t>cedau-42</t>
  </si>
  <si>
    <t>https://docs.google.com/presentation/d/1oFUOmIKNt2GIY5MFtUsV5wWWwNS22Cvx/edit?usp=drive_link&amp;ouid=104277249549708518105&amp;rtpof=true&amp;sd=true</t>
  </si>
  <si>
    <t>sadhanasita1777@gmail.com</t>
  </si>
  <si>
    <t>Anjanarangarajan</t>
  </si>
  <si>
    <t>https://drive.google.com/open?id=12RsdTu1tH7jx2uQYyNA2C3v1dFMkZU0H</t>
  </si>
  <si>
    <t>SC-9au7v</t>
  </si>
  <si>
    <t>Nova AI</t>
  </si>
  <si>
    <t>ai</t>
  </si>
  <si>
    <t>S1</t>
  </si>
  <si>
    <t>Armaan Patnaik</t>
  </si>
  <si>
    <t>surya Prasad</t>
  </si>
  <si>
    <t>SC-eanbmk</t>
  </si>
  <si>
    <t>FIOXYY-NEURAGENT</t>
  </si>
  <si>
    <t>yet to present</t>
  </si>
  <si>
    <t>SC-y4ea0v</t>
  </si>
  <si>
    <t>Arun Nivethan</t>
  </si>
  <si>
    <t>SPACE CRAFT AI</t>
  </si>
  <si>
    <t>cedau-43</t>
  </si>
  <si>
    <t>https://docs.google.com/presentation/d/1q6DSpwV1hx2Rm-kzFBpcLePgyMdtoYN8/edit?usp=drive_link&amp;ouid=104277249549708518105&amp;rtpof=true&amp;sd=true</t>
  </si>
  <si>
    <t>Abhishek Dallas</t>
  </si>
  <si>
    <t>Aadhavan Valanarasu</t>
  </si>
  <si>
    <t>abhishekdallasalpy@gmail.com</t>
  </si>
  <si>
    <t>Niya Therapy Hub</t>
  </si>
  <si>
    <t>https://drive.google.com/open?id=1X3kRolb3adDdEW7REfueac7cptP6jieD</t>
  </si>
  <si>
    <t>S8</t>
  </si>
  <si>
    <t>Vijay Samuel G</t>
  </si>
  <si>
    <t>Sadhana</t>
  </si>
  <si>
    <t>Renewable Energy</t>
  </si>
  <si>
    <t>GeneGlow</t>
  </si>
  <si>
    <t>S4</t>
  </si>
  <si>
    <t>PENDING</t>
  </si>
  <si>
    <t>Shirish</t>
  </si>
  <si>
    <t>SC-83s9eo</t>
  </si>
  <si>
    <t>SC-hetzhm</t>
  </si>
  <si>
    <t>PickMyseat.ai</t>
  </si>
  <si>
    <t>cedau-45</t>
  </si>
  <si>
    <t>chandrika murali / arun</t>
  </si>
  <si>
    <t>SC-rbe02k</t>
  </si>
  <si>
    <t>Dhinesh Babu C M</t>
  </si>
  <si>
    <t>College of Engineering, Guindy</t>
  </si>
  <si>
    <t>dhineshsidhu@gmail.com</t>
  </si>
  <si>
    <t>RVS Educational Trust's Group of Institutions</t>
  </si>
  <si>
    <t>Faheera Umu Salma</t>
  </si>
  <si>
    <t>https://drive.google.com/open?id=1GAqH5JxSXmL3C4pwAagePaHXNQi8oC4Q</t>
  </si>
  <si>
    <t>cedau-46</t>
  </si>
  <si>
    <t>SC(BT)-fFRV5</t>
  </si>
  <si>
    <t>https://drive.google.com/file/d/1DlTjyBNXXg7rvTQiMFflasG6_1AsoxPH/view?usp=drive_link</t>
  </si>
  <si>
    <t>Diagnobee</t>
  </si>
  <si>
    <t>Med-Tech</t>
  </si>
  <si>
    <t>S7</t>
  </si>
  <si>
    <t>Alagappa College of Technology</t>
  </si>
  <si>
    <t>Deepika</t>
  </si>
  <si>
    <t>Lakshmi kala narasimhan</t>
  </si>
  <si>
    <t>Diatech</t>
  </si>
  <si>
    <t xml:space="preserve"> lakshmikala.n@choiice.in</t>
  </si>
  <si>
    <t xml:space="preserve"> Kala5252***$$$</t>
  </si>
  <si>
    <t>Sri Sairam Homoeopathy Medical College and Research Centre</t>
  </si>
  <si>
    <t>SC-tktqp</t>
  </si>
  <si>
    <t>Saravanan</t>
  </si>
  <si>
    <t>SC-rk3elg</t>
  </si>
  <si>
    <t>Animal Tradex</t>
  </si>
  <si>
    <t>Prabhat Tiwari</t>
  </si>
  <si>
    <t>Faculty, CEG</t>
  </si>
  <si>
    <t>prabhattiwari9821@gmail.com</t>
  </si>
  <si>
    <t>Tharaneeswharan</t>
  </si>
  <si>
    <t>https://drive.google.com/open?id=1-9Wakw9eAXg6Our-F86qHsC68NeKtp7A</t>
  </si>
  <si>
    <t>cedau-47</t>
  </si>
  <si>
    <t>https://docs.google.com/presentation/d/12LN-QBBpvWc6tcuxKPHLibN5bA6aTuD1/edit?usp=sharing&amp;ouid=104277249549708518105&amp;rtpof=true&amp;sd=true</t>
  </si>
  <si>
    <t>UZHAVAN</t>
  </si>
  <si>
    <t>Shanmuga Pradeepan R</t>
  </si>
  <si>
    <t>SC-dg0km</t>
  </si>
  <si>
    <t>Edufyte</t>
  </si>
  <si>
    <t>Sethu Institute of Technology</t>
  </si>
  <si>
    <t>Vijay Krishnan</t>
  </si>
  <si>
    <t xml:space="preserve">Pooja sai </t>
  </si>
  <si>
    <t xml:space="preserve"> poojagokul79@gmail.com</t>
  </si>
  <si>
    <t>Vision Solve</t>
  </si>
  <si>
    <t>Nova@3eco</t>
  </si>
  <si>
    <t>SC-so8sfp</t>
  </si>
  <si>
    <t>Navena A S</t>
  </si>
  <si>
    <t>Priya Roshni A</t>
  </si>
  <si>
    <t>SC-vnqnnm</t>
  </si>
  <si>
    <t>asnavena@gmail.com</t>
  </si>
  <si>
    <t>Orion AI</t>
  </si>
  <si>
    <t>cedau-48</t>
  </si>
  <si>
    <t>https://docs.google.com/presentation/d/1a1-cslN2_rNuqqxhNwMaXR9GYvG_YwrY/edit?usp=sharing&amp;ouid=104277249549708518105&amp;rtpof=true&amp;sd=true</t>
  </si>
  <si>
    <t>https://drive.google.com/open?id=1rXboz4oinUQKfJU2LXEYklFrMaftxRG-</t>
  </si>
  <si>
    <t>Vels University</t>
  </si>
  <si>
    <t>Bannari Amman Institute of Technology, Sathy</t>
  </si>
  <si>
    <t>Vetriprasath</t>
  </si>
  <si>
    <t>DizziGuard</t>
  </si>
  <si>
    <t>Aqua-Culture</t>
  </si>
  <si>
    <t>Gig AI Labs</t>
  </si>
  <si>
    <t>Suhasini B</t>
  </si>
  <si>
    <t>suhasini090604@gmail.com</t>
  </si>
  <si>
    <t>SC-m0m97</t>
  </si>
  <si>
    <t>Startup@26</t>
  </si>
  <si>
    <t>cedau-49</t>
  </si>
  <si>
    <t>https://docs.google.com/presentation/d/1m8L6g7SZESpUVObADCFChgYbYZngLRPi/edit?usp=sharing&amp;ouid=104277249549708518105&amp;rtpof=true&amp;sd=true</t>
  </si>
  <si>
    <t>Ruthresh A</t>
  </si>
  <si>
    <t>CEDAU-33</t>
  </si>
  <si>
    <t>Vitron</t>
  </si>
  <si>
    <t>Shyam Kathir Sankar</t>
  </si>
  <si>
    <t>startup Walk in</t>
  </si>
  <si>
    <t>howardnikhil95@gmail.com</t>
  </si>
  <si>
    <t xml:space="preserve">Malar </t>
  </si>
  <si>
    <t>smtechsols@gmail.com</t>
  </si>
  <si>
    <t>Px-xocu6</t>
  </si>
  <si>
    <t>https://drive.google.com/open?id=1DrL3w6tkh8WgbEy3HjkfwRQ93uZiQ4Wz</t>
  </si>
  <si>
    <t>Sreemahalakshmi23$</t>
  </si>
  <si>
    <t>Millet-Based Electrolyte Beverages</t>
  </si>
  <si>
    <t>Food tech</t>
  </si>
  <si>
    <t>Sandiep Lakshman</t>
  </si>
  <si>
    <t>PX-5lg1jf</t>
  </si>
  <si>
    <t>SC-vm5wp7</t>
  </si>
  <si>
    <t>EternalEnergy</t>
  </si>
  <si>
    <t>cedau-50</t>
  </si>
  <si>
    <t>https://drive.google.com/file/d/16dmS9BkwYK-znvr3Rkj5DTs7hprWCF1E/view?usp=sharing</t>
  </si>
  <si>
    <t>Learnsphere</t>
  </si>
  <si>
    <t>University College of Engineering, Tindivanam</t>
  </si>
  <si>
    <t>SC-Votrgd</t>
  </si>
  <si>
    <t>Grainforge3D Printer</t>
  </si>
  <si>
    <t>Industry 4.0</t>
  </si>
  <si>
    <t>S3</t>
  </si>
  <si>
    <t>Santhoshkumar P</t>
  </si>
  <si>
    <t>Giritharan Janakiraman</t>
  </si>
  <si>
    <t>santhoshpalanisamy292@gmail.com</t>
  </si>
  <si>
    <t>FITNGRO</t>
  </si>
  <si>
    <t>https://drive.google.com/open?id=175HtfDzRpsYzA33iIXRw_akLqNQCY8sF</t>
  </si>
  <si>
    <t>P.A. College of Engineering and Technology</t>
  </si>
  <si>
    <t>SC-tretx</t>
  </si>
  <si>
    <t>Mohammed Hussain Basith</t>
  </si>
  <si>
    <t>OCEAN WAVE ENERGY CONVERTER</t>
  </si>
  <si>
    <t>CEDAU-51</t>
  </si>
  <si>
    <t>Mukesh Kumar R</t>
  </si>
  <si>
    <t>https://docs.google.com/presentation/d/1XuDjadqAkzk4-vE3pLzlhAgVZAATO4Mz/edit?usp=drive_link&amp;ouid=104277249549708518105&amp;rtpof=true&amp;sd=true</t>
  </si>
  <si>
    <t>SC-fmdki</t>
  </si>
  <si>
    <t>RMK Aerospace and Sustainable Technology Private Limited</t>
  </si>
  <si>
    <t>A.V.C. College of Engineering</t>
  </si>
  <si>
    <t>Vishnu Priya V</t>
  </si>
  <si>
    <t>SS-e7fr19</t>
  </si>
  <si>
    <t>indyarn Clean Tech</t>
  </si>
  <si>
    <t>SC-xbei4</t>
  </si>
  <si>
    <t>Uma Maheshwari</t>
  </si>
  <si>
    <t>send2vmdecor@gmail.com</t>
  </si>
  <si>
    <t>Gali Aravind Kumar Reddy</t>
  </si>
  <si>
    <t>Velpari@3010</t>
  </si>
  <si>
    <t>Akshey Karthikeyan SK</t>
  </si>
  <si>
    <t>comPLETED</t>
  </si>
  <si>
    <t>aravindkumarreddy1@gmail.com</t>
  </si>
  <si>
    <t>Curio</t>
  </si>
  <si>
    <t>https://drive.google.com/open?id=1tWJh1aNqjYXJaB4xffewaxs0cTIYca-r</t>
  </si>
  <si>
    <t>98409 94922</t>
  </si>
  <si>
    <t>Fashion</t>
  </si>
  <si>
    <t>SC-d034dd</t>
  </si>
  <si>
    <t>PSG College of Technology, Coimbatore</t>
  </si>
  <si>
    <t>Kotha Vamsi</t>
  </si>
  <si>
    <t>CEDAU-52</t>
  </si>
  <si>
    <t>CHARGE ONE</t>
  </si>
  <si>
    <t>https://docs.google.com/presentation/d/1afpjyLh9-5tS8BVp6n7kGe_cPta3vbdj/edit?usp=drive_link&amp;ouid=104277249549708518105&amp;rtpof=true&amp;sd=true</t>
  </si>
  <si>
    <t xml:space="preserve">Auto ; EV </t>
  </si>
  <si>
    <t>Harini Premkumar</t>
  </si>
  <si>
    <t>Spar Shield+</t>
  </si>
  <si>
    <t>Sushmitha Shree K</t>
  </si>
  <si>
    <t>krishyesh@gmail.com</t>
  </si>
  <si>
    <t>SC-xu2qlg</t>
  </si>
  <si>
    <t>Voucher@2026</t>
  </si>
  <si>
    <t>Vigneshwaran. E</t>
  </si>
  <si>
    <t>Ztorys</t>
  </si>
  <si>
    <t>91500 49921</t>
  </si>
  <si>
    <t>vigneshwaran.ezhilmaran@gmail.com</t>
  </si>
  <si>
    <t>https://drive.google.com/open?id=1b4go98skQmw_jcdiLt8kXyKtdRkgpWCV</t>
  </si>
  <si>
    <t>SC-aal3wa</t>
  </si>
  <si>
    <t>S Jeevesh</t>
  </si>
  <si>
    <t>SC-dyjltj</t>
  </si>
  <si>
    <t>CEDAU-53</t>
  </si>
  <si>
    <t>https://docs.google.com/presentation/d/1OBy1oQxGUVgRaEYu_WITxGvuiEMEHJjK/edit?usp=drive_link&amp;ouid=104277249549708518105&amp;rtpof=true&amp;sd=true</t>
  </si>
  <si>
    <t>Navogenix Technologies</t>
  </si>
  <si>
    <t>SanBio 360</t>
  </si>
  <si>
    <t>Bio-Tech</t>
  </si>
  <si>
    <t>Shabeera S</t>
  </si>
  <si>
    <t>Deepitha M</t>
  </si>
  <si>
    <t>keerthi kassan /  jayalalitha</t>
  </si>
  <si>
    <t>SPEAK KARO</t>
  </si>
  <si>
    <t>Anand Institute of Higher Technology</t>
  </si>
  <si>
    <t>deepithamadesh@gmail.com</t>
  </si>
  <si>
    <t>jksemitech@gmail.com</t>
  </si>
  <si>
    <t>Ganesh Kumar P</t>
  </si>
  <si>
    <t>Keerthi24$</t>
  </si>
  <si>
    <t>https://drive.google.com/open?id=1nOtcqzNxnN1cVZZNgYC7O4pMceJ1vuq4</t>
  </si>
  <si>
    <t>UPI.Direct</t>
  </si>
  <si>
    <t>FinTech</t>
  </si>
  <si>
    <t>Thanvi M</t>
  </si>
  <si>
    <t>SafeStride Tech</t>
  </si>
  <si>
    <t>CEDAU-54</t>
  </si>
  <si>
    <t>https://drive.google.com/file/d/1MZmmKsUva2j60JwGRRjdJHdHuwsOg9eV/view?usp=drive_link</t>
  </si>
  <si>
    <t>Quick Glow</t>
  </si>
  <si>
    <t>Varshaa S</t>
  </si>
  <si>
    <t>Swatch Water Filters</t>
  </si>
  <si>
    <t>Startup Walk in</t>
  </si>
  <si>
    <t xml:space="preserve">nithiyananthan M </t>
  </si>
  <si>
    <t>Satyendra / Lakshmi Priya</t>
  </si>
  <si>
    <t>Scout Edge</t>
  </si>
  <si>
    <t>completed</t>
  </si>
  <si>
    <t>IIT Madras</t>
  </si>
  <si>
    <t>Keerthana</t>
  </si>
  <si>
    <t>SC-g8mwsh</t>
  </si>
  <si>
    <t>SC(BT)-36X8Y</t>
  </si>
  <si>
    <t>EcoShieldSPF</t>
  </si>
  <si>
    <t>CEDAU-55</t>
  </si>
  <si>
    <t>Manikandan</t>
  </si>
  <si>
    <t>8Bix</t>
  </si>
  <si>
    <t>Faheera</t>
  </si>
  <si>
    <t>Bails</t>
  </si>
  <si>
    <t>Jeziel Praise Son</t>
  </si>
  <si>
    <t>TrustIT</t>
  </si>
  <si>
    <t>fahi1709@gmail.com</t>
  </si>
  <si>
    <t>Dr. J. Manikandan</t>
  </si>
  <si>
    <t>deep-Tech</t>
  </si>
  <si>
    <t>https://drive.google.com/open?id=18z-76Mx5ICtmDs3BWvgoQi21dn9ekcDy</t>
  </si>
  <si>
    <t>Howard Nikhil</t>
  </si>
  <si>
    <t>Astro Access</t>
  </si>
  <si>
    <t>need to apply ivp</t>
  </si>
  <si>
    <t>DE la Greenspark</t>
  </si>
  <si>
    <t>Roshan Maharajan</t>
  </si>
  <si>
    <t>Vignesh S</t>
  </si>
  <si>
    <t>APIDS</t>
  </si>
  <si>
    <t>Jeppiaar Engineering College</t>
  </si>
  <si>
    <t>Prempradeep S</t>
  </si>
  <si>
    <t>Aquaholics</t>
  </si>
  <si>
    <t>SC(CT)-KPlWg4</t>
  </si>
  <si>
    <t>Health-Care</t>
  </si>
  <si>
    <t>sanjay s</t>
  </si>
  <si>
    <t>AruldhaRaja Aiswarya</t>
  </si>
  <si>
    <t>Hasinisankarss@gmail.com</t>
  </si>
  <si>
    <t xml:space="preserve">Nathiya </t>
  </si>
  <si>
    <t>https://drive.google.com/open?id=1oAPlJm8ZridCkNxy4LMZBTkvv34l8ZQJ</t>
  </si>
  <si>
    <t>SC-596dld</t>
  </si>
  <si>
    <t>Nova Bottles</t>
  </si>
  <si>
    <t>SC-42107</t>
  </si>
  <si>
    <t>Aero rover</t>
  </si>
  <si>
    <t>Dr. G. Ananthi</t>
  </si>
  <si>
    <t>Santhoshjeferson</t>
  </si>
  <si>
    <t>SS-gxk3kp</t>
  </si>
  <si>
    <t>Jefey Composites</t>
  </si>
  <si>
    <t>EVA virgin cocunut oil</t>
  </si>
  <si>
    <t>Auronox Private Limited</t>
  </si>
  <si>
    <t>Nikarika Ramesh</t>
  </si>
  <si>
    <t>V.Vishnupriya</t>
  </si>
  <si>
    <t>Vitasafe</t>
  </si>
  <si>
    <t>Vishnu.act06@gmail.com</t>
  </si>
  <si>
    <t>Salonica D</t>
  </si>
  <si>
    <t>https://drive.google.com/open?id=1g09SgWmRT8I0jsBBRlc4ZMBRmQxHlpzhdG2wl8bLoEM</t>
  </si>
  <si>
    <t>sivasubramanian</t>
  </si>
  <si>
    <t>PlumeXB</t>
  </si>
  <si>
    <t>Sri Venkateswara College of Engineering</t>
  </si>
  <si>
    <t>Jeremiah Japheth</t>
  </si>
  <si>
    <t>SC-nxbt9d</t>
  </si>
  <si>
    <t>CEG Motors</t>
  </si>
  <si>
    <t>CEDAU-56</t>
  </si>
  <si>
    <t>Jayachandran</t>
  </si>
  <si>
    <t>Parthsarathi</t>
  </si>
  <si>
    <t>Ranjith Karthikeyan</t>
  </si>
  <si>
    <t>Santhosh Jeferson J.S</t>
  </si>
  <si>
    <t>Sri govarasan</t>
  </si>
  <si>
    <t>Automaki</t>
  </si>
  <si>
    <t>santhoshjeferson@gmail.com</t>
  </si>
  <si>
    <t>https://drive.google.com/open?id=1Tj9hcJg78Kfgp5-s1rqG-Ao1ByvAKk-C</t>
  </si>
  <si>
    <t>Vigneshwaran E</t>
  </si>
  <si>
    <t>Blue Core Innovations</t>
  </si>
  <si>
    <t>Shanmuga bhuvaneswar</t>
  </si>
  <si>
    <t>Alex</t>
  </si>
  <si>
    <t>bhuvan.ramalingam@hotmail.com</t>
  </si>
  <si>
    <t>Finfresh123$</t>
  </si>
  <si>
    <t>SC-e0llzf</t>
  </si>
  <si>
    <t>IPO-ojc1rs</t>
  </si>
  <si>
    <t>Geosonic</t>
  </si>
  <si>
    <t>Naveen Kanna</t>
  </si>
  <si>
    <t>VEN-TURB-2253</t>
  </si>
  <si>
    <t>cedau-57</t>
  </si>
  <si>
    <t>https://drive.google.com/file/d/1UlrxM_AHdk68OEtgluBi7kH5FiObeWnn/view?usp=drive_link</t>
  </si>
  <si>
    <t>Jerome dinakaran</t>
  </si>
  <si>
    <t>jeromedinakaran@gmail.com</t>
  </si>
  <si>
    <t>https://drive.google.com/open?id=1VJFo9SEViswHG__iQf9BE6MaCaSJ1Fwl</t>
  </si>
  <si>
    <t>Asynchonix</t>
  </si>
  <si>
    <t>Lakshanaa A</t>
  </si>
  <si>
    <t>Tejashree</t>
  </si>
  <si>
    <t>98400 63038</t>
  </si>
  <si>
    <t>SC-v4m8f</t>
  </si>
  <si>
    <t>Little Hands</t>
  </si>
  <si>
    <t>cedau-58</t>
  </si>
  <si>
    <t>R V Aswiga</t>
  </si>
  <si>
    <t>Vendan U</t>
  </si>
  <si>
    <t>aswiga.rv@vit.ac.in</t>
  </si>
  <si>
    <t>Aswiga*1</t>
  </si>
  <si>
    <t>VEN-ZEPH-2773</t>
  </si>
  <si>
    <t>Sc-g8mwsh</t>
  </si>
  <si>
    <t>Tactical Bee</t>
  </si>
  <si>
    <t>Nevan.L</t>
  </si>
  <si>
    <t>got the consent form , has to apply</t>
  </si>
  <si>
    <t>nevan.28ee@licet.ac.in</t>
  </si>
  <si>
    <t>Liya Therese A J</t>
  </si>
  <si>
    <t>Velammal Institute of Technology</t>
  </si>
  <si>
    <t>No-1 Aarthi Nagar, Chithra Enclave, Selaiyur</t>
  </si>
  <si>
    <t>https://drive.google.com/open?id=1GgAzrhaWcpBPQsW6zHRD2g3L7XVQbRBh</t>
  </si>
  <si>
    <t>SS-6h7rb</t>
  </si>
  <si>
    <t>Eclolin Ventures</t>
  </si>
  <si>
    <t>IPO-mf6d59</t>
  </si>
  <si>
    <t>https://docs.google.com/presentation/d/1d_QPiSCNKK8qPBBvYe2cLPeJl46ZqELP/edit?usp=sharing&amp;ouid=104277249549708518105&amp;rtpof=true&amp;sd=true</t>
  </si>
  <si>
    <t>PSG College of Arts and Science</t>
  </si>
  <si>
    <t>Siva Subramaniyan</t>
  </si>
  <si>
    <t>SC-ug8ozm</t>
  </si>
  <si>
    <t>AKASH RS</t>
  </si>
  <si>
    <t>satishkumar.veducate@gmail.com</t>
  </si>
  <si>
    <t>Satish@2025</t>
  </si>
  <si>
    <t>Trustable</t>
  </si>
  <si>
    <t>SC-ecrjpqw</t>
  </si>
  <si>
    <t>PSG Institute of Technology and Applied Research</t>
  </si>
  <si>
    <t>23/31, Appasamy St, Brindavan Extension, Kodambakkam, Chennai, Tamil Nadu 600024</t>
  </si>
  <si>
    <t>SC-e4ss8o</t>
  </si>
  <si>
    <t>Runverve</t>
  </si>
  <si>
    <t>https://docs.google.com/presentation/d/1WbLTAapfRoC1Jw8AjPoUSNHbaO1Bni6Q/edit?usp=sharing&amp;ouid=104277249549708518105&amp;rtpof=true&amp;sd=true</t>
  </si>
  <si>
    <t>Sharvesh S</t>
  </si>
  <si>
    <t>PX-x22sud</t>
  </si>
  <si>
    <t>Sun-dram Technologies</t>
  </si>
  <si>
    <t>P. Paneer Selvam</t>
  </si>
  <si>
    <t>Prince Shri Venkateshwara Padmavathy Engineering college</t>
  </si>
  <si>
    <t>pannerselvamece1368@gmail.com</t>
  </si>
  <si>
    <t>naveen kumar</t>
  </si>
  <si>
    <t>Panner@136</t>
  </si>
  <si>
    <t>sc-3yn3y</t>
  </si>
  <si>
    <t>Pentastech</t>
  </si>
  <si>
    <t>IoT</t>
  </si>
  <si>
    <t>Dhanesh Km</t>
  </si>
  <si>
    <t>2/212, Putheri STreet, Manampathy, Uthiramerur, Kancheepuram - 603403</t>
  </si>
  <si>
    <t>9578124419 / 7200806009</t>
  </si>
  <si>
    <t>Agrogen</t>
  </si>
  <si>
    <t>sc-s98rzx</t>
  </si>
  <si>
    <t>https://docs.google.com/presentation/d/1R62ldDA80PBjNGZCWUlo8ednBrIS-Aq_/edit?usp=sharing&amp;ouid=104277249549708518105&amp;rtpof=true&amp;sd=true</t>
  </si>
  <si>
    <t>Jeppiaar Institute of Technology</t>
  </si>
  <si>
    <t>SC-lvrbhd</t>
  </si>
  <si>
    <t>Smart Hundi</t>
  </si>
  <si>
    <t>Vellore Institute of Technology, Chennai</t>
  </si>
  <si>
    <t>Sivasubramani C</t>
  </si>
  <si>
    <t>intramobility@gmail.com</t>
  </si>
  <si>
    <t>Welcome@123</t>
  </si>
  <si>
    <t>ColdHot</t>
  </si>
  <si>
    <t>19.12.25</t>
  </si>
  <si>
    <t>Kalaignar Karunanidhi Institute of Technology</t>
  </si>
  <si>
    <t>Kavyashri K</t>
  </si>
  <si>
    <t>PX-jq5l4j</t>
  </si>
  <si>
    <t>Lignozyme</t>
  </si>
  <si>
    <t>RMZ Millenia Park , Perungudi ,chennai</t>
  </si>
  <si>
    <t>Naveen P</t>
  </si>
  <si>
    <t>sc-zvs89</t>
  </si>
  <si>
    <t>Sugarless Wonders</t>
  </si>
  <si>
    <t>SC-5gvo9n</t>
  </si>
  <si>
    <t xml:space="preserve">akash siva teja </t>
  </si>
  <si>
    <t>skvinayagham@gmail.com</t>
  </si>
  <si>
    <t>Aakash*1</t>
  </si>
  <si>
    <t>Intra Mobility and Precision System Pvt Ltd</t>
  </si>
  <si>
    <t>Sasikala Natarajamani</t>
  </si>
  <si>
    <t>8121564541 / 7981973211</t>
  </si>
  <si>
    <t>CEDAU-13</t>
  </si>
  <si>
    <t>Crea AI</t>
  </si>
  <si>
    <t>No 1 Aarthi Nagar Chithra Enclave</t>
  </si>
  <si>
    <t>Loopverse</t>
  </si>
  <si>
    <t>ipo-5av34m</t>
  </si>
  <si>
    <t>https://docs.google.com/presentation/d/15MGrNRcJXUSMXUaCjctPr49PzbioluZx/edit?usp=sharing&amp;ouid=104277249549708518105&amp;rtpof=true&amp;sd=true</t>
  </si>
  <si>
    <t>not interested</t>
  </si>
  <si>
    <t>SC-u96aa4</t>
  </si>
  <si>
    <t>blnk</t>
  </si>
  <si>
    <t>sanjeev misd</t>
  </si>
  <si>
    <t>misd automation</t>
  </si>
  <si>
    <t>W Karunakaran</t>
  </si>
  <si>
    <t>SA siva sooryaa</t>
  </si>
  <si>
    <t>CEDAU-31</t>
  </si>
  <si>
    <t>Pro EduVate</t>
  </si>
  <si>
    <t>sasivasooryaa@gmail.com</t>
  </si>
  <si>
    <t>Sivasooryaasai@24</t>
  </si>
  <si>
    <t>Agni College of Technology</t>
  </si>
  <si>
    <t>Athithya Rayan</t>
  </si>
  <si>
    <t>Hybrid Biofertilizer (Magasool)</t>
  </si>
  <si>
    <t>No 9, thiruvengadam apartments, kongu nagar 1st street, mogappair, chennai-600037</t>
  </si>
  <si>
    <t>IPO-7i7nb</t>
  </si>
  <si>
    <t>SC-slpbfe</t>
  </si>
  <si>
    <t>Rapikit</t>
  </si>
  <si>
    <t>https://drive.google.com/file/d/1P71FvYpItc1HA5flnMDZjHqgEnahKtvC/view?usp=sharing</t>
  </si>
  <si>
    <t>Namma Vivasayi</t>
  </si>
  <si>
    <t>Sathya prakash</t>
  </si>
  <si>
    <t>sathyaprakash1029@gmail.com</t>
  </si>
  <si>
    <t>Sathya@#2003</t>
  </si>
  <si>
    <t>SPREZOX</t>
  </si>
  <si>
    <t>S2</t>
  </si>
  <si>
    <t>Hindusthan College of Engineering and Technology</t>
  </si>
  <si>
    <t>7/35 Ambethkar street mannivakkam</t>
  </si>
  <si>
    <t>Leogar Renewables</t>
  </si>
  <si>
    <t xml:space="preserve">ipo-axim </t>
  </si>
  <si>
    <t>Karpaga Vinayaga College of Engineering and Technology</t>
  </si>
  <si>
    <t>https://docs.google.com/presentation/d/160cPo5CjhoTEcnbUqeoL4E6ufPBT0gxj/edit?usp=sharing&amp;ouid=104277249549708518105&amp;rtpof=true&amp;sd=true</t>
  </si>
  <si>
    <t>rithuparan p s</t>
  </si>
  <si>
    <t>SC-081wb</t>
  </si>
  <si>
    <t>Alertcare</t>
  </si>
  <si>
    <t>barath raj</t>
  </si>
  <si>
    <t>S Thangavel</t>
  </si>
  <si>
    <t>sc-mnnn9n</t>
  </si>
  <si>
    <t>Fluxora</t>
  </si>
  <si>
    <t>maharaja pandian G</t>
  </si>
  <si>
    <t>sc-towsh</t>
  </si>
  <si>
    <t>Biomediac Solution X</t>
  </si>
  <si>
    <t>Holycross Engineering College, Tuticorin</t>
  </si>
  <si>
    <t>rahul g</t>
  </si>
  <si>
    <t>IPO-mf2rwi</t>
  </si>
  <si>
    <t>SC-6y3eg</t>
  </si>
  <si>
    <t>https://docs.google.com/presentation/d/1O-4Y-K-HaEKILeDFo5VeCQkQP8ahl1TS/edit?usp=sharing&amp;ouid=104277249549708518105&amp;rtpof=true&amp;sd=true</t>
  </si>
  <si>
    <t>Lensora AI</t>
  </si>
  <si>
    <t>SC-nznrrh</t>
  </si>
  <si>
    <t>Ennamopenuphro Compute Technologies Pvt Ltd</t>
  </si>
  <si>
    <t>Alumini, CEG</t>
  </si>
  <si>
    <t>Akshay Karthikeyan Sk</t>
  </si>
  <si>
    <t xml:space="preserve"> 23pc05@psgtech.ac.in</t>
  </si>
  <si>
    <t>Iyyansoft Technologies</t>
  </si>
  <si>
    <t>Akshay@1906</t>
  </si>
  <si>
    <t>Vedhavarshan S</t>
  </si>
  <si>
    <t>Dhanalakshmi Srinivasan University</t>
  </si>
  <si>
    <t>sc-v80p8o</t>
  </si>
  <si>
    <t>SSGhealthcare pvt ltd</t>
  </si>
  <si>
    <t>Easwari Engineering College</t>
  </si>
  <si>
    <t>gopikakanagaraj</t>
  </si>
  <si>
    <t>SC-nx45i</t>
  </si>
  <si>
    <t>Haptic Verse</t>
  </si>
  <si>
    <t>Ragas Dental College and Hospital</t>
  </si>
  <si>
    <t>SC-xrz94</t>
  </si>
  <si>
    <t>Simma Enterprise</t>
  </si>
  <si>
    <t>Purush@1996</t>
  </si>
  <si>
    <t>Vellore Institute of Technology</t>
  </si>
  <si>
    <t>Dharshini C</t>
  </si>
  <si>
    <t xml:space="preserve">SC-qdmhpb </t>
  </si>
  <si>
    <t>1 found + 3emp</t>
  </si>
  <si>
    <t>Harvo</t>
  </si>
  <si>
    <t>VIVEKANANDHA COLLEGE OF ENGINNERING FOR WOMEN</t>
  </si>
  <si>
    <t>NO 325, malligai poo nagar, adyar, chennai 600020</t>
  </si>
  <si>
    <t>Mohammed Roshan Ibrahim</t>
  </si>
  <si>
    <t>Hyrowah</t>
  </si>
  <si>
    <t>Saigovind V / Sadhana</t>
  </si>
  <si>
    <t>SyncField</t>
  </si>
  <si>
    <t>SC-v80p8o</t>
  </si>
  <si>
    <t>17.04.25</t>
  </si>
  <si>
    <t>APEX</t>
  </si>
  <si>
    <t>1 found</t>
  </si>
  <si>
    <t>No 1/72 Near mathi rice mill Kovilur Pudukottai 622301</t>
  </si>
  <si>
    <t xml:space="preserve">Gas Tech </t>
  </si>
  <si>
    <t>Veducate Skills and Technologies</t>
  </si>
  <si>
    <t>E B Priyanka</t>
  </si>
  <si>
    <t>St.Joseph's college of engineering , OMR, Chennai.</t>
  </si>
  <si>
    <t>School Campus</t>
  </si>
  <si>
    <t>ResourceIndia.co</t>
  </si>
  <si>
    <t>IPO-slh17e</t>
  </si>
  <si>
    <t>https://docs.google.com/presentation/d/1MuQWS_G1HplPIFw5TjucIqjiErc1qDXv/edit?usp=sharing&amp;ouid=104277249549708518105&amp;rtpof=true&amp;sd=true</t>
  </si>
  <si>
    <t>abishek A</t>
  </si>
  <si>
    <t>Ron Carter</t>
  </si>
  <si>
    <t>sc-h83z6f</t>
  </si>
  <si>
    <t>Did Not Disclose</t>
  </si>
  <si>
    <t>Hydros</t>
  </si>
  <si>
    <t>Kongu Engineering College</t>
  </si>
  <si>
    <t>jayambu akash siva teja</t>
  </si>
  <si>
    <t xml:space="preserve">last  checks </t>
  </si>
  <si>
    <t>Vetri Enterprises</t>
  </si>
  <si>
    <t>tier 2</t>
  </si>
  <si>
    <t>Kelambakkam</t>
  </si>
  <si>
    <t>male</t>
  </si>
  <si>
    <t>BC</t>
  </si>
  <si>
    <t>Kings College of Engineering</t>
  </si>
  <si>
    <t>Medmall</t>
  </si>
  <si>
    <t>IPO-v26g0f</t>
  </si>
  <si>
    <t>aswathvishnu73@gmail.com</t>
  </si>
  <si>
    <t>Janani S</t>
  </si>
  <si>
    <t>Aswathvishnu@73</t>
  </si>
  <si>
    <t>sc-529ofg</t>
  </si>
  <si>
    <t>Verdant Vision</t>
  </si>
  <si>
    <t>11.07.25</t>
  </si>
  <si>
    <t xml:space="preserve">E76 mathana gopal thilagam, agaram chinnamalanam patti, near surabi college, chinnamalanam patti, Dindigul, Tamil Nadu, Dindigul- 624709
</t>
  </si>
  <si>
    <t>MANI MOZHI VARMAN K</t>
  </si>
  <si>
    <t>SC-6eh558</t>
  </si>
  <si>
    <t>Sc-3343hr</t>
  </si>
  <si>
    <t>Qloset</t>
  </si>
  <si>
    <t>ceg , anna university</t>
  </si>
  <si>
    <t>https://docs.google.com/presentation/d/17APXum_6v75puPYL7bfg9TQt7yJJxsxX/edit?usp=sharing&amp;ouid=104277249549708518105&amp;rtpof=true&amp;sd=true</t>
  </si>
  <si>
    <t>Praveen B B</t>
  </si>
  <si>
    <t>SC-8bhnkk</t>
  </si>
  <si>
    <t>praviot</t>
  </si>
  <si>
    <t>Sentivest</t>
  </si>
  <si>
    <t>15.10.25</t>
  </si>
  <si>
    <t>1 found + 35 emp</t>
  </si>
  <si>
    <t>Fashion &amp; Retail</t>
  </si>
  <si>
    <t>finfresh</t>
  </si>
  <si>
    <t>COMPANY / PRODUCT NAME</t>
  </si>
  <si>
    <t>No 7/2, 5th Street, Rajendra Nagar, Palayamkottai, Tirunelveli - 627002</t>
  </si>
  <si>
    <t>THRUST AREA</t>
  </si>
  <si>
    <t>Funding Scheme</t>
  </si>
  <si>
    <t>AMOUNT</t>
  </si>
  <si>
    <t>S. John Paul</t>
  </si>
  <si>
    <t>https://docs.google.com/presentation/d/1EV9T72VDcsImuuEu7YDiejbpGu0Mvy9q/edit?usp=drive_link&amp;ouid=104277249549708518105&amp;rtpof=true&amp;sd=true</t>
  </si>
  <si>
    <t>Flovepal Greenspace</t>
  </si>
  <si>
    <t>SC-i822op</t>
  </si>
  <si>
    <t>AR/VR</t>
  </si>
  <si>
    <t>IVP</t>
  </si>
  <si>
    <t>₹ 3,00,000</t>
  </si>
  <si>
    <t>Nexoris Solutions</t>
  </si>
  <si>
    <t>EduTech</t>
  </si>
  <si>
    <t>Vetriprasath@59</t>
  </si>
  <si>
    <t>Fashion Tech</t>
  </si>
  <si>
    <t>31.10.26</t>
  </si>
  <si>
    <t>Soil Steps</t>
  </si>
  <si>
    <t>Alex Bruno</t>
  </si>
  <si>
    <t>157,1st cross , Saravanapuram Allithurai, Tiruchirappalli, Tamil Nadu, 620102</t>
  </si>
  <si>
    <t>George Multitech System</t>
  </si>
  <si>
    <t>Health-Tech, MAaaS</t>
  </si>
  <si>
    <t>₹ 7,00,000</t>
  </si>
  <si>
    <t>https://drive.google.com/file/d/1tQYpjd0ys7bIEyfdKiGLxZMGevfiyhZ-/view?usp=sharing</t>
  </si>
  <si>
    <t>Aruldha Raja Aiswarya CA</t>
  </si>
  <si>
    <t>Marine Tech</t>
  </si>
  <si>
    <t>Balakamalam</t>
  </si>
  <si>
    <t>Namma ammuchi tradition foods</t>
  </si>
  <si>
    <t>₹ 50,000</t>
  </si>
  <si>
    <t>NOVA Ecotech</t>
  </si>
  <si>
    <t>MURUGANANTHAM</t>
  </si>
  <si>
    <t>₹ 2,93,000</t>
  </si>
  <si>
    <t>Agri</t>
  </si>
  <si>
    <t>Vijaykrishna</t>
  </si>
  <si>
    <t>CEDAU-30</t>
  </si>
  <si>
    <t>Svijaykrishna@12</t>
  </si>
  <si>
    <t>Global Technologies</t>
  </si>
  <si>
    <t>Ayush Upadhyay</t>
  </si>
  <si>
    <t>3found + 1emp</t>
  </si>
  <si>
    <t>Bharat Ms / Madhu Pragadeshwaran</t>
  </si>
  <si>
    <t>Crisp Roots</t>
  </si>
  <si>
    <t>Agri Tech</t>
  </si>
  <si>
    <t>3rd Main Road, Vijaya Nagar, Velachery, Chennai - 600042</t>
  </si>
  <si>
    <t>Chandrika Murali</t>
  </si>
  <si>
    <t>Fusillade Innotech Ventures</t>
  </si>
  <si>
    <t>GAGS</t>
  </si>
  <si>
    <t>IOT</t>
  </si>
  <si>
    <t>SISFS</t>
  </si>
  <si>
    <t>₹ 10,00,000</t>
  </si>
  <si>
    <t>MedTech</t>
  </si>
  <si>
    <t>Vamsi8kotha123@gmail.com</t>
  </si>
  <si>
    <t>Ezhilarasan M</t>
  </si>
  <si>
    <t>Vamsimadhu*charge1</t>
  </si>
  <si>
    <t>CARBONERGY CONSULTANCY</t>
  </si>
  <si>
    <t>SimulatiKart</t>
  </si>
  <si>
    <t>₹ 2,00,000</t>
  </si>
  <si>
    <t>SAAS</t>
  </si>
  <si>
    <t>no 31 thirumalai nagar 2nd mainroad kolathur</t>
  </si>
  <si>
    <t>APIXY</t>
  </si>
  <si>
    <t>iot</t>
  </si>
  <si>
    <t>https://drive.google.com/file/d/1_oyvkYV9seEqEx0ZpV2wRqZi6JqcpK3a/view?usp=sharing</t>
  </si>
  <si>
    <t>Iswariya S</t>
  </si>
  <si>
    <t>Kochadai M</t>
  </si>
  <si>
    <t>Water Edge</t>
  </si>
  <si>
    <t>cedau-18</t>
  </si>
  <si>
    <t>S PRITHIV RAJ</t>
  </si>
  <si>
    <t>₹ 70,000</t>
  </si>
  <si>
    <t>giggers</t>
  </si>
  <si>
    <t>prithiviraj71173@gmail.com</t>
  </si>
  <si>
    <t>Ngz8GvV2pb2d4@6</t>
  </si>
  <si>
    <t>Electronic Consumables</t>
  </si>
  <si>
    <t>Janani Selvaganesh</t>
  </si>
  <si>
    <t>PX-iryrmq</t>
  </si>
  <si>
    <t>Verdent Vision</t>
  </si>
  <si>
    <t>GOO</t>
  </si>
  <si>
    <t>Address of the Company1140 Hussain bhai thottam Thadagam road Gandhi park Coimbatore 641002</t>
  </si>
  <si>
    <t>obc</t>
  </si>
  <si>
    <t>₹ 2,60,000</t>
  </si>
  <si>
    <t>https://docs.google.com/presentation/d/16iZHJVd8g9Vuf773Dx3vQinjIncBZeZc/edit?usp=sharing&amp;ouid=104277249549708518105&amp;rtpof=true&amp;sd=true</t>
  </si>
  <si>
    <t>F3</t>
  </si>
  <si>
    <t>₹ 2,97,000</t>
  </si>
  <si>
    <t>Rajalakshmi engineering college</t>
  </si>
  <si>
    <t>Akash</t>
  </si>
  <si>
    <t>₹ 2,34,000</t>
  </si>
  <si>
    <t xml:space="preserve">Kavyashri K </t>
  </si>
  <si>
    <t>CarbonTech Innovations</t>
  </si>
  <si>
    <t>Vetri</t>
  </si>
  <si>
    <t>kavyashri.workspace@gmail.com</t>
  </si>
  <si>
    <t>Ka@210802</t>
  </si>
  <si>
    <t>Deep Tech</t>
  </si>
  <si>
    <t>Karunakaran</t>
  </si>
  <si>
    <t>Pro Eduvate</t>
  </si>
  <si>
    <t>ARKADESLEVEL</t>
  </si>
  <si>
    <t>consumables</t>
  </si>
  <si>
    <t>7, Maruthi Avenue, Govarthanagiri, Avadi, Chennai - 600071</t>
  </si>
  <si>
    <t>Kaviya Kannan</t>
  </si>
  <si>
    <t>Cold Storage</t>
  </si>
  <si>
    <t>₹ 30,000</t>
  </si>
  <si>
    <t>Sriram</t>
  </si>
  <si>
    <t>Ziggers</t>
  </si>
  <si>
    <t>offora</t>
  </si>
  <si>
    <t>ABSENT</t>
  </si>
  <si>
    <t>12.09.25</t>
  </si>
  <si>
    <t>Ummul Fayiza</t>
  </si>
  <si>
    <t>Lakshmi Priya</t>
  </si>
  <si>
    <t>TNS-288</t>
  </si>
  <si>
    <t>Orbiscan</t>
  </si>
  <si>
    <t>Sports Tech</t>
  </si>
  <si>
    <t>PX-ptkk1</t>
  </si>
  <si>
    <t>SRM IST KTR</t>
  </si>
  <si>
    <t>PlantIn</t>
  </si>
  <si>
    <t xml:space="preserve">prempradeep038@gmail.com </t>
  </si>
  <si>
    <t>Prempradeep@038</t>
  </si>
  <si>
    <t>bhuvana</t>
  </si>
  <si>
    <t>1found + 3 emp</t>
  </si>
  <si>
    <t>BioTech</t>
  </si>
  <si>
    <t xml:space="preserve">pre in c @ iitm </t>
  </si>
  <si>
    <t>Kinsync</t>
  </si>
  <si>
    <t>No.10, Pon Vedha Apartments, Tamarai Nagar 2nd street, Cholambedu road, Ambattur, Chennai, Tamil Nadu - 600054</t>
  </si>
  <si>
    <t>Water Tech</t>
  </si>
  <si>
    <t>Renewables</t>
  </si>
  <si>
    <t>V Vijaya kumar</t>
  </si>
  <si>
    <t>SC-8j8zog</t>
  </si>
  <si>
    <t>Roxer Cub</t>
  </si>
  <si>
    <t>Food Tech</t>
  </si>
  <si>
    <t>Guru moothy Subburaj</t>
  </si>
  <si>
    <t>TNS-95</t>
  </si>
  <si>
    <t>Anuthiraviam@12</t>
  </si>
  <si>
    <t>RMK</t>
  </si>
  <si>
    <t>Cyclebees</t>
  </si>
  <si>
    <t>Waste to Wealth</t>
  </si>
  <si>
    <t>GTP</t>
  </si>
  <si>
    <t>₹ 1,00,000</t>
  </si>
  <si>
    <t>Muruganantham R</t>
  </si>
  <si>
    <t>2/3/59, Bharathiyar street, perumalmalai, Kodaikanal -624101</t>
  </si>
  <si>
    <t>sonaa meiyappan</t>
  </si>
  <si>
    <t>https://docs.google.com/presentation/d/1GTUuQ193iH8aPr4qTGOjSh7oj8tF1aN7/edit?usp=sharing&amp;ouid=104277249549708518105&amp;rtpof=true&amp;sd=true</t>
  </si>
  <si>
    <t>SC-fav05</t>
  </si>
  <si>
    <t>3SElectric Innovative Services</t>
  </si>
  <si>
    <t>Muni Chandrasekar Reddy</t>
  </si>
  <si>
    <t>Apex</t>
  </si>
  <si>
    <t>HEMANTH.B</t>
  </si>
  <si>
    <t>tharaneeswharan5555@gmail.com</t>
  </si>
  <si>
    <t>Tharaneeswharan@55</t>
  </si>
  <si>
    <t>SC-e2mmc2</t>
  </si>
  <si>
    <t>Canine Connect</t>
  </si>
  <si>
    <t>P. Paneer Selvam / Krishna kumar</t>
  </si>
  <si>
    <t>vakanathundu thottam bavathi nagar kanakampalayam. gobichettipalayam (tk), erode (dt) ..pin - 638505</t>
  </si>
  <si>
    <t>₹ 9,00,000</t>
  </si>
  <si>
    <t>SenseUs</t>
  </si>
  <si>
    <t>SC-352sbi</t>
  </si>
  <si>
    <t>https://docs.google.com/presentation/d/1zH7oPcHBU2ypBkNZMJ-UzIHydcevpHCz/edit?usp=sharing&amp;ouid=104277249549708518105&amp;rtpof=true&amp;sd=true</t>
  </si>
  <si>
    <t>TANSEED</t>
  </si>
  <si>
    <t>Mohamed Shameer M</t>
  </si>
  <si>
    <t>PraIOT</t>
  </si>
  <si>
    <t>SC-qaqe0p</t>
  </si>
  <si>
    <t>CodizWorq</t>
  </si>
  <si>
    <t>vishnu.act06@gmail.com</t>
  </si>
  <si>
    <t>₹ 2,88,000</t>
  </si>
  <si>
    <t>@Vishnu21</t>
  </si>
  <si>
    <t>1 founder</t>
  </si>
  <si>
    <t>Alagappa College of Technology, Anna University</t>
  </si>
  <si>
    <t>connect to yash</t>
  </si>
  <si>
    <t>B3 mahalakshmi flats 2nd floor brahmin lane, saidapet, chennai-600015</t>
  </si>
  <si>
    <t>Bojamedtech</t>
  </si>
  <si>
    <t>https://docs.google.com/presentation/d/1g09SgWmRT8I0jsBBRlc4ZMBRmQxHlpzhdG2wl8bLoEM/edit?usp=sharing</t>
  </si>
  <si>
    <t>Internal Hackhathon</t>
  </si>
  <si>
    <t>₹ 1,000</t>
  </si>
  <si>
    <t>SC(BT)-3yqjDH</t>
  </si>
  <si>
    <t xml:space="preserve">Femi fair </t>
  </si>
  <si>
    <t>skylerdanger2000@gmail.com</t>
  </si>
  <si>
    <t>Qloset@123</t>
  </si>
  <si>
    <t>Health Tech</t>
  </si>
  <si>
    <t>UNIHOMES PHASE 1 TOWER 1 NO 204,RATINAMANGALM CHENNAI-600127</t>
  </si>
  <si>
    <t>Tynko Partner</t>
  </si>
  <si>
    <t>Ruthresh</t>
  </si>
  <si>
    <t>https://drive.google.com/file/d/1JpesebGrTQRjlE59-oIm47tqykoWEbXQ/view?usp=sharing</t>
  </si>
  <si>
    <t>Mohamed Sathak A J College of engineering</t>
  </si>
  <si>
    <t>SensChat</t>
  </si>
  <si>
    <t>Salonika D</t>
  </si>
  <si>
    <t>Plume Xbio Pvt Ltd</t>
  </si>
  <si>
    <t>sharvesh4705@gmail.com</t>
  </si>
  <si>
    <t>Sundaram1947</t>
  </si>
  <si>
    <t>chandrika murali</t>
  </si>
  <si>
    <t>Arun</t>
  </si>
  <si>
    <t>Dechta</t>
  </si>
  <si>
    <t>14.07.26</t>
  </si>
  <si>
    <t>Sanjeev M</t>
  </si>
  <si>
    <t>MISD Automation</t>
  </si>
  <si>
    <t>SC-lpwpfz</t>
  </si>
  <si>
    <t>xathelete</t>
  </si>
  <si>
    <t>no.46, Balasubramania nagar, street no.2, ITI backside, GN Mills , Coimbatore -29</t>
  </si>
  <si>
    <t>https://drive.google.com/file/d/1-yznzjE283jjx-b3vDiIbIwsga68hIlk/view?usp=sharing</t>
  </si>
  <si>
    <t>70126 79913</t>
  </si>
  <si>
    <t>Noovara envirotech</t>
  </si>
  <si>
    <t>Andro Crea Innovations Pvt ltd</t>
  </si>
  <si>
    <t>Bio Tech</t>
  </si>
  <si>
    <t>Fab again</t>
  </si>
  <si>
    <t xml:space="preserve">Anjhana </t>
  </si>
  <si>
    <t>Government College of Engineering Srirangam Trichy</t>
  </si>
  <si>
    <t>anjhana.deiva@gmail.com</t>
  </si>
  <si>
    <t>Anjhana@12deiva</t>
  </si>
  <si>
    <t xml:space="preserve"> 98435 45796</t>
  </si>
  <si>
    <t>Sree mahalakshmi entrp</t>
  </si>
  <si>
    <t>103 jaishree apartment, 2nd main road, r.a.puram, chennai -28</t>
  </si>
  <si>
    <t>ST</t>
  </si>
  <si>
    <t>ColdHot (HydroX)</t>
  </si>
  <si>
    <t>99648 00059</t>
  </si>
  <si>
    <t>SC-3o0p3</t>
  </si>
  <si>
    <t>SC-a9ruvt</t>
  </si>
  <si>
    <t>Choiice</t>
  </si>
  <si>
    <t>naviinkumar209@gmail.com</t>
  </si>
  <si>
    <t>AgriAi@2025</t>
  </si>
  <si>
    <t>Cortivue</t>
  </si>
  <si>
    <t>Kongu engineering college</t>
  </si>
  <si>
    <t>AI/ML</t>
  </si>
  <si>
    <t>156 Pentastech mullai st VGP shanthi nagar pallikaranai chennai 600100 TAMIL NADU CHENNAI</t>
  </si>
  <si>
    <t>https://drive.google.com/file/d/1TD6Zr_t4dP2amdmHB97iyp7MVXGAWrPM/view?usp=sharing</t>
  </si>
  <si>
    <t>₹ 15,000</t>
  </si>
  <si>
    <t>Aquamorph</t>
  </si>
  <si>
    <t>CreateX</t>
  </si>
  <si>
    <t>Call Sevai</t>
  </si>
  <si>
    <t>sivakbt21@gmail.com</t>
  </si>
  <si>
    <t>Siva@123</t>
  </si>
  <si>
    <t>MeitY TIDE 2.0</t>
  </si>
  <si>
    <t>₹ 4,00,000</t>
  </si>
  <si>
    <t>jk semitech</t>
  </si>
  <si>
    <t xml:space="preserve">No 231, Big street, Kadambattur, CHENNAI ,
631203
</t>
  </si>
  <si>
    <t>https://docs.google.com/presentation/d/17d-7F8ya_H6PxxxxcwOvvTarwPgPOlaN/edit?usp=sharing&amp;ouid=104277249549708518105&amp;rtpof=true&amp;sd=true</t>
  </si>
  <si>
    <t>Fashion to Farm</t>
  </si>
  <si>
    <t>gopikakanagaraj1111@gmail.com</t>
  </si>
  <si>
    <t>gopika17*KA</t>
  </si>
  <si>
    <t>TOTAL</t>
  </si>
  <si>
    <t>4/613 SP Nagar, Kullampalayam post, Gobichettipalayam, Erode dt</t>
  </si>
  <si>
    <t>SC-rawi2j</t>
  </si>
  <si>
    <t>₹ 1,94,47,000</t>
  </si>
  <si>
    <t>https://docs.google.com/presentation/d/100spzmnKXgcVCDW56dtZMhsgCfTyMSe0/edit?slide=id.p8#slide=id.p8</t>
  </si>
  <si>
    <t>no idea</t>
  </si>
  <si>
    <t>pandianmaharajag@gmail.com</t>
  </si>
  <si>
    <t>@Gm@0345@</t>
  </si>
  <si>
    <t>80/8,kamaraj Nagar 1st Street, Sankarankovil, Tenkasi</t>
  </si>
  <si>
    <t>https://docs.google.com/presentation/d/1qNVBk6gBUF6C_R1PZ17tOFm6axKc1L5C/edit?usp=sharing&amp;ouid=104277249549708518105&amp;rtpof=true&amp;sd=true</t>
  </si>
  <si>
    <t>SC-h83z6f</t>
  </si>
  <si>
    <t>sterilysense@gmail.com</t>
  </si>
  <si>
    <t>Sterilysense@2024</t>
  </si>
  <si>
    <t xml:space="preserve">last checks </t>
  </si>
  <si>
    <t>Chennai</t>
  </si>
  <si>
    <t>MBC</t>
  </si>
  <si>
    <t>https://drive.google.com/file/d/18ecch_ekv7-0S81KDJHkIjivGZFfbeRh/view?usp=sharing</t>
  </si>
  <si>
    <t>Shri Krishna</t>
  </si>
  <si>
    <t>finals - not interested</t>
  </si>
  <si>
    <t>SC-76yta</t>
  </si>
  <si>
    <t>mohammedhussainbasithsa@gmail.com</t>
  </si>
  <si>
    <t>Mohammed@123</t>
  </si>
  <si>
    <t>https://docs.google.com/presentation/d/1XXOdoM72D_hhdWkD5i29TjW9-amrFpOE/edit?usp=sharing&amp;ouid=104277249549708518105&amp;rtpof=true&amp;sd=true</t>
  </si>
  <si>
    <t>SC-fs1xt</t>
  </si>
  <si>
    <t>Kochadaimuthaiya</t>
  </si>
  <si>
    <t>https://docs.google.com/presentation/d/1K0_8ixw9xLF8lSGKb6GeRqHY8DvkBBNV/edit?usp=sharing&amp;ouid=104277249549708518105&amp;rtpof=true&amp;sd=true</t>
  </si>
  <si>
    <t>Vigneshwaran@123</t>
  </si>
  <si>
    <t>Renewable Energy / Smart City</t>
  </si>
  <si>
    <t xml:space="preserve">2 founders + 4 employees </t>
  </si>
  <si>
    <t>GUSEC gujarat</t>
  </si>
  <si>
    <t>pvt soon</t>
  </si>
  <si>
    <t>A2, Natwest Vistas, Kalki Nagar Mainroad, AGS Colony, Velachery, Chennai - 600042</t>
  </si>
  <si>
    <t>https://drive.google.com/file/d/1bMxYQQlYbDWHO1PCj8LZZ1BTe0fOzbXE/view?usp=sharing</t>
  </si>
  <si>
    <t>raghul</t>
  </si>
  <si>
    <t>Pstharani@2004</t>
  </si>
  <si>
    <t>SS-q04a2</t>
  </si>
  <si>
    <t>1/116, Easwaran Kovil 1st Cross Street, Madipakkam, Chennai – 600091</t>
  </si>
  <si>
    <t>https://docs.google.com/presentation/d/1Rbchip-rj68Va3SjmYraQyLPBDxUK_cI/edit?usp=sharing&amp;ouid=104277249549708518105&amp;rtpof=true&amp;sd=true</t>
  </si>
  <si>
    <t>Srinivasa Subbaraya Polytechnic College</t>
  </si>
  <si>
    <t xml:space="preserve">Jeziel Praise Son </t>
  </si>
  <si>
    <t>Mjeziel@18</t>
  </si>
  <si>
    <t>Plot no 28,sivalakshmi nagar,Thuvariman ,Madurai South ,Madurai - 625019</t>
  </si>
  <si>
    <t>SC-qi0vx</t>
  </si>
  <si>
    <t>https://docs.google.com/presentation/d/149HppxiF5fWSdC5NDButuJX_m6yEKHIP/edit?usp=sharing&amp;ouid=104277249549708518105&amp;rtpof=true&amp;sd=true</t>
  </si>
  <si>
    <t xml:space="preserve">anjanarangarajan06@gmail.com </t>
  </si>
  <si>
    <t>Anjana@06</t>
  </si>
  <si>
    <t>19.06.26</t>
  </si>
  <si>
    <t>Karunya Institute of Technology</t>
  </si>
  <si>
    <t>A079, casa grande elan, jagannath meadows road , chennai , Chengalpattu 600130</t>
  </si>
  <si>
    <t>https://drive.google.com/file/d/1YWnN75jWtxNAdKR8L3b7q3YvrpJshX1-/view?usp=sharing</t>
  </si>
  <si>
    <t xml:space="preserve">Deepika </t>
  </si>
  <si>
    <t>deepikaharigovindan@gmail.com</t>
  </si>
  <si>
    <t>Deepika@12</t>
  </si>
  <si>
    <t>SC-j3pgz</t>
  </si>
  <si>
    <t>2 Founders + 3 employees</t>
  </si>
  <si>
    <t>Vignesh .M</t>
  </si>
  <si>
    <t>EnviroTech</t>
  </si>
  <si>
    <t>​6385161700</t>
  </si>
  <si>
    <t>SC-tbel1l</t>
  </si>
  <si>
    <t>Sc-aal3wa</t>
  </si>
  <si>
    <t>https://drive.google.com/file/d/1t-3FllaryXk9o1WXlTHlMYQUTJL9S79N/view?usp=sharing</t>
  </si>
  <si>
    <t>murugavaithi@gmail.com</t>
  </si>
  <si>
    <t>Murugavaith@123</t>
  </si>
  <si>
    <t>24 South Street, Thittakudi, Pattukkottai - 614901</t>
  </si>
  <si>
    <t>Tirunelveli Medical College</t>
  </si>
  <si>
    <t>https://drive.google.com/file/d/1X28ckk2B2gna7Ohu1co1xCtOLuMRGGAP/view?usp=sharing</t>
  </si>
  <si>
    <t>wkarunakaran12b@gmail.com</t>
  </si>
  <si>
    <t>ProEduvate@001</t>
  </si>
  <si>
    <t>No.6,Thayagam Street,Kovalam road Mamallapuram, Chengalpattu 603104</t>
  </si>
  <si>
    <t>https://docs.google.com/presentation/d/1uaQshK-D_57QpLN85tltdCO-_hdPOfkC/edit?usp=sharing&amp;ouid=104277249549708518105&amp;rtpof=true&amp;sd=true</t>
  </si>
  <si>
    <t xml:space="preserve">Saigovind V / Sadhana </t>
  </si>
  <si>
    <t>mandolinsaigovind@gmail.com</t>
  </si>
  <si>
    <t>Saigovind@123</t>
  </si>
  <si>
    <t>map problem - udayam/ last checks / need to apply</t>
  </si>
  <si>
    <t>https://docs.google.com/presentation/d/1ENBbWjMrus_c-pGMptggJFsm1nLYauzS/edit?usp=sharing&amp;ouid=104277249549708518105&amp;rtpof=true&amp;sd=true</t>
  </si>
  <si>
    <t>SC-ns7yu</t>
  </si>
  <si>
    <t>sc-cr3j8</t>
  </si>
  <si>
    <t>:k.m.dhanesh2005@gmail.com</t>
  </si>
  <si>
    <t>AgroGen@123</t>
  </si>
  <si>
    <t>St. Joseph's Institute of Technology</t>
  </si>
  <si>
    <t>SC-l8fdc</t>
  </si>
  <si>
    <t>https://docs.google.com/presentation/d/17wdKIj5f9f7Im3Onqxb8JBSWlOHmnusB/edit?usp=sharing&amp;ouid=104277249549708518105&amp;rtpof=true&amp;sd=true</t>
  </si>
  <si>
    <t>jeeveshs18@gmail.com</t>
  </si>
  <si>
    <t>Jeeveshs@18</t>
  </si>
  <si>
    <t>NO 88 old nggo colony thiruvallur 602001</t>
  </si>
  <si>
    <t>https://docs.google.com/presentation/d/1xilADa_we21eyupqg43BdOhiGZY8F1wV/edit?usp=sharing&amp;ouid=104277249549708518105&amp;rtpof=true&amp;sd=true</t>
  </si>
  <si>
    <t>hemanth131415161718@gmail.com</t>
  </si>
  <si>
    <t>@Banahe15@</t>
  </si>
  <si>
    <t>Anna Nagar East,Chennai</t>
  </si>
  <si>
    <t>https://drive.google.com/file/d/1qjD-GcXz1UuBFOMudOdluGNs9fC7t9JA/view?usp=sharing</t>
  </si>
  <si>
    <t>ruthresh0928@gmail.com</t>
  </si>
  <si>
    <t>Ruthresh@0928</t>
  </si>
  <si>
    <t>No: 19, VINAYAGAR KOVIL STREET, TINDIVANAM TALUK, Nallamur, PO: Kiledayalam, DIST: Viluppuram,Tamil Nadu - 604302</t>
  </si>
  <si>
    <t>https://drive.google.com/file/d/1fzGMOVP8oCSnj7eaLmstMJs_p2Kp5jbl/view?usp=sharing</t>
  </si>
  <si>
    <t>reachoutarmaan@gmail.com</t>
  </si>
  <si>
    <t>Reachoutarmaan@55</t>
  </si>
  <si>
    <t>Flat No. B2, Mars Foundations, Saidapet Block B, Rangarajapuram 1st Street, Chennai, Tamil Nadu - 600015</t>
  </si>
  <si>
    <t>https://docs.google.com/presentation/d/1J48yzTB4_Zx3WazHZzagoKl9RPujXHf-/edit?usp=sharing&amp;ouid=104277249549708518105&amp;rtpof=true&amp;sd=true</t>
  </si>
  <si>
    <t xml:space="preserve">need to call </t>
  </si>
  <si>
    <t>Kmcr@2005</t>
  </si>
  <si>
    <t>A4,Balaji Enclave Group House,3rd street,Pallaniyappa Nagar,Vanagaram,Chennai,600095</t>
  </si>
  <si>
    <t>https://docs.google.com/presentation/d/1uK1jvNK5uZzUPeWETKPYgSroJ5mXheZM/edit?usp=sharing&amp;ouid=104277249549708518105&amp;rtpof=true&amp;sd=true</t>
  </si>
  <si>
    <t>jananiselvaganesan@gmail.com</t>
  </si>
  <si>
    <t>Janani@123</t>
  </si>
  <si>
    <t>SC-rw2it</t>
  </si>
  <si>
    <t>2/249, Anandha Bhavanam, Goundanpatti Road, Nagalapuram, Vilathikulam, Thoothukudi - 628904</t>
  </si>
  <si>
    <t>https://docs.google.com/presentation/d/1FXfUyGDlWBSVSWdlR8txzdfGM1uWDNfg/edit?usp=sharing&amp;ouid=104277249549708518105&amp;rtpof=true&amp;sd=true</t>
  </si>
  <si>
    <t>2023ee0739@svce.ac.in</t>
  </si>
  <si>
    <t>3SElectric@2024</t>
  </si>
  <si>
    <t>F4,Karpaga Vinayaga flats,ganesh nagar,1st cross street,cholembedu main road ,thirumullaivoyal,Ch-600062</t>
  </si>
  <si>
    <t>https://drive.google.com/file/d/1IJyIhDc_nJsknIBpWAK5dpREEs4y2Jtp/view?usp=sharing</t>
  </si>
  <si>
    <t>Mukesh Kumar</t>
  </si>
  <si>
    <t>mukeshkumar16rmk@gmail.com</t>
  </si>
  <si>
    <t>11.08.25</t>
  </si>
  <si>
    <t>https://docs.google.com/presentation/d/10FTUyZ_zpXB2nndcBXQlWcBMXfMK0yVj/edit?usp=sharing&amp;ouid=104277249549708518105&amp;rtpof=true&amp;sd=true</t>
  </si>
  <si>
    <t>Si.no</t>
  </si>
  <si>
    <t>Vendhanudhayanan@gmail.com</t>
  </si>
  <si>
    <t>@Ud12021972</t>
  </si>
  <si>
    <t>IVP - STATUS</t>
  </si>
  <si>
    <t>SSN College of Engineering</t>
  </si>
  <si>
    <t>No 3 ganapathy Nagar, velisemmendalam, Cuddalore</t>
  </si>
  <si>
    <t>submission date</t>
  </si>
  <si>
    <t>https://drive.google.com/file/d/16ki4JOqN7ZPYPneTQ1mW-roDP89_Q7B8/view?usp=sharing</t>
  </si>
  <si>
    <t>cross verify sno.</t>
  </si>
  <si>
    <t>Domain Tags</t>
  </si>
  <si>
    <t>problem statement</t>
  </si>
  <si>
    <t>SC-r5gvfa</t>
  </si>
  <si>
    <t>abishek372006@gmail.com</t>
  </si>
  <si>
    <t>Abishek@040367</t>
  </si>
  <si>
    <t xml:space="preserve"> Ruthresh A</t>
  </si>
  <si>
    <t>1/131,southstreet,pitchthalavanpatti,kovilpatti,thoothukudi,tamilnadu,627713</t>
  </si>
  <si>
    <t>https://drive.google.com/file/d/15VC3YOTSvBp5zx_f2_UnedEDj7sMRjGc/view?usp=sharing</t>
  </si>
  <si>
    <t>AI / ML,  Fashion , App Development / Software</t>
  </si>
  <si>
    <t>Fashion retail faces high return rates from customers' uncertainty about online clothing fit, appearance, and styling, plus challenges trying multiple outfits in physical stores, causing financial losses for retailers and inconvenience for buyers. Vitron addresses this widespread issue with an AI-powered virtual try-on platform that realistically shows garments on users and provides personalized outfit recommendations based on body type and preferences, deployable as software for both online and offline retail without expensive hardware</t>
  </si>
  <si>
    <t>19/07/25</t>
  </si>
  <si>
    <t>https://docs.google.com/presentation/d/1gLfAukoaWD809mJN3VkgMBqPAbsYgBjv/edit?usp=sharing&amp;ouid=104277249549708518105&amp;rtpof=true&amp;sd=true</t>
  </si>
  <si>
    <t>SC(BT)-pQ0NO</t>
  </si>
  <si>
    <t>shabeera2006@gmail.com</t>
  </si>
  <si>
    <t>AI / ML, SaaS, EdTech, Bio Tech</t>
  </si>
  <si>
    <t>Sha@2006</t>
  </si>
  <si>
    <t>pending</t>
  </si>
  <si>
    <t>4/5,SOUTH STREET,SIRUVACHUR(PO),THALAIVASAL(TK),SALEM(DT)-636112</t>
  </si>
  <si>
    <t>Autism Spectrum Disorder (ASD) affects 1 in 100 children globally (WHO 2023), impacting over 70 million people worldwide and 10 million in India, with limited therapy access in rural areas due to high costs and scarce trained therapists, burdening individuals with ASD, caregivers, families, therapy centers, and schools. Niya Therapy Hub solves this through a VR-based AI-driven platform on Meta Quest headsets, featuring immersive therapy environments, an AI virtual guide for personalized support, real-time progress tracking, and skill-building modules that blend therapy, education, and engagement—making it portable, scalable, and collaborative unlike costly traditional sessions or non-immersive apps, targeting a $2 billion+ global therapy market.</t>
  </si>
  <si>
    <t>https://docs.google.com/presentation/d/1AGp92K4_64IgcM-2B-4hcOB_R8Gr-GZe/edit?usp=sharing&amp;ouid=104277249549708518105&amp;rtpof=true&amp;sd=true</t>
  </si>
  <si>
    <t xml:space="preserve">EdTech, Enviro Tech </t>
  </si>
  <si>
    <t>Arun@2005</t>
  </si>
  <si>
    <t>SenseUs addresses a major gap in workplace training, where traditional LMS-based programs create awareness but fail to drive lasting behavioral change. Organizations struggle with recurring communication issues, low engagement, and ineffective culture-building because employees rarely get opportunities to practice real workplace situations. SenseUs solves this through a simulation-based training platform that places employees in interactive, decision-driven workplace scenarios with real-time responses, progressive difficulty, and behavior-focused gamification. By enabling continuous practice, reinforcement, and measurable learning outcomes, SenseUs helps embed empathy, respect, and responsible workplace behavior into organizational culture, creating safer, more inclusive, and productive work environments.</t>
  </si>
  <si>
    <t>No-3,Muthu Nagar, Lalgudi, Trichy, Tamil Nadu,621601</t>
  </si>
  <si>
    <t>https://docs.google.com/presentation/d/1cBdWM-yx1Et9L-TzJYMXq4fBO_v_P6uC/edit?usp=sharing&amp;ouid=104277249549708518105&amp;rtpof=true&amp;sd=true</t>
  </si>
  <si>
    <t>SC-gyh4lg</t>
  </si>
  <si>
    <t xml:space="preserve">AgriTech, CleanTech , IoT / Hardware, food Tech </t>
  </si>
  <si>
    <t>harinipofficialcb@gmail.com</t>
  </si>
  <si>
    <t>Harini@p12</t>
  </si>
  <si>
    <t>Hydros addresses the global need for sustainable, local food in water-scarce, urban and peri-urban regions, where families and small farmers lack space, depend on chemical-intensive soil farming, and face rising demand for healthy produce without affordable, efficient technology. Hydros proposes a solar-powered, IoT-driven aquaponics system that combines fish and plants in a closed-loop unit using sensors, automated pumps, and aeration to maintain water and nutrient balance, reducing water use by up to 90%, eliminating chemical inputs, and enabling compact, scalable, low-maintenance farming for households, small farmers, and institutions</t>
  </si>
  <si>
    <t>https://docs.google.com/presentation/d/1V-32Gir5a5QIm0vNZVAbU7v4XnkamQTt/edit?usp=sharing&amp;ouid=104277249549708518105&amp;rtpof=true&amp;sd=true</t>
  </si>
  <si>
    <t>Bio Tech , Enviro Tech</t>
  </si>
  <si>
    <t>Gayathri A</t>
  </si>
  <si>
    <t>India's 77+ million diabetes patients rely on painful finger-prick tests or expensive, bulky Continuous Glucose Monitors (CGMs) that are inaccessible to rural users, rigid, short-lived, and battery-dependent. The solution is a flexible, skin-conformal wearable patch using microporous carbon electrodes from upcycled PET waste, sesame stalks, and sewage sludge, enabling non-invasive sweat-based glucose sensing via enzyme layers and PVA hydrogel, with smartphone Bluetooth connectivity for real-time monitoring at 10x lower cost.</t>
  </si>
  <si>
    <t>sjohnpauljps@gmail.com</t>
  </si>
  <si>
    <t>Qwerty123$</t>
  </si>
  <si>
    <t>AI / ML, EdTech , Saas</t>
  </si>
  <si>
    <t>4-407, Rajparis Crystal Spring, Medavakkam-Mambakkam Main Road, Sithalapakkam, Chennai-600126</t>
  </si>
  <si>
    <t>https://drive.google.com/file/d/1HRf_OMTsFfLIgp75MqT6IfnQd187-lg3/view?usp=sharing</t>
  </si>
  <si>
    <t>ZapSkill by Veducate Skills &amp; Technologies tackles engineering students' lack of hands-on practical learning despite industry demands for job-ready skills, with existing platforms being theoretical, non-interactive, and lacking real-time AI guidance or progress tracking. Colleges struggle with outdated labs and monitoring, hindering scalable industry-ready talent development. The solution delivers browser-based interactive missions with cloud-powered real-time practice environments an adaptive AI mentor for instant personalized feedback/hints, and AI-driven skill progression analytics to identify gaps, recommend micro-tasks, and certify internship readiness</t>
  </si>
  <si>
    <t>19/12/25</t>
  </si>
  <si>
    <t>1QAZ@0plm</t>
  </si>
  <si>
    <t>Fashion / Lifestyle, Enviro Tech</t>
  </si>
  <si>
    <t xml:space="preserve">3/2B,NESAVALAR COLONY,2ND STREET,P.N.ROAD,TIRUPPUR
</t>
  </si>
  <si>
    <t>https://drive.google.com/file/d/1Ah--a7bYtRmDx9Kk1r_kXVKF3d9aC0Po/view?usp=sharing</t>
  </si>
  <si>
    <t>Active individuals, professionals, and people in hot/humid/active environments experience discomfort and self-consciousness from body odor and fading clothing freshness throughout the day, as current apparel lacks lasting fragrance or odor control. Curio solves this through microencapsulation technology embedding fragrance microcapsules into fabric fibers during textile finishing for smart release via friction/heat/movement, delivering long-lasting freshness surviving 30-40 washes using eco-friendly non-toxic materials, offered as stylish affordable D2C apparel targeting Gen Z/millennials/active lifestyle adopters within India's $8.89B functional apparel market and $160.2M→$857.9M smart textiles niche (20.5% CAGR).</t>
  </si>
  <si>
    <t>satyendra0778@gmail.com</t>
  </si>
  <si>
    <t>Satyendra@0778</t>
  </si>
  <si>
    <t>St. Peter's College of Engineering and Technology</t>
  </si>
  <si>
    <t>2 founders + 12 emply</t>
  </si>
  <si>
    <t>IITM</t>
  </si>
  <si>
    <t>IoT / Hardware</t>
  </si>
  <si>
    <t>https://drive.google.com/file/d/1Ut3XYaHh13bLRoFmhbJoREBB6yk05q2M/view?usp=sharing</t>
  </si>
  <si>
    <t>Geosonic explores unsafe interactions between overhead and floor cranes in heavy equipment factories, where existing light-based anti-collision sensors are unreliable due to dust, lighting variations, maintenance difficulty, and blind spots, creating significant risk of collisions and accidents across dynamic crane operations. The solution is a scalable, low-cost ultrasonic sensor–based anti-collision system using custom microcontroller PCBs, a PLC-controlled sensing setup, MODBUS communication, and a handheld interface to ensure accurate distance detection, coordinated crane interlocking, and easier deployment across multiple crane systems</t>
  </si>
  <si>
    <t>SC-zqwfns</t>
  </si>
  <si>
    <t>pragadeesmpw@gmail.com</t>
  </si>
  <si>
    <t>Madhu@123</t>
  </si>
  <si>
    <t>MIT HOSTELS, MIT CAMPUS, ANNA UNIV, CHROMPET, CHENNAI, 600044</t>
  </si>
  <si>
    <t xml:space="preserve">Fin Tech , App Development / Software </t>
  </si>
  <si>
    <t>delusional</t>
  </si>
  <si>
    <t>https://drive.google.com/file/d/1zvoBHLHzNkEc_Tko9TpmvngKFuliUMRn/view?usp=sharing</t>
  </si>
  <si>
    <t>Ztorys is a multi-language digital publishing platform that empowers writers to earn directly from their content without technical barriers or upfront costs. Addressing declining search traffic, high website setup expenses, and unstable monetization, Ztorys enables creators to publish in 340+ languages and earn through 55% ad revenue sharing, sponsored content, promotions, and affiliate commissions. With 110+ active writers, 250+ articles, and growing monthly engagement, the platform combines long-form articles and short “Notes” for virality and discovery. Targeting India’s 15 million writers and global creators, Ztorys aims to build a scalable, YouTube-like monetization ecosystem for written content</t>
  </si>
  <si>
    <t>Thanvi#2005</t>
  </si>
  <si>
    <t>4 found</t>
  </si>
  <si>
    <t xml:space="preserve">Tier 2 </t>
  </si>
  <si>
    <t>Consumables , Bio Tech, Sports Tech</t>
  </si>
  <si>
    <t>https://docs.google.com/presentation/d/1qyALgLmfBGwRQZVtXpNxFVOCOLST_2BK/edit?usp=sharing&amp;ouid=104277249549708518105&amp;rtpof=true&amp;sd=true</t>
  </si>
  <si>
    <t xml:space="preserve">   </t>
  </si>
  <si>
    <t>@Azgar2007</t>
  </si>
  <si>
    <t>The problem is widespread chronic pain and muscle fatigue—affecting 1.5 billion people globally, 13% of adults in India, and 79% of people with joint pain—while current solutions like massage guns, heating pads, and TENS devices are bulky, stationary, or inconvenient, requiring active use or sticky pads. This under-served need exists within a rapidly growing global pain-management and sports recovery market worth tens of billions of dollars. The solution, SMARTHEAL, is a lightweight, wearable, washable massager combining heat, vibration, and TENS/EMS electrotherapy, delivering continuous, hands-free, app-controlled pain relief during daily activities.</t>
  </si>
  <si>
    <t>25/13 Jeevarathinam salai, royapuram chennai: 600013</t>
  </si>
  <si>
    <t>https://docs.google.com/presentation/d/1VWhrxq4im2ROTVEhW3mI93TDMyUbpKfn/edit?usp=sharing&amp;ouid=104277249549708518105&amp;rtpof=true&amp;sd=true</t>
  </si>
  <si>
    <t>AI / ML, IoT / Hardware</t>
  </si>
  <si>
    <t>NOVA AI addresses industrial hazards in chemical manufacturing MSMEs like those in Sivakasi, where manual monitoring fails to detect early gas leaks, thermal hotspots, and machine stress, leading to frequent fires, toxic exposures, and equipment failures. India reports 48,000+ factory accidents and 6,500+ fatalities (2017-2021), with Tamil Nadu among the top states and Sivakasi fireworks seeing 500+ fires, 300+ deaths over 10 years; 80% of factories lack real-time safety systems costing ₹50,000+ per node. The solution is an edge AI-powered multi-sensor system (thermal, gas, vibration, vision on Jetson Nano) for real-time hazard detection, automated shutdowns/ventilation, predictive maintenance, PPE compliance, and reports—all offline at ₹18-25k per modular node, 30-50% cheaper via local processing without cloud fees.</t>
  </si>
  <si>
    <t>14/11/25</t>
  </si>
  <si>
    <t>Bio Tech, Food Tech</t>
  </si>
  <si>
    <t>LLP</t>
  </si>
  <si>
    <t>Commercial electrolyte drinks suffer from high sugar content (20–35g per serving), costly premium options 40–60% more expensive, single-use PET plastic packaging, and high water/carbon footprints in a USD 42.6B global market (2024) projected to USD 74.2B by 2034, driving obesity, diabetes, and metabolic risks especially among athletes, children, diabetics, and low-income consumers. The millet-based electrolyte beverage solution uses controlled germination of millets (finger/proso) to activate phytase for 2–3× higher natural mineral absorption (Ca²⁺, Mg²⁺, Fe²⁺, Zn²⁺), delivers low-glycemic hydration with prebiotic oligosaccharides, antioxidants, gut health support, and 70% less water usage in a sustainable, clean-label formulation safe for diabetics/children.</t>
  </si>
  <si>
    <t>AI / ML, SaaS</t>
  </si>
  <si>
    <t>Sadhanasita@1777</t>
  </si>
  <si>
    <t>SENSChat is a zero-trace anonymous consensus platform addressing three gaps: identity fear on profile-linked social media that suppresses honest sharing of relationship/work/mental health dilemmas, skewed feedback in identity-tracked corporate surveys, and endless argument loops on Reddit/Quora with no conclusive outcome. The solution is an LLM-moderated (Grok API/Llama 4 Scout) sanctuary that purges IP/email data, gates voting behind a 200+ reputation threshold, and ends every thread with a locked crowd verdict. Hybrid model: B2C rewards (₹5–15 per streak/vote/comment) drives logic-quality contributors; B2B sells un-sanitized sentiment reports (₹499 standard, ₹999 premium) at 35–40% margin, targeting the $80B market research industry.</t>
  </si>
  <si>
    <t>Department of Plant Pathology, Adhiyamaan College of Agriculture and Research, athimugam 635105</t>
  </si>
  <si>
    <t>31/10/25</t>
  </si>
  <si>
    <t>https://docs.google.com/presentation/d/12RsdTu1tH7jx2uQYyNA2C3v1dFMkZU0H/edit?usp=sharing&amp;ouid=104277249549708518105&amp;rtpof=true&amp;sd=true</t>
  </si>
  <si>
    <t>SC-dtzgq</t>
  </si>
  <si>
    <t>a.agila2005@gmail.com</t>
  </si>
  <si>
    <t>Kinsync2025</t>
  </si>
  <si>
    <t>Employees spend 2+ hours daily searching for right documents and information within them, with 60% affected and legal, healthcare, manufacturing sectors facing critical knowledge retrieval issues due to disorganized enterprise data and scattered information sources leading to ineffective search performance and unreliable content retrieval. Neuragent is a cloud-native SaaS platform combining neural semantic search and RAG-LLM pipelines with multi-tenant vector database management using FAISS for similarity search, transformer-based embeddings for semantic understanding, RESTful APIs for enterprise integration, and real-time document indexing. The solution delivers 5x higher accuracy than legacy keyword-based systems with context-aware, generative AI responses, 99.9% uptime enterprise-grade security, and ROI within 6 months targeting 10,000+ enterprises across legal, healthcare, manufacturing sectors.</t>
  </si>
  <si>
    <t>RMKEC Incubation Center, R.M.K. Engineering College RSM Nagar, Kavaraipettai, 601206</t>
  </si>
  <si>
    <t>Aruldha Raja Aiswarya Ca</t>
  </si>
  <si>
    <t>https://drive.google.com/file/d/1xq7J9KAZck44UQZR2L1-9K3gje5SnQ5O/view?usp=sharing</t>
  </si>
  <si>
    <t>Bio Tech, Enviro Tech</t>
  </si>
  <si>
    <t>https://drive.google.com/file/d/16L1EekCBLUWcJ2222051da0cnQvXCEjA/view?usp=sharing</t>
  </si>
  <si>
    <t>SC-bniuq</t>
  </si>
  <si>
    <t>16naveenkannaa@gmail.com</t>
  </si>
  <si>
    <t>Naveen@18</t>
  </si>
  <si>
    <t>NOVA Ecotech develops 100% biodegradable water bottles from a novel biopolymer blend that decomposes in 4 years (marine)/2 years (land) vs PET's centuries-long persistence (500B bottles/year produced, only 9-12% recycled, projected to outnumber ocean fish in 30 years, leaching phthalates/BPA). Non-toxic/BPA-free with PET-like strength/barrier properties at lower carbon footprint (₹27 bulk B2B/₹30 retail), it outperforms Cove/Hilly (less biodegradable) and Tetra Pak/Aquafina (non-marine safe), targeting airports/resorts/corporates/hospitals (B2B) + eco-urban consumers (B2C) via partners/expos. Stage 1 (biopolymer selection) complete, Stage 2 (lab validation) ongoing;</t>
  </si>
  <si>
    <t>115 cooperative nagar putlur thiruvallur</t>
  </si>
  <si>
    <t>https://docs.google.com/presentation/d/1j0u6rTzUBFBf7-jCFUsqyiQ-ftfNRYpJ/edit?usp=sharing&amp;ouid=104277249549708518105&amp;rtpof=true&amp;sd=true</t>
  </si>
  <si>
    <t>St. Joseph's College of Engineering</t>
  </si>
  <si>
    <t>Smart Mobility</t>
  </si>
  <si>
    <t>AI / ML, FinTech,  , Deep Tech</t>
  </si>
  <si>
    <t>https://docs.google.com/presentation/d/1LMmAzIeobpm2hgAhDJPW5aVOUNjQZPdS/edit?usp=sharing&amp;ouid=104277249549708518105&amp;rtpof=true&amp;sd=true</t>
  </si>
  <si>
    <t>dharshinic04@gmail.com</t>
  </si>
  <si>
    <t>Harvo@123</t>
  </si>
  <si>
    <t>Homeowners and designers in India face fragmented home renovation processes with visualization difficulties, cost uncertainty from opaque local pricing, unreliable suppliers/contractors, and complex project management lacking transparency and control. Space Craft AI solves this via an AI-powered platform offering real-time culturally relevant design visualization (Stable Diffusion + ControlNet reducing design time 70%/costs 50%), instant location-specific cost estimates, smart matching with verified RERA-compliant contractors/suppliers via uploaded material lists with competitive quotes, AI-driven project scheduling/milestone tracking/escrow payments, AR/VR previews, targeting India's ₹5,070B home services TAM (₹42B online SAM) fueled by urbanization and 60%+ digital-first urban consumers through 15-20% commissions, premium listings, subscriptions, and ads.​</t>
  </si>
  <si>
    <t>9/81, muslim street, Paramathi, Namakkal 637207</t>
  </si>
  <si>
    <t>https://docs.google.com/presentation/d/1wggAGBMSMlgdD-zX_qRXkmL0vKLyx013/edit?usp=sharing&amp;ouid=104277249549708518105&amp;rtpof=true&amp;sd=true</t>
  </si>
  <si>
    <t>discuss with team</t>
  </si>
  <si>
    <t>AgriTech, Fashion / Lifestyle, Enviro Tech</t>
  </si>
  <si>
    <t>The leather industry relies on animal leather (causing deforestation, methane emissions, and toxic tanning) and PU/PVC vegan leather (petroleum-derived, non-biodegradable, causing microplastic pollution). The global leather goods market is valued at $498.57 billion (2024), growing to $855.36 billion (2032), while the vegan leather market is $82.19 billion (2024), projected to reach $198.17 billion (2034). Chrysolux addresses this by developing mycelium-based leather combined with Black Soldier Fly chitin coating, creating a 100% biodegradable, plastic-free, chemical-free material with water resistance and antimicrobial properties</t>
  </si>
  <si>
    <t>Anna university , Guindy</t>
  </si>
  <si>
    <t>SC-tc7hcb</t>
  </si>
  <si>
    <t>https://docs.google.com/presentation/d/1UuvB8CG5hK21LYH5-VK1-ElnDGm_z_ck/edit?usp=drive_link&amp;ouid=104277249549708518105&amp;rtpof=true&amp;sd=true</t>
  </si>
  <si>
    <t>28/11/25</t>
  </si>
  <si>
    <t>Grant26@46</t>
  </si>
  <si>
    <t>AgriTech</t>
  </si>
  <si>
    <t>1fund + 1emp</t>
  </si>
  <si>
    <t>1/85-10, Srini Nagar, Korampallam, Tuticorin</t>
  </si>
  <si>
    <t xml:space="preserve">female </t>
  </si>
  <si>
    <t>Med Tech</t>
  </si>
  <si>
    <t>https://docs.google.com/presentation/d/1nHZJs4i8lSAPFeGmnNbmIfUuscVuCEPM/edit?usp=sharing&amp;ouid=104277249549708518105&amp;rtpof=true&amp;sd=true</t>
  </si>
  <si>
    <t>Magasool Agri Tech addresses the twin crisis faced by inorganic and organic farmers: chemical fertilizers deliver fast yields but degrade soil, pollute water, and are costly, while traditional organic methods are slow, inconsistent, and labor-intensive, creating an urgent gap for fast yet sustainable solutions. Magasool Agri Tech proposes a hybrid biofertilizer derived from seaweed and NPK-fixing microbes that delivers quick yield improvements, restores soil health and microbial life, supplies balanced macro- and micronutrients, and is easy to apply across diverse crops and soils, enabling farmers to transition toward sustainable agriculture without sacrificing productivity</t>
  </si>
  <si>
    <t>SC-zajan</t>
  </si>
  <si>
    <t>B. Dhinesh (2020-21)</t>
  </si>
  <si>
    <t>completed - prev startify</t>
  </si>
  <si>
    <t>sasikala@creaconceptions.com</t>
  </si>
  <si>
    <t>Sasikala@12</t>
  </si>
  <si>
    <t>2 founder + 1 empl</t>
  </si>
  <si>
    <t>CEDAU1-02</t>
  </si>
  <si>
    <t>Flat 3027, Tower 3B, Prestige Bella Vista, 1, Mount Poonamallee road</t>
  </si>
  <si>
    <t>https://docs.google.com/presentation/d/1EY4tKzCIaQBfbR5vLwYbW2vf_P4rABJO/edit?usp=sharing&amp;ouid=104277249549708518105&amp;rtpof=true&amp;sd=true</t>
  </si>
  <si>
    <t>mailrithuparan@gmail.com</t>
  </si>
  <si>
    <t>Acbfe$7864</t>
  </si>
  <si>
    <t>SC(BT)-ey4m7</t>
  </si>
  <si>
    <t>IoT / Hardware , App Development / Software</t>
  </si>
  <si>
    <t>https://docs.google.com/presentation/d/1k_R53bveQiXpAf_kiNbuGUvDcY5O-ZEo/edit?usp=sharing&amp;ouid=104277249549708518105&amp;rtpof=true&amp;sd=true</t>
  </si>
  <si>
    <t>Howardnikhil95</t>
  </si>
  <si>
    <t>Fluxora addresses costly, inefficient street lighting in Indian cities, where lights run at full brightness without need, failures go undetected, and lack of automation leads to energy waste, higher emissions, and safety risks. The scale of the problem involves city-wide networks that lose crores of rupees annually and create dark zones when lamps fail. The solution, Fluxora SmartLight, is an IoT-enabled system using sensor fusion, LoRa communication, and AI-based analytics to adapt brightness to movement and weather, detect faults in real time, cut electricity use by 60–70%, extend lamp life, and enable centralized monitoring for large deployments.</t>
  </si>
  <si>
    <t>52, Main Road, Near Fire Station, Velankanni, Nagapattinam - 611 111</t>
  </si>
  <si>
    <t>https://docs.google.com/presentation/d/1DrL3w6tkh8WgbEy3HjkfwRQ93uZiQ4Wz/edit?usp=sharing&amp;ouid=104277249549708518105&amp;rtpof=true&amp;sd=true</t>
  </si>
  <si>
    <t>Poojitha.N</t>
  </si>
  <si>
    <t>SC-t4xuz</t>
  </si>
  <si>
    <t>.</t>
  </si>
  <si>
    <t>AI / ML , App Development / Software</t>
  </si>
  <si>
    <t>SC-tlpf19</t>
  </si>
  <si>
    <t xml:space="preserve">There is widespread problem of harmful screen use and digital fatigue, where over 63% of parents and 72% of teens report negative impacts like addiction, weak family bonds, and reduced emotional connection, especially in urban and semi-urban families heavily reliant on devices. This affects millions of parents, children, teens, educators, and mental health professionals globally. The solution is KinSync, an AI-powered mobile platform that combines shared planning, screen-time visualization, memory sharing, and age-based bonding and wellness activities into a single family app, aiming to reduce screen time and strengthen relationships through personalized, togetherness-focused experiences. </t>
  </si>
  <si>
    <t>2Foun+ 15 emp = 17</t>
  </si>
  <si>
    <t xml:space="preserve"> E-commerce , App Development / Software</t>
  </si>
  <si>
    <t>not reachable</t>
  </si>
  <si>
    <t>DECHTA (Fusillade Innotech Ventures LLP, Chennai) is a one-stop digital construction commerce and workforce platform tackling India's fragmented ecosystem, where 50%+ of the 36–70M construction workforce is informal, materials aren't reliably available, pricing is opaque, and Tamil Nadu's 25 lakh+ workers stay disconnected from demand. It unifies material procurement (multi-vendor), skilled worker hiring (masons, plumbers, electricians, carpenters), delivery coordination, and project monitoring on a single app — features scattered across HomeRun, Urban Company, Apna, WorkIndia, IndiaMart. Revenue via commissions on materials, worker bookings, deliveries, interiors, and ads. Currently at MVP stage, seeking ₹7.75L (₹7L from EDII-TN Innovation Voucher), targeting 200+ vendors, 300+ workers, 150+ business customers, and ₹50L+ GTV in 12 months. Claimed impact: 60% faster procurement, 10–20% cost savings.</t>
  </si>
  <si>
    <t>sivamuthu@2021@gmail.com</t>
  </si>
  <si>
    <t>Siva_2007</t>
  </si>
  <si>
    <t>https://drive.google.com/file/d/1awm9MVqtyTkxmRySzpoln5Jidbh6KYqQ/view?usp=sharing</t>
  </si>
  <si>
    <t xml:space="preserve">Bio Tech, IoT / Hardware, App Development / Software </t>
  </si>
  <si>
    <t>SC-votrgd</t>
  </si>
  <si>
    <t>Peripheral neuropathy silently affects 50%+ of India's 100M+ diabetics, particularly in rural (50M+) and semi-urban areas where every 1 in 2 diabetics is at risk, with no early warning symptoms (numbness, burning pain, foot ulcers) until it's too late, and existing tools like expensive VibraSense, NeuroTouch, digital/analog biothesiometers are costly, non-portable, and inaccessible even in cities. Neurotronix's Diatec-D is a portable, affordable, app-guided smart diagnostic device for early non-invasive neuropathy detection, featuring a compact prototype (81x38mm) with motor, sensors, and mobile app integration for patient data entry (name, age, diabetes duration, ulcer history), outperforming expensive/non-portable alternatives through its accessible design targeting government PHCs, diabetic NGOs, hospitals, and clinics amid a global diabetic population of 537M where half develop neuropathy.​</t>
  </si>
  <si>
    <t>https://docs.google.com/presentation/d/1HWkvsPywVuKWK1mq7ysa0ILsvgQxadQx/edit?usp=sharing&amp;ouid=104277249549708518105&amp;rtpof=true&amp;sd=true</t>
  </si>
  <si>
    <t>AI / ML, AgriTech, E-Commerce, IoT / Hardware, App Development / Software</t>
  </si>
  <si>
    <t>Did not answer</t>
  </si>
  <si>
    <t>AgroGen is an AI-powered smart farming assistant and marketplace designed for small and marginal Indian farmers. It tackles fragmented landholdings, climate volatility, pests, lack of real-time soil/crop insights, exploitative middlemen, low digital literacy, and poor access to schemes and finance, all of which keep yields low and incomes unstable. The solution combines AI-driven soil and crop analysis, weather-based advisory, real-time market intelligence, a multi-language + SMS chatbot, a transparent vendor marketplace with APMC-approved suppliers, and on-demand shared services (drones, machinery, skilled labour) in one simple, affordable platform that’s scalable for individual farmers, cooperatives, NGOs and government programs, with strong social and environmental impact.</t>
  </si>
  <si>
    <t>SC-towsh</t>
  </si>
  <si>
    <t>https://docs.google.com/presentation/d/1sCHM3Kb7v7kxVo4SstRbvSKduMOcYCBP/edit?usp=sharing&amp;ouid=104277249549708518105&amp;rtpof=true&amp;sd=true</t>
  </si>
  <si>
    <t>last changes</t>
  </si>
  <si>
    <t>AgriTech, Enviro Tech</t>
  </si>
  <si>
    <t>sandiepbal@gmail.com</t>
  </si>
  <si>
    <t>Sandiepbal@11</t>
  </si>
  <si>
    <t>CED, Platinum Jubilee building, Anna University, Chennai - 625005</t>
  </si>
  <si>
    <t>The problem addressed is the need for effective tomato preservation without reliance on refrigeration. The scale of the problem is significant, as it targets post-harvest losses and preservation challenges in contexts where cold storage is limited or unavailable. The developed solution focuses on a smart, non-refrigerated tomato preservation approach. The project proposes a technically driven method with defined competitive and technical advantages, aimed at extending usability and reducing wastage. The solution is designed to deliver social and environmental benefits while remaining cost-effective, supported through a grant model covering a major portion of the project cost</t>
  </si>
  <si>
    <t>SC-3yn3y</t>
  </si>
  <si>
    <t>sarvani.k1234582002@gmail.com</t>
  </si>
  <si>
    <t>OrionAi12#</t>
  </si>
  <si>
    <t>Plot 4 gemini ss vasan street kanmal nagar madhavaram chennai 600060</t>
  </si>
  <si>
    <t xml:space="preserve">SaaS, Bio Tech </t>
  </si>
  <si>
    <t>Alpha College of Engineering</t>
  </si>
  <si>
    <t>https://docs.google.com/presentation/d/1ydjWJIArLgff7w189FF0XTyw-wB4x8qz/edit?usp=sharing&amp;ouid=104277249549708518105&amp;rtpof=true&amp;sd=true</t>
  </si>
  <si>
    <t>Rapikit Hp by Pocgen Technologies LLP is a rapid, visual molecular diagnostic kit for detecting Helicobacter pylori using a malachite green-based Loop-Mediated Isothermal Amplification (MG-LAMP) assay. Addressing limitations of Rapid Urease Tests and non-portable PCR methods, the kit offers high sensitivity and specificity with a simple color change visible to the naked eye. Operable at a constant 65°C using basic equipment like a water bath, it eliminates complex DNA extraction and reduces false positives. Designed for point-of-care and low-resource settings, Rapikit Hp enables faster, reliable bedside diagnosis, supporting early treatment of gastritis, peptic ulcers, and gastric cancer while improving healthcare accessibility and affordability</t>
  </si>
  <si>
    <t>Santhoshkumar  P</t>
  </si>
  <si>
    <t>Santhosh@01</t>
  </si>
  <si>
    <t>8,Rajiv Nagar, T.Kottampatti, Pollachi, Coimbatore, 642002</t>
  </si>
  <si>
    <t>SC-rr2n89</t>
  </si>
  <si>
    <t>https://docs.google.com/presentation/d/175HtfDzRpsYzA33iIXRw_akLqNQCY8sF/edit?usp=sharing&amp;ouid=104277249549708518105&amp;rtpof=true&amp;sd=true</t>
  </si>
  <si>
    <t>AI / ML, SaaS, Bio Tech, IoT / Hardware</t>
  </si>
  <si>
    <t>vnsarans@gmail.com</t>
  </si>
  <si>
    <t>Vnsarans@96</t>
  </si>
  <si>
    <t>Plot no.30 , Sri Pandi Nagar, Karuppayurani, MADURAI , Pin 625020</t>
  </si>
  <si>
    <t>https://drive.google.com/file/d/1iNwwr51csQl5L2HxqfHq3mcSrEpifNmI/view?usp=sharing</t>
  </si>
  <si>
    <t>Ventilators in critical care lack continuous IoT monitoring, leaving biomedical teams without breakdown visibility, increasing patient risks from delayed detection, burdening clinicians with manual tracking, and causing missed failure alerts, which heighten mortality in ICUs/NICUs/PICUs. The solution is an end-to-end ecosystem with non-invasive smart sensors tracking vibration, pressure, airflow, and humidity; a central IoT gateway; cloud platform for real-time data intelligence; and AI-driven predictive maintenance with automated alerts/ticketing, enabling proactive fixes for 99.9% availability via universal retrofit on existing ventilators</t>
  </si>
  <si>
    <t>Roshan</t>
  </si>
  <si>
    <t>22ad30@kcgcollege.com</t>
  </si>
  <si>
    <t>Roshan@212005</t>
  </si>
  <si>
    <t>2Found + 4emp</t>
  </si>
  <si>
    <t>sathyabhama</t>
  </si>
  <si>
    <t>presentation practice</t>
  </si>
  <si>
    <t>PNO.49B, SRI SAI AVENUE ANNEXE, Thazambur, Kanchipuram- 600130, Tamil Nadu, India</t>
  </si>
  <si>
    <t>EdTech, FinTech, Enviro Tech</t>
  </si>
  <si>
    <t>https://drive.google.com/file/d/14vFE5wfabqJc8fVR0TmOnN5rBoOLq0F9/view?usp=sharing</t>
  </si>
  <si>
    <t>ganesh23508@gmail.com</t>
  </si>
  <si>
    <t>UpiDirect@2025</t>
  </si>
  <si>
    <t xml:space="preserve">AquaMorph tackles global plastic pollution by automatically converting natural seaweed into biopolymer pellets, addressing the gap where polysaccharide-rich bioplastics remain underused despite seaweed's high biomass potential and China/Indonesia/Korea's massive existing seaweed production. The solution processes seaweed — pulverized, blended with PE/PLA, extruded, and coated with antibacterial ginkgo biloba extract — into durable, ~25% bio-based films for food packaging and antibacterial storage, replacing single-use plastics with biodegradable, CO₂-absorbing alternatives. Revenue spans core resin/film sales (55%), FMCG packaging contracts, by-products, licensing, and blue-carbon credits, targeting corporate ESG partners (Unilever, Nestlé) amid a market growing from $27B (TAM, 2025) to $68B by 2035. 
</t>
  </si>
  <si>
    <t>5-33-71A, Kamarajar Nagar, Palayampatti, Aruppukkottai, VIRUDHUNAGAR , Pin - 626101</t>
  </si>
  <si>
    <t>https://docs.google.com/presentation/d/1RaSKcvZtyuFxCyemLEnoqYmV2Y58scdO/edit?usp=sharing&amp;ouid=104277249549708518105&amp;rtpof=true&amp;sd=true</t>
  </si>
  <si>
    <t>Ezhilarasan M  (2024-25)</t>
  </si>
  <si>
    <t xml:space="preserve">Aruldha Raja Aiswarya Ca </t>
  </si>
  <si>
    <t>arulchakrawarthi@gmail.com</t>
  </si>
  <si>
    <t>Arulchakrawarthi@1</t>
  </si>
  <si>
    <t>2 Founder + 1 empl</t>
  </si>
  <si>
    <t>239, Petchiamman Padithurai Road, North Veli street, Madurai- 625001</t>
  </si>
  <si>
    <t xml:space="preserve">waitinng for interview </t>
  </si>
  <si>
    <t>CEDAU1-05</t>
  </si>
  <si>
    <t>praveenbb676@gmail.com</t>
  </si>
  <si>
    <t>SC-0xft1r</t>
  </si>
  <si>
    <t>Praveen6767671</t>
  </si>
  <si>
    <t>2 Founders + 4 employees</t>
  </si>
  <si>
    <t>Dingugal</t>
  </si>
  <si>
    <t>https://drive.google.com/file/d/1ZTekSFYEKDNZI7T30N0Kmx-9Wxd1xtYC/view?usp=sharing</t>
  </si>
  <si>
    <t xml:space="preserve">Bio Tech, IoT / Hardware </t>
  </si>
  <si>
    <t>https://docs.google.com/presentation/d/18z-76Mx5ICtmDs3BWvgoQi21dn9ekcDy/edit?usp=sharing&amp;ouid=104277249549708518105&amp;rtpof=true&amp;sd=true</t>
  </si>
  <si>
    <t>Finals - not interested</t>
  </si>
  <si>
    <t>https://drive.google.com/file/d/12jx3TEGH4NE1c_zk_vY7Hlkp-BXrhUBu/view?usp=sharing</t>
  </si>
  <si>
    <t>keerthana221712@gmail.com</t>
  </si>
  <si>
    <t>EcoShield@SPF4</t>
  </si>
  <si>
    <t>SC-si0iya</t>
  </si>
  <si>
    <t>Silent heart attacks go unnoticed in 45% of cases worldwide, with high risk in diabetics, elderly, and women, while current diagnostic tests (ECG, troponin) miss early signs and detect damage only after occurrence, leading to disabilities and high healthcare costs. DiagnoBee's CardioSense patch addresses this with a painless microneedle-based device that detects early cardiac microRNAs (miR-208a, miR-133a, miR-499-5p) released before troponins appear, using aptamer technology for specific binding and fluorescent UV-based detection—offering multiplex detection of three markers on a single strip in ~20 minutes without lab infrastructure or skilled staff, at ₹490 per unit cost with portable smartphone app readout for self-monitoring and clinical verification options, enabling scalable access for rural health programs, ambulances, and primary health centers.​</t>
  </si>
  <si>
    <t>12, Sardar Patel Rd, Anna University, Guindy, Chennai, Tamil Nadu 600025</t>
  </si>
  <si>
    <t>https://docs.google.com/presentation/d/1fiE9q_IVrPmYQ3YaT2hKpCfJKvOUE2OG/edit?usp=sharing&amp;ouid=104277249549708518105&amp;rtpof=true&amp;sd=true</t>
  </si>
  <si>
    <t>Niranjan S</t>
  </si>
  <si>
    <t>SaaS, EV / Mobility, App Development / Software</t>
  </si>
  <si>
    <t>Fahi1709@gmail.com</t>
  </si>
  <si>
    <t>Fahi@1709</t>
  </si>
  <si>
    <t>CSIR Road, Center for Food Technology, Taramani, Chennai 600113</t>
  </si>
  <si>
    <t>AmpTrail by Nexoris Solutions is India's first real-time EV charging slot booking platform, solving EV owners' 30-60 minute waits at busy stations due to no slot visibility, inefficient charger utilization, fragmented multi-app experiences with manual payments, grid overloads from poor scheduling, and adoption barriers slowing India's EV transition. The app enables live availability tracking, advance reservations, OTP-secured payments via Razorpay, operator dashboards for utilization management, and cloud analytics (Flutter/Node.js/Firebase stack), with AI-ready scalability for predictive load balancing—ensuring zero wait times and seamless ecosystem integration</t>
  </si>
  <si>
    <t>Karthik B</t>
  </si>
  <si>
    <t>karthikb070605@gmail.com</t>
  </si>
  <si>
    <t>Karthikb@070605</t>
  </si>
  <si>
    <t>SaaS, FinTech, E-Commerce</t>
  </si>
  <si>
    <t>SC(BT)-yKeCu</t>
  </si>
  <si>
    <t>10,J J NAGAR, Near MGR NAGAR, CBM college road ( via),Kovaipudur, Coimbatore- 641042</t>
  </si>
  <si>
    <t>FC</t>
  </si>
  <si>
    <t>https://docs.google.com/presentation/d/1g4-TPeuc1Ma7P0pBfXTI7XqP7vHwDnP6/edit?usp=sharing&amp;ouid=104277249549708518105&amp;rtpof=true&amp;sd=true</t>
  </si>
  <si>
    <t>India's 60M+ freelancers, 94M self-employed (NSSO), and 40M+ merchants using static QR codes lack professional no-KYC UPI tools for branded links/QR (Bharat QR 2.0), auto-receipts, tracking/analytics, relying on personal apps like GPay without formal invoicing in ₹18L Cr/month UPI ecosystem. UPI.Direct solves this via serverless (Supabase/Vercel) no-app platform with Aadhaar login, instant customizable payment links/QR/receipts (GST-ready PDFs), credit packs, white-label APIs targeting ₹500Cr TAM (₹10Cr SOM in 18 months)</t>
  </si>
  <si>
    <t>20-21</t>
  </si>
  <si>
    <t xml:space="preserve">  </t>
  </si>
  <si>
    <t xml:space="preserve"> IoT / Hardware, Robotics / Automation</t>
  </si>
  <si>
    <t>Santheep@77</t>
  </si>
  <si>
    <t>598, krishnasamy nagar 3 rd cross 
Koothapakkam 
Cuddalore - 607002.</t>
  </si>
  <si>
    <t>https://docs.google.com/presentation/d/1Tj9hcJg78Kfgp5-s1rqG-Ao1ByvAKk-C/edit?usp=sharing&amp;ouid=104277249549708518105&amp;rtpof=true&amp;sd=true</t>
  </si>
  <si>
    <t>AeroRover-X is a hybrid morphing robot that transitions seamlessly between aerial and ground modes in one continuous operation, addressing patrol operations where every human patrol risks 6–9 lives, takes 6–8 hours, and drones alone can't investigate close-up (671 casualties in last-mile patrol operations, 2020–26). Unlike aerial drones (can't investigate close-up), ground robots (can't reach terrain), or human patrols (slow, risky), it combines a unified autonomy stack with terrain-continuous navigation — GPS-denied operation via Visual-Inertial + LiDAR-SLAM fusion, maintaining the same reference frame across air-to-ground transitions with no reinitialization. Modular swappable payloads support ISR, supply delivery, medical kits, and communication relay. Claims 40–60% lower operational cost and 6–8 hrs → 1–2 hrs mission time reduction. Applications span defense/patrol, disaster relief, medicine delivery, and emergency logistics, with a roadmap toward fleet coordination and auto-charging hubs.</t>
  </si>
  <si>
    <t>SC-322eap</t>
  </si>
  <si>
    <t>24-25</t>
  </si>
  <si>
    <t xml:space="preserve">Ummul Fayiza </t>
  </si>
  <si>
    <t>xihg06ummulfayiza@gmail.com</t>
  </si>
  <si>
    <t>iVpgrant2026</t>
  </si>
  <si>
    <t>AI / ML, EdTech, Bio Tech</t>
  </si>
  <si>
    <t>SRM Dental College, Bharati salai, Ramapuram, Chennai, Tamil Nadu 60008</t>
  </si>
  <si>
    <t>female</t>
  </si>
  <si>
    <t>https://docs.google.com/presentation/d/1nvuV836cuAtoqqwk6DGd9OgNoqPvCf6Z/edit?usp=sharing&amp;ouid=104277249549708518105&amp;rtpof=true&amp;sd=true</t>
  </si>
  <si>
    <t>In dental education where over 318 colleges and 27,000 students in India mostly train on phantom head models that lack real tactile feedback, leading to low confidence, higher faculty supervision needs, and potential patient discomfort during the transition to clinical practice. This problem is widespread and contributes to significant stress and difficulty for a large proportion of dental students. The solution is Haptic Verse, a 3D haptic-based dental simulator for OHI-S that combines realistic tactile feedback, AI-based scoring, dual teacher–student modes, and analytics to deliver affordable, scalable, and objective skill training aligned to Indian dental curricula.</t>
  </si>
  <si>
    <t>mail@cyclebees.in</t>
  </si>
  <si>
    <t>CycleBeesGM@123</t>
  </si>
  <si>
    <t>29-30 RAC Road, Saibaba Mission, Coimbatore-641011</t>
  </si>
  <si>
    <t>https://docs.google.com/presentation/d/1WQXGrjy_NqQZ3WFJry6WxrY7dAXz0xkb/edit?usp=sharing&amp;ouid=104277249549708518105&amp;rtpof=true&amp;sd=true</t>
  </si>
  <si>
    <t>Automobiles , App Development / Software</t>
  </si>
  <si>
    <t>SC-7b9gd</t>
  </si>
  <si>
    <t>abhishek Dallas</t>
  </si>
  <si>
    <t>Deepika R</t>
  </si>
  <si>
    <t>Cyclebees addresses the lack of organized, affordable doorstep bicycle and e-bike repair services, inconsistent pricing and quality, absence of on-road trials for premium cycles, and shortage of certified technicians in the local market, indicating a large, underserved and time-constrained urban customer base dependent on cycles for mobility and fitness. The solution is a standardized, engineering-driven doorstep service ecosystem using mobile service units, app-based booking, certified technicians, and associated offerings like accessories, leasing, and training, designed to scale through process standardization and technology</t>
  </si>
  <si>
    <t>Dr Kannan Pandi</t>
  </si>
  <si>
    <t>Harsh Chordia (2024-25)</t>
  </si>
  <si>
    <t>FinTech, E-Commerce</t>
  </si>
  <si>
    <t>SC-28rc5d</t>
  </si>
  <si>
    <t>Harini Kandaswamy (2021-22)</t>
  </si>
  <si>
    <t>harinik7kandasamy@gmail.com</t>
  </si>
  <si>
    <t>SC-jc72lm</t>
  </si>
  <si>
    <t>Renjith Kumar R (2023-24)</t>
  </si>
  <si>
    <t>23-24</t>
  </si>
  <si>
    <t>Karthikeyan T</t>
  </si>
  <si>
    <t>tkarthikeyannkl@gmail.com</t>
  </si>
  <si>
    <t>changed to iit</t>
  </si>
  <si>
    <t>Tkarthikeyan@12</t>
  </si>
  <si>
    <t>Tynko Partner is a hyperlocal platform tackling the challenge of discovering India's 10+ crore street vendors and small roadside shops, where uncertain arrival times, unexpected closures, lack of product availability checks, and absence from apps like Zomato force time-wasting street searches and missed purchases. Its walk-and-collect model displays nearby vendors on a map with real-time open/closed status, daily stock, and live locations, letting users reserve items from home before picking up in person—no delivery needed.</t>
  </si>
  <si>
    <t>T. Karthik Kumar   (2020-21)</t>
  </si>
  <si>
    <t>SC-vyw5bm</t>
  </si>
  <si>
    <t>Bio Tech, IoT / Hardware, Deep Tech</t>
  </si>
  <si>
    <t>India's overcrowded public hospitals see 15% of patients contracting hospital-acquired infections (HAIs)—with up to 10% fatal—across 860,000+ government beds serving 770M people (55% population) and 260M+ BPL citizens via Ayushman Bharat, driven by inconsistent manual cleaning/hygiene in general wards. SparShield+ solves this via a modular hybrid light barrier using safe 405nm indigo-blue LEDs (not harmful UV-C) positioned between beds for continuous chemical-free air/surface disinfection in occupied spaces, killing ESKAPE pathogens/SARS-CoV-2 via ROS production disrupting bacterial quorum sensing, featuring low-cost plug-and-play scalability, IoT-ready monitoring, eco-friendly operation, targeting tier 1-3 hospitals/government tenders in India's $1.88B infection control mark</t>
  </si>
  <si>
    <t>SC-q251u7</t>
  </si>
  <si>
    <t>CEDAU1-03</t>
  </si>
  <si>
    <t>SC-y50zq9</t>
  </si>
  <si>
    <t>More than 20 million tonnes of paddy stubble are burnt every year, particularly across northern Indian states after the harvest season. This widespread practice is driven by time constraints between cropping cycles and the high cost of mechanized residue management. The resulting smoke releases large amounts of particulate matter (PM2.5), carbon monoxide, and other toxic gases into the atmosphere. During peak burning months, these emissions are estimated to contribute up to 30% of Delhi’s air pollution, significantly worsening air quality. The impact is severe, leading to health emergencies, reduced visibility, flight disruptions, and long-term respiratory and cardiovascular problems for millions of residents.</t>
  </si>
  <si>
    <t>SC-cxi32i8</t>
  </si>
  <si>
    <t xml:space="preserve">AI / ML, SaaS, E-Commerce </t>
  </si>
  <si>
    <t>Canine Connect, India’s first verified pet matchmaking platform, addresses key gaps in the dog and pet ecosystem: no unified platform for adoption/health/lost &amp; found services, lack of health verification enabling unethical breeding, sick puppies overwhelming shelters, inefficient fragmented lost pet recovery, and missed vaccination tracking, impacting 14-15M urban paw parents in India (35M+ pet dogs) with animal suffering, emotional distress, and safety risks. The app offers AI-driven smart matchmaking (breed/age/health/location), verified profiles/certifications, secure in-app chat/video calls, QR-based lost &amp; found, health insights/vaccination schedules, and vet/NGO connections via freemium + subscription model targeting ₹700M SOM in Tamil Nadu.</t>
  </si>
  <si>
    <t>​7604961318</t>
  </si>
  <si>
    <t>SC-2kugo</t>
  </si>
  <si>
    <t xml:space="preserve">IoT / Hardware, App Development / Software, Deep Tech </t>
  </si>
  <si>
    <t>SC-p7xx9</t>
  </si>
  <si>
    <t>Small businesses, researchers, startups, environmental organizations, and academic institutions globally lack affordable access to satellite services due to high costs (millions) and complex infrastructure, with long lead times (1–3 years) making traditional satellite solutions inaccessible. The global satellite market is valued at ~$3 billion USD (2024), projected to grow to $9–18 billion by 2030 at 13–22% CAGR, driven by demand for earth observation, communication, IoT, and remote sensing in agriculture and research. AstroAccess offers a modular, pay-per-use CubeSat platform with customizable payloads, cloud-based data processing, and an intuitive online booking system—enabling on-demand satellite services 70% cheaper than traditional providers, rapidly deployable within 12 months, and scalable across imaging, IoT, and environmental monitoring applications, democratizing space access for underserved markets while reducing space debris through compact, eco-friendly design.</t>
  </si>
  <si>
    <t xml:space="preserve">get back </t>
  </si>
  <si>
    <t>SC-w65da5</t>
  </si>
  <si>
    <t>Bio Tech, Hardware , Deep Tech</t>
  </si>
  <si>
    <t>no progress</t>
  </si>
  <si>
    <t>The Electric Patient Bed Mover is a battery-powered device that allows a single staff member to tow hospital beds effortlessly using a unique single-wheel drive with electromagnetic clamps, reducing fatigue, delays, and safety risks from manual bed transport. Unlike existing two-wheel, highly customized and expensive systems, this BLDC-motor-based mover works across a wide variety of beds with minimal customization at roughly one‑third to one‑quarter of the cost, targeting Indian hospitals first and then scaling to other regions, with a clear ₹4 lakh prototyping and commercialization work plan over 4–6 months.​</t>
  </si>
  <si>
    <t>SC-nqw1ta</t>
  </si>
  <si>
    <t xml:space="preserve">AgriTech, E-Commerce </t>
  </si>
  <si>
    <t>Verdant Vision is a community-driven digital marketplace that connects urban home growers with nearby consumers to redistribute surplus terrace/balcony produce. It lets verified home cultivators list excess fruits and vegetables with basic pesticide-free assurance, aggregates small quantities across homes, and sells them hyperlocally, reducing the 30%+ wastage of home-grown produce while giving nearby households affordable organic options. The platform adds value through traceability, location-based matching, in-app communication, aggregation support, and awareness campaigns, delivering social impact by cutting food waste, strengthening local green economies, and encouraging chemical-free urban farming.</t>
  </si>
  <si>
    <t xml:space="preserve">jayambu akash siva teja </t>
  </si>
  <si>
    <t xml:space="preserve"> Bio Tech, IoT / Hardware</t>
  </si>
  <si>
    <t>​6374960838</t>
  </si>
  <si>
    <t>Smart Biometric Foot Patch &amp; Spiritual Wristband by Vetri Enterprises addresses pilgrims' life-threatening risks during sacred journeys, including stampedes, heat exhaustion, getting lost, plus gaps like no foot-specific barefoot wearables, biometric-spiritual integration, real-time haptic alerts for fatigue/terrain/posture, hygienic UV/antibacterial layers for treks, auto-rest massage modes, NFC/BLE temple syncing, and GPS distance tracking. The dual-device system uses biometric sensors, vibration/haptic feedback, AI analytics, flexible skin-safe materials, and GPS in the foot patch for health/step monitoring, vow/prayer tracking, emergency response, location updates, voice/language assistance, ensuring safety, accountability, and enhanced spiritual focus</t>
  </si>
  <si>
    <t>15/10/25</t>
  </si>
  <si>
    <t>Hardware, Automobiles</t>
  </si>
  <si>
    <t xml:space="preserve">CEG Motorsports develops licensable innovation modules for affordable all-terrain vehicles (ATVs) targeting rural/agricultural/defense needs in India's ₹45,380Cr ATV market (27,428Cr recreation-focused), addressing expensive, terrain-unoptimized, non-smart existing ATVs via: High Gradeability Drivetrain (torque-biased diffs/low gearing/traction control/lightweight chassis for steep climbs); Rollover Detection &amp; Safe Shutdown (tilt/traction-loss auto-cutoff); Terrain-Based Adaptive Suspension (servo-adjusted FOX shocks via sensors); and Topology-Optimized Steering Knuckle (30% lighter AlSi10Mg 3D-printed via FEA for better handling/efficiency). </t>
  </si>
  <si>
    <t>AI / ML, SaaS, App Development / Software</t>
  </si>
  <si>
    <t>Device repair in India is fragmented and untrustworthy, with over 70% of users facing repair issues due to unreliable providers, inconsistent service quality, lack of standardization, and absence of transparent pricing and quality control, affecting students, professionals, and the elderly nationwide. The unorganized repair sector lacks a centralized, trustworthy solution. TrustIT's platform addresses this with AI-powered diagnostics using voice and image analysis for precise fault detection, verified and trained service centers, seamless logistics with pickup/drop and real-time tracking, transparent centralized dashboards showing pricing and repair status, and multilingual UI/UX built on TensorFlow.js, React, Node.js, and Firebase—promoting e-waste reduction and circular economy while creating local employment opportunities through standardized, accessible repair services across India.</t>
  </si>
  <si>
    <t>FinTech, Iot / Hardware , AI / ML</t>
  </si>
  <si>
    <t>Smart Hundi addresses massive inefficiencies and vulnerabilities in the traditional manual management of temple hundi donations, where billions in annual offerings (coins, notes, jewelry) from major temples like Tirupati Balaji face rampant theft during counting, labor-intensive error-prone processing, and difficulties in jewelry valuation, causing substantial financial losses and eroding public trust in temples. Smart Hundi proposes an AI and ML-powered automated system combining real-time image capturing with hybrid multi-step classification to instantly segregate coins, notes, and jewelry using conveyor-roller mechanisms and high-end imaging, alongside encrypted centralized databases for real-time valuation, digital payment integration, secure storage, and transparent auditing to ensure integrity and accountability in managing sacred offerings</t>
  </si>
  <si>
    <t>SC-CED-01</t>
  </si>
  <si>
    <t>Bio Tech, Consumables</t>
  </si>
  <si>
    <t>Conventional sunscreens rely on chemical filters (hormone-disrupting, marine-toxic like oxybenzone/octinoxate causing coral bleaching) or mineral nanoparticles (inhalation/environmental risks, toxic byproducts), polluting oceans with thousands of tonnes yearly while failing eco-conscious consumers. EcoShield SPF by Keerthana P et al. offers a novel mineral-free, plant-based broad-spectrum SPF 50 using Ophiorrhiza mungos herbal UV filter + lignin/chitosan biopolymers for reef-safe, biodegradable protection tailored to Indian skin, priced at ₹399/100g via D2C/e-commerce with B2B eco-tourism partnerships, projecting ₹35L revenue (9K units, 40-50% growth, break-even month 8),</t>
  </si>
  <si>
    <t>13/2/2026</t>
  </si>
  <si>
    <t>SC-CED-02</t>
  </si>
  <si>
    <t xml:space="preserve">FinTech, E-Commerce </t>
  </si>
  <si>
    <t>SC-CED-03</t>
  </si>
  <si>
    <t>GIGGERS is a B2B gig workforce platform connecting verified gig workers with verified employers across marketing, events, cine field, seasonal work, and survey categories. Addressing fragmented hiring through informal WhatsApp groups, payment delays, safety risks (especially for women), and lack of transparency, GIGGERS introduces KYC/GST-verified employers, KYC-verified workers, real-time work tracking, area-specific job allocation, SOS safety features, basic insurance, assured payments, and rating systems. With a 6–8% commission model, the platform is validated through 100-day gig economy data (₹1+ crore transactions) and LOIs from employers. GIGGERS aims to formalize gig employment, promote gender equality (SDG 5), and drive economic growth (SDG 8).</t>
  </si>
  <si>
    <t>30/01/26</t>
  </si>
  <si>
    <t xml:space="preserve">Hardware / Consumables </t>
  </si>
  <si>
    <t>Urban Indian households face post-treatment municipal water contamination (dust, rust, sediments, bacteria, iron/"yellow water" from pipelines/sumps/tanks) while current RO/packaged solutions waste water (&gt;50% rejection), strip minerals, require costly AMC/recurring cartridges, and cost ₹10,950/year for 20L daily packaged water (₹54,750 over 5 years). Swatchh Water Filters by Kota Nageshwar offers smart point-of-use non-RO/RO filters (0.01-1 micron filtration retaining TDS ≤300 minerals, zero wastage, 4-5+ year life, DIY backwash every 20 days, no AMC) across drinking/kitchen/bath/shower/washing machine/descale/yellow water use cases, seeking PAN-India investors to scale affordable, sustainable home water ecosystems.</t>
  </si>
  <si>
    <t>EV / Mobility, App Development / Software, Deep Tech</t>
  </si>
  <si>
    <t>GP-dp9rhk</t>
  </si>
  <si>
    <t>EV owners in India face fragmented EV charging experiences requiring multiple brand-specific apps (Tesla, Tata Power, Ionity, ChargePoint, BP Pulse), lack of cross-brand compatibility at stations, unreliable real-time availability/pricing/queue data, and range anxiety amid projected 50M EVs by 2030 needing 1.3M chargers. Charge One solves this via a unified React Native app aggregating all networks with a single secure wallet (UPI/cards/digital), AI-powered real-time navigation/scheduling/recommendations based on route/battery/station load, cross-brand support for AC/DC chargers, and sustainable scalability, targeting EV users/fleets/providers in a $250-300B TAM with commission/subscription/ad-based revenue—current functional prototype needs payment gateway/UI fixes within 3 months.</t>
  </si>
  <si>
    <t xml:space="preserve">Lakshmi Priya </t>
  </si>
  <si>
    <t xml:space="preserve">AI / ML, SaaS, App Development / Software, Sports Tech </t>
  </si>
  <si>
    <t>ScoutEdge is an AI-powered cricket talent scouting and performance analytics platform focused on uncovering hidden players from Tier 2, Tier 3, and rural India who currently lack access and verified performance data. It tackles subjective, slow, and biased traditional scouting by providing an AI rating system that combines match performance, video analytics, fitness and challenge metrics, along with player dashboards, scout dashboards, and academy/tournament integration, already tested with 500+ players, multiple scouts and academies, and supported by state associations like Bihar and Bengal. The platform uses an AI/ML, cloud-based, mobile-first SaaS stack with subscription and data-insights revenue, and seeks IVP funding of about ₹8.06 lakh (total project cost ~₹9.10 lakh) to scale design, fabrication, validation, and commercialization of this end-to-end ecosystem from player to franchise.</t>
  </si>
  <si>
    <t>Conventional phenol‑formaldehyde floral foam, used by about two‑thirds of florists, is a single‑use plastic that does not biodegrade, breaks into microplastics, leaches toxic chemicals, and poses carcinogenic and respiratory risks to users while polluting landfills and waterways. The problem is large within the fast‑growing floriculture and décor market, where floral foam is widely used. The solution, Green Blooms, develops eco‑friendly, biodegradable, water‑retaining, lightweight floral blocks made from agro and floral waste as sustainable, compostable, reusable alternatives to conventional chemical floral foams.​</t>
  </si>
  <si>
    <t>Madhu Pragadeshwaran / Bharat MS</t>
  </si>
  <si>
    <t>waiting</t>
  </si>
  <si>
    <t xml:space="preserve">Deep Tech , Drones </t>
  </si>
  <si>
    <t>The Aerial LED-Drone Advertising project offers short-duration octocopter flights carrying transparent, thin LED mesh displays that show scrolling promotional messages over crowded local areas like markets and events. It addresses the high cost, poor targeting, and audience fatigue of traditional advertising (billboards, TV ads), which typically show low ROI and are often ignored. The system uses Pixhawk/QGC-controlled drones with customizable mesh sizes for daylight-visible, flexible, DGCA-compliant campaigns, priced affordably to serve small and medium businesses rather than only large brands. It also positions the drone platform for logistics and aerial survey use cases beyond advertising. Grant funds will support prototype fabrication, DGCA certification, and pilot campaigns; a business survey confirmed strong demand across retail, fitness, and event sectors.</t>
  </si>
  <si>
    <t>AI / ML, Bio Tech, IoT / Hardware</t>
  </si>
  <si>
    <t>This is a global biomedical security gap highlighted during the coronavirus pandemic, where ordinary people using public transport are highly exposed and early cardiac risks often go undetected. The problem is widespread and affects general populations with limited bioscience awareness and access to timely primary diagnostics. The solution is Cardiosense, an AI-powered digital stethoscope that uses biosensors, piezoelectric sensing, and machine learning frameworks like TensorFlow and PyTorch to analyze cardiac data across age groups and enable early detection of cardiac-related diseases, supported by grant-funded R&amp;D, prototyping, and IP protection.</t>
  </si>
  <si>
    <t xml:space="preserve"> E-Commerce, Fashion / Lifestyle, App Development / Software</t>
  </si>
  <si>
    <t>This fashion-tech marketplace targets Chennai’s Pondy Bazaar shoppers and local boutiques by building a mobile-first platform that curates inventory and partners with neighborhood vendors to bring their catalog online. The venture plans an MVP launch with a lean but structured 6‑month financial roadmap covering app store setup, cloud infrastructure, initial inventory, local delivery, and performance marketing, using a hybrid inventory-plus-commission model and phased logistics to reach profitability within an 8.5 lakh runway while scaling vendor participation</t>
  </si>
  <si>
    <t>SC-zvs89</t>
  </si>
  <si>
    <t xml:space="preserve">App Development / Software,  </t>
  </si>
  <si>
    <t>Tool use disabled per user request. Restaurant POS systems are rigid, lack workflow flexibility, and feature cluttered UIs that hinder staff efficiency as businesses scale, while neglecting customer retention through personalization like dietary preferences. This impacts mid-to-high-level restaurants, cafes, cloud kitchens, and chains needing scalable operations. SmartMenu offers a flexible Restaurant Operating System with customizable workflows, integrated ordering/staff/inventory/accounts/analytics, AI insights, and a customer app for preference storage, personalized recommendations, and multi-mode booking to enhance vendor operations and loyalty.</t>
  </si>
  <si>
    <t>no change</t>
  </si>
  <si>
    <t xml:space="preserve">SaaS, EdTech, FinTech </t>
  </si>
  <si>
    <t>Early-stage entrepreneurs and students face three critical barriers: lack of focused business &amp; finance education, limited access to startup-specific networks, and difficulty raising early-stage capital—causing 90% of startups to fail early, despite India having 159K+ startups and 43M+ students, with millions of aspiring founders from Tier 2 &amp; 3 cities remaining underserved by fragmented, generic, job-focused platforms not built for startup founders. Sprezox is an all-in-one social media-based entrepreneurial platform addressing this gap by bringing together business creators, influencers, startups, and investors to Learn (reels and podcasts by niche experts), Network (connect with startups, incubators, accelerators, angel investors, VCs), Showcase &amp; Fundraise (direct investor visibility), and Enable Equity Crowdfunding (micro/retail investors with micro-ticket sizes)—offering capital efficiency (single platform vs. fragmented services), lower barriers through inclusive crowdfunding, high revenue scalability via minimal-cost social content, reduced investor due diligence, and social impact through entrepreneurship access, job creation, financial inclusion, knowledge democratization, and reduced carbon footprint compared to physical events.​</t>
  </si>
  <si>
    <t>SC-16al5</t>
  </si>
  <si>
    <t xml:space="preserve">Enviro Tech </t>
  </si>
  <si>
    <t>SC-VBwn07</t>
  </si>
  <si>
    <t>Over 600 million people globally rely on diesel for electricity, while solar and wind struggle to deliver consistent power in coastal communities. The Ocean Wave Energy Converter (OWEC) solves this through a buoyant HDPE drum with a direct mechanical power take-off system (gears, pulleys, shafts) converting wave motion directly into electricity via a DC generator, eliminating complex hydraulics, offering low-cost corrosion-resistant design, modular scalability from 1kW to 100kW+, high reliability in saltwater environments, silent eco-friendly operation with zero emissions, and 90% wave availability delivering predictable baseload power for off-grid coastal communities and islands.​</t>
  </si>
  <si>
    <t xml:space="preserve"> Food Tech </t>
  </si>
  <si>
    <t>SC-e486dy</t>
  </si>
  <si>
    <t>Small Millet Chikki replaces refined-ingredient traditional snacks with a health-focused millet-based chikki that revives forgotten grains, offers naturally functional nutrition, and improves standardization, shelf life, and packaging for better consumer acceptance. It targets problems like low nutritional value, lack of protein–fiber balanced options, poor quality and shelf life in millet products, low awareness due to inconsistent packaging, and difficulty for micro-enterprises to turn healthy ideas into market-ready snacks, by developing a standardized, safe, scalable, millet chikki that boosts nutrition, supports rural entrepreneurs, and promotes sustainable millet consumption.</t>
  </si>
  <si>
    <t>Enviro Tech,  , Deep Tech</t>
  </si>
  <si>
    <t>SC-kwja6k</t>
  </si>
  <si>
    <t>India generates over 3 million tons of e-waste annually, with only 20% formally recycled while non-recyclable components like plastic casings, wire coatings, and PCB shells pollute landfills, contaminate land/water, and expose waste workers/communities to toxic materials especially in urban/semi-urban areas like Chennai, Delhi NCR, and Mumbai. RMK Aerospace's sustainable e-waste bricks solve this through a low-energy process shredding/mixing/pressing/curing non-recyclable e-waste with eco-binders into durable, thermally insulating, soundproof construction bricks/tiles featuring ≤90% less water consumption, no kiln firing/zero emissions, 30–50% cheaper cost, compressive strength up to 8–10 MPa, faster curing (3–7 days), modular decentralized manufacturing, and circular economy impact within India's ₹6.5 lakh crore brick market.​</t>
  </si>
  <si>
    <t>EdTech, App Development / Software, Sports Tech</t>
  </si>
  <si>
    <t>APEX  is a first-of-its-kind offline sports pairing mobile app using skill-based ratings (like Chess.com) for real-time proximity matching across badminton, football, table tennis, tennis, pickleball, and shuttle—solving solo players' struggles finding compatible partners when friends are busy, newcomers seek buddies, or introverts hesitate to socialize. It promotes daily sports for irregular players to improve skills/fitness while fostering social connections for students/professionals; Competitive edges include rating-driven fairness, geolocation speed, and multi-sport support vs generic find-a-friend apps.</t>
  </si>
  <si>
    <t xml:space="preserve">Deep Tech </t>
  </si>
  <si>
    <t>The document addresses the limitations of current lithium‑ion battery energy storage, including high cost, safety risks, performance degradation, limited energy density, slow charging, and poor performance in extreme climates. It frames this as a broad challenge for reliable, affordable, climate‑resilient energy storage. As a solution, it develops an eco‑friendly process to convert eucalyptus bark waste into nitrogen‑, sulfur‑, and phosphorus‑doped porous activated carbon, optimized for use as high‑performance supercapacitor electrode material that offers fast charging, long cycle life, and cost‑effective energy storage.</t>
  </si>
  <si>
    <t>SC-6zf80i</t>
  </si>
  <si>
    <t>AI / ML, FinTech, IoT / Hardware</t>
  </si>
  <si>
    <t>Modern shopping malls and supermarkets suffer from long checkout queues, customer frustration with heavy carts and expense tracking, plus retailer challenges like manpower shortages, inefficiencies, and missing real-time insights, creating widespread operational bottlenecks despite digital payment advances. No-Q solves this with an AI-powered autonomous smart shopping cart that uses computer vision for hands-free following, instantly detects and bills added products for queue-less checkout, tracks expenses live, and delivers retailer analytics, deployable as affordable retro-fits or custom units.</t>
  </si>
  <si>
    <t>Sc-x9wk9g</t>
  </si>
  <si>
    <t>AI / ML, Bio Tech , Deep Tech , Robotics / Automation</t>
  </si>
  <si>
    <t>Around 1.3 billion people (16% of the world) live with significant disabilities, many with severe mobility impairments for whom existing wheelchairs and assistive devices remain non-lifting, inefficient, and unable to provide versatile, high-performance, independence‑enhancing movement or performance augmentation. This technology gap leaves disabled users dependent on others and offers no unified solution that combines rehabilitation, mobility, and human performance enhancement. The proposed solution is an AI-powered exoskeleton that is 20–30% lighter, up to 40% cheaper via AI design and string‑tension actuation, adaptable, comfortable, irritation‑free, and temperature‑regulated for intuitive everyday use.</t>
  </si>
  <si>
    <t>Manufacturing</t>
  </si>
  <si>
    <t>AgriTech, Enviro Tech, IoT / Hardware, App Development / Software, Robotics / Automation</t>
  </si>
  <si>
    <t>AgriAi by Pentastech  solves Indian farmers' crop losses from poor soil management and fertilizer overuse—India applies 166.9 kg/ha (4x global average) yet sees suboptimal yields due to nutrient imbalances, manual testing delays, and lack of actionable insights. Small farmers, advisors, and the environment suffer from imprecise applications causing soil degradation and runoff. The autonomous rover with smart probe uses IoT sensors (NPK, pH, moisture), Raspberry Pi, GPS/GIS for real-time nutrient mapping, and AI via React Native app for crop/fertilizer recommendations, outperforming costly static probes like Teralytic with full mobility, affordability, and B2B/B2C scalability</t>
  </si>
  <si>
    <t>Bio Tech, Food Tech, Consumables</t>
  </si>
  <si>
    <t>SC-6ddxj4</t>
  </si>
  <si>
    <t>Sugarless Wonders is a line of truly sugar‑free, diabetic‑safe traditional sweets that use natural low‑GI sweeteners and innovative natural binders to preserve authentic mithai taste and texture while avoiding sugar spikes and artificial chemicals. It targets overconsumption of refined sugar and the resulting rise in diabetes, obesity, and heart disease by offering functional, protein- and gut‑friendly desserts that are safe for daily use and celebrations. The IVP grant is planned for R&amp;D, formulation optimisation, pilot production, nutritional validation, certifications, and market entry with commercially ready products.</t>
  </si>
  <si>
    <t>ivp on monday</t>
  </si>
  <si>
    <t xml:space="preserve">IoT / Hardware </t>
  </si>
  <si>
    <t>GasGuardian by Gas Tech is a smart device solving the lack of real-time LPG monitoring in Indian homes and commercial kitchens, where manual checks fail to prevent undetected leaks causing fires, explosions, and major losses. It uses a load cell with HX711 ADC for precise cylinder weight tracking, MQ-2 sensor for leak detection, LCD display for status, buzzer for instant alarms, and optional GSM/Wi-Fi IoT for mobile alerts. Advantages include dual level-leak safety, high accuracy, affordability over imports, modular IoT scalability, and impacts like saving lives, cutting fire damage, reducing gas waste, and promoting safety awareness</t>
  </si>
  <si>
    <t xml:space="preserve">AI / ML, EdTech, App development / Software </t>
  </si>
  <si>
    <t>ResourceIndia.co addresses the costly and inefficient hiring of junior engineers in India, where companies spend heavily on recruitment and training, face high first-year attrition, and still lack verified performance data before hiring, leaving a large employability and trust gap between graduates and employers. ResourceIndia.co proposes an AI-powered, assessment-gated internship marketplace where startups and MSMEs post live projects, students complete supervised, real-world work, and performance is verified using AI and blockchain-based mechanisms, creating a scalable, ready-to-hire talent pool that reduces bad hires and onboarding time</t>
  </si>
  <si>
    <t>SC-vm5wp</t>
  </si>
  <si>
    <t>AI / ML, Food Tech, IoT / Hardware, Consumables</t>
  </si>
  <si>
    <t>K.Ramakrishnan College of Technology</t>
  </si>
  <si>
    <t>VITASAFE MethScreen-Q is a portable, user-friendly device using dual spectral/RGB sensors + ML algorithms for real-time (15-min) on-site detection of residual methanol/ethanol (0.01-60% range) in alcohol, herbal beverages/cosmetics/sanitizers, far outperforming costly/non-portable GC-MS (₹3-5K/sample, lab-only) or inaccurate chemical kits. It targets FSSAI/CDSCO limits (e.g., 0.08% alcohol), slashing testing costs 50-95% for small producers/regulators while preventing poisoning risks (blindness/death), with PoC validated, published patent</t>
  </si>
  <si>
    <t>29/07/25</t>
  </si>
  <si>
    <t>SC-6bkkek</t>
  </si>
  <si>
    <t xml:space="preserve">Enviro Tech, Renewable Energy </t>
  </si>
  <si>
    <t>This startup addresses India’s energy crisis, frequent summer power cuts, pollution, low renewable energy utilization, and reliability issues in the renewable sector. These challenges affect large segments of the population and demand more dependable, clean, and distributed power solutions. The proposed solution is a low‑wind-speed optimized vertical axis wind turbine using aluminum alloy sheets, drag-based aerodynamic blades, lightweight metallic I‑beams, and a PMSM generator to deliver cost‑effective, easy-to-transport, recyclable, and reliable renewable power</t>
  </si>
  <si>
    <t>Enviro Tech, Automobiles , Consumables</t>
  </si>
  <si>
    <t>SC-cr3j8</t>
  </si>
  <si>
    <t>MotorX addresses the environmental and operational challenges of liquid radiator coolants. The problem: liquid coolants generate ~65,000 tons CO₂ annually due to shipping weight (~1.1 kg/L), produce ~12,000 tons plastic waste from PET bottles yearly, and create spill management issues for service centers. The market size is ₹2,350 crores across multiple segments (liquid coolant: ₹950 Cr, powdered: ₹285 Cr, exports: ₹300 Cr+). MotorX's solution: dry powder radiator coolant in compostable sachets offering 90% transport weight reduction, eliminates plastic, provides 2+ year shelf stability, and enables ₹230 crores revenue potential targeting 11% market share within 3 years.</t>
  </si>
  <si>
    <t xml:space="preserve">Iot / Hardware , Consumables  </t>
  </si>
  <si>
    <t>https://docs.google.com/presentation/d/100spzmnKXgcVCDW56dtZMhsgCfTyMSe0/edit?usp=drive_link&amp;ouid=104277249549708518105&amp;rtpof=true&amp;sd=true</t>
  </si>
  <si>
    <t>Senticlip addresses the widespread safety gap women face, where existing devices are often bulky, rely on phones, or only trigger loud alarms, leaving many without discreet, always-on protection in real-world situations like harassment after dark or emergencies needing immediate help. Senticlip proposes a stylish hair accessory with one-touch and voice-activated SOS, precise GPS tracking, automatic calls to guardians, and an encrypted 1080p camera for evidence recording, sold via customizable B2C on-demand manufacturing and B2B safety programs, to provide subtle, tech-enabled personal security at scale.</t>
  </si>
  <si>
    <t>AI / ML, AgriTech, E-Commerce, IoT / Hardware</t>
  </si>
  <si>
    <t>Namma Vivasayi addresses widespread agricultural challenges such as labour shortages, limited access to machinery, water mismanagement, market price instability, climate impacts, financial stress, soil mismanagement, and lack of farmer training. The problem spans over 120 million farmers nationally and about 40 million in South India, with an initial focus on 5 lakh farmers in Tamil Nadu. The solution is an end-to-end farming platform that combines labour and machinery booking, an AI-powered AgriBot, IoT-based smart irrigation, a direct farmer marketplace, and smart canteen services, delivered through a phased roadmap from prototype to large-scale rollout.</t>
  </si>
  <si>
    <t>SC-3mmvti</t>
  </si>
  <si>
    <t xml:space="preserve">AI / ML , IoT / Hardware, Deep Tech, Robotics / Automation </t>
  </si>
  <si>
    <t>Aquaholics Autonomous Water Surface Cleaning Robot addresses plastic pollution crisis in water ecosystems threatening marine life and water quality, where India relies primarily on slow, expensive, risky manual labor that misses debris in hard-to-reach areas, while semi-automated/robotic systems fail at waste handling, obstacle navigation, and bad weather performance—making consistent cleaning difficult for municipalities/NGOs. The 25kg-capacity robot features autonomous navigation via LiDAR/GPS/IMU+SLAM+ROS for real-time mapping, computer vision/polarized cameras for waste detection (plastics/debris/oil spills), screw conveyor+robotic arm for collection, 360° ballast tanks for stability, hybrid solar/battery power, pH/DO/water level sensors, acoustic deterrence for aquatic safety, UV disinfection, and LoRa communication—reducing manual labor costs while preserving biodiversity.​</t>
  </si>
  <si>
    <t>Energy</t>
  </si>
  <si>
    <t>AI / ML, EdTech</t>
  </si>
  <si>
    <t>priya_ORIONix.pptx</t>
  </si>
  <si>
    <t>The problem is the lack of a safe, direct way for students to talk to professionals they aspire to become, as existing platforms limit messaging without premium access, have low response rates, and expose students to scams, fake mentors, and shallow web-only knowledge. With over 25 million college students in India and rising demand for localized, personalized mentorship, this gap is large. The solution is ORIONIX, an AI-powered mentorship social network where verified students connect with verified mentors through secure calls/chats and 3D AI-driven VR/AR avatars, offering multilingual, experience-based guidance.</t>
  </si>
  <si>
    <t>EdTech, IoT / Hardware, App Development / Software</t>
  </si>
  <si>
    <t>SC-oq4rdg</t>
  </si>
  <si>
    <t>Traditional FDM 3D printers suffer from inefficiency and limited industrial applicability due to complex support structure requirements increasing material waste, long curing times slowing production, time-consuming post-processing, and limited scalability where existing affordable machines are polymer-only lacking strength for heavy-duty applications. GrainForge solves this with a resin + ceramic/metal powder composite printing system featuring instant UV curing at the nozzle tip for support-free printing, eliminating waste and accelerating production, faster curing enabling quicker print times, enhanced material strength and durability for industrial applications, cost-effective scalability for SMEs/R&amp;D labs/educational use, and customizable 3–6 DOF modular design adaptable to multiple materials including recycled glass fiber from wind turbine blades.​</t>
  </si>
  <si>
    <t>EdTech, Bio Tech, Enviro Tech</t>
  </si>
  <si>
    <t>PX-vqu7kh</t>
  </si>
  <si>
    <t>A shift from 18th-century cotton- and gauze-based sanitary napkins to plastic-dominated manufacturing, creating health hazards, environmental damage, and no hygienic on-demand pad production options. This widespread issue impacts menstruating women globally, particularly students facing absenteeism from irregular periods and lack of access. The solution is a GUI-based smart machine using biodegradable materials like bamboo cotton and aloe vera to instantly produce customizable, three-layered organic napkins via touchscreen input, with auto-material loading and an integrated incinerator for stigma-free disposal.​</t>
  </si>
  <si>
    <t>SaaS, Bio Tech, Robotics / Automation</t>
  </si>
  <si>
    <t>SterilySense is a dual-mode robot combining vacuum cleaning with UV-C disinfection and TiO₂ photocatalysis, tackling healthcare-associated infections that affect 1 in 25 patients daily and cause ~90,000 preventable U.S. deaths yearly, especially in low-resource clinics reliant on manual cleaning. It disinfects both horizontal and vertical surfaces via a 360° rotating arm, using AI anomaly detection (UV-A scan, microscopic confirmation, UV-C kill) instead of timer-based cleaning, with a live dashboard tracking hotspots and bacteria levels. Lab tests showed bacterial colonies dropping to zero post-treatment. Claims up to 70–90% HAI reduction and ~40% lower cleaning costs versus chemical methods.</t>
  </si>
  <si>
    <t>CEDAU1-04</t>
  </si>
  <si>
    <t>17/04/25</t>
  </si>
  <si>
    <t xml:space="preserve">SaaS, Consumables, Enviro Tech </t>
  </si>
  <si>
    <t>Rats damage car engine wiring, causing breakdowns, safety hazards, and costly repairs, affecting millions of vehicles worldwide in high-infestation areas like India. The car cover market, valued at ₹7,565 crores in 2024, is projected to reach ₹9,761 crores by 2032, highlighting the problem's scale for car owners, showrooms, service centers, and fleet operators. The RATFREE solution is a non-toxic, biodegradable protective coating applied to car covers made from polypropylene and nylon fabric, offering 100% rat-proofing, long-lasting reusability (up to 3 years), waterproofing, and airflow preservation without chemicals or toxins, outperforming sprays, meshes, and ultrasonic devices.</t>
  </si>
  <si>
    <t>SC-1brb7t</t>
  </si>
  <si>
    <t>SanBio360 tackles the massive problem of sanitary pad waste in India, where about 12.3 billion pads (~113,000 tonnes) are dumped yearly, taking 300–500 years to degrade and currently managed mainly by polluting incineration or landfilling. It proposes a decentralized hybrid system that biologically treats biodegradable components via anaerobic digestion and fermentation to produce biogas, bioethanol, and compost, while non-biodegradable fractions undergo pyrolysis to yield fuel oil and biochar, creating a zero-waste, circular, revenue-generating sanitary waste solution</t>
  </si>
  <si>
    <t>Bio Tech, App Development / Software</t>
  </si>
  <si>
    <t>AlertCare addresses a large and growing crisis in geriatric care in India, where over 150 million elderly people, many living alone or far from their children, face undetected health emergencies and families suffer continuous caregiver anxiety due to poor fit of current smartwatches and reactive panic buttons. The solution is AlertCare, a low-cost, proactive care ecosystem built around a simple wrist wearable that continuously tracks key vitals and uses an offline, regional-language intelligent voice engine to give real-time spoken guidance to elders without needing smartphones or internet, supported by an AI caregiver app and a grant-backed plan to build and test pilot units for commercialization.</t>
  </si>
  <si>
    <t>SC-5laxml</t>
  </si>
  <si>
    <t>Enviro Tech, IoT / Hardware, Robotics / Automation</t>
  </si>
  <si>
    <t>Kumaraguru College of engineering</t>
  </si>
  <si>
    <t>WaterWise by hyrowah Technologies tackles severe inland water pollution in India, where contaminated surface waters seep into groundwater causing health crises like cancer, compounded by inefficient manual cleaning and delayed traditional monitoring that fails to catch anomalies in real-time. Local lakes accumulate plastics, debris, oil, and sewage, with municipal responses too slow and reports arriving too late to prevent spread. The solution deploys autonomous surface bots for multi-point real-time monitoring (24+ parameters from 6 inputs via DNN), debris/oil collection, 3D lakebed modeling, and adaptive treatments using nanobubble tech plus eco-friendly biotech like Moringa and Guar Gum.</t>
  </si>
  <si>
    <t>PX-r3p8ac</t>
  </si>
  <si>
    <t xml:space="preserve">AI / ML, SaaS, FinTech, E-Commerce, IoT / Hardware , Robotics / Automation </t>
  </si>
  <si>
    <t>working on proto</t>
  </si>
  <si>
    <t>Manual labor dominates over 75% of Indian warehouses, slowing fulfillment, increasing safety risks, and elevating costs, while grid-based automation requires fixed layouts, high upfront investment (₹60–90L/zone), and complex infrastructure changes, making it inaccessible for small and mid-sized warehouses. The Indian warehouse automation market addresses 3PL, cold storage, FMCG, and e-commerce sectors with diverse, dynamic layouts. Navogenix Porter is an AI-powered, non-grid autonomous robot using sensor fusion (LiDAR, stereo vision, UWB, IMU) that carries payloads (50–200kg) across any warehouse floor without infrastructure changes, deployable in 1–2 days at ₹3.5–5L/unit—60–70% lower cost than traditional grid systems—with real-time obstacle avoidance, cloud-based monitoring, and modular scalability designed specifically for Indian warehousing realities.</t>
  </si>
  <si>
    <t>CARE College of Engineering</t>
  </si>
  <si>
    <t>need to call</t>
  </si>
  <si>
    <t>Deaf and hard-of-hearing individuals face critical risks from sound-based alerts like doorbells, fire alarms, gas leaks, and emergency warnings, which they cannot hear, leading to missed notifications, delayed responses, dependency on others, and potential danger in daily life and crises. The Calling Bell and Emergency Alert System Band solves this widespread accessibility gap with a wearable wristband receiver paired to a wireless transmitter that converts doorbell presses and emergency sensor triggers into instant, distinguishable vibrations and OLED visual displays (e.g., "CALLING BELL" or "EMERGENCY"), ensuring reliable, location-independent awareness through customizable patterns</t>
  </si>
  <si>
    <t>SaaS, Bio Tech, IoT / Hardware</t>
  </si>
  <si>
    <t>SC-ansi9</t>
  </si>
  <si>
    <t>Cortivue ("Cortisol + view — see your stress") is a wearable spectacles-based stress-sensing device, positioned against biosensor competitors like MUSE, Oura, Bella Beat, and Apple Watch — most of which offer only data visibility or single-metric feedback rather than integrated, actionable stress insight. Cortivue delivers personalized insight and action plans through smart glasses, with 66.1% of 2,217 surveyed consumers open to wearing sensor-equipped spectacles. Revenue model spans hardware sales, freemium/Pro/Enterprise subscriptions, B2B wellness dashboards, and API/SaaS licensing, targeting frame manufacturers, health-tech apps, insurers, and wellness brands as partners. Market sizing: TAM ~550M glasses-wearers globally, SAM ~44M in urban India, SOM ~66,000 users in 3 years (16.35% CAGR).</t>
  </si>
  <si>
    <t>AI / ML, EdTech, Deep Tech</t>
  </si>
  <si>
    <t>SC-se2ofg</t>
  </si>
  <si>
    <t xml:space="preserve">LearnSphere transforms overwhelming note-taking into an adaptive, gamified, AI-powered learning system for students, professionals, and researchers, addressing a gap where 90%+ of Indian learners lack effective self-study tools and existing apps (Notion, OneNote) are cluttered and unpersonalized. It combines a physical pen-and-paper writing experience (via a Digital Sleeve) with offline-first AI processing — multi-format capture, quiz/summary generation, spaced repetition, semantic search, flashcards, and peer hypothesis-discussion threads. Positioned against Neo Smartpen, XNote AI, Remarkable, GoodNotes, and Supernote, its differentiation is combining real pen feel + comprehensive AI learning + gamification, none of which competitors offer together, at more affordable pricing.
</t>
  </si>
  <si>
    <t>AgriTech, IoT / Hardware, App Development / Software, Deep Tech</t>
  </si>
  <si>
    <t>SC-w99y8g</t>
  </si>
  <si>
    <t>Flovepal Greenspace develops IoT-enabled smart plant pots designed to help urban residents easily grow and maintain indoor plants despite limited time, space, and knowledge. Targeting working professionals aged 25–45 in metro cities, the smart pot uses soil moisture sensors, automated irrigation, and a companion mobile app (Flutter + Firebase) to monitor plant health, send alerts, and provide personalized care tips. With eco-friendly 3D-printed casing and optional subscription-based app features, Flovepal follows a razor-and-blades revenue model (₹2000 per unit + ₹99/month). The solution promotes healthier indoor air, reduced stress, and sustainable urban living through effortless smart gardening</t>
  </si>
  <si>
    <t>AgriTech, Enviro Tech, IoT / Hardware</t>
  </si>
  <si>
    <t>Soil Steps is a multi-purpose solar-powered agri device targeting India's 82–86% marginal farmers (≤1 acre) who still depend on bullock carts and manual labor because affordable machinery for small plots is missing and large tractors are inaccessible. It's a compact, lightweight, all-terrain machine built for narrow, water-filled paddy fields, controlled remotely via an ESP32–BTS7960 system for easy use by elderly and marginal farmers. Its modular design supports eight detachable implements (leveller, bed former, bund shaper, ploughers, mud block remover) on a single chassis, replacing multiple separate tools. Running solely on solar power, it cuts fuel and maintenance costs, with expansion potential into Bangladesh, Nepal, and Africa's comparable marginal-farming markets.</t>
  </si>
  <si>
    <t xml:space="preserve">Bio Tech, AgriTech, Enviro Tech </t>
  </si>
  <si>
    <t>Plant viruses cause $60 billion+ in annual global agricultural losses (FAO), threatening food security and farmer livelihoods, with smallholder farmers lacking affordable diagnostic tools because current methods (PCR/ELISA) are expensive, time-consuming, inaccessible, and detect infections too late to prevent damage. GenéGlow's "Fluorza" solution uses genetically engineered Pseudomonas fluorescens bacteria integrated with CRISPR-Cas9 technology to detect crop viral infections on-site within 24–48 hours through visible UV fluorescence, offering an affordable (₹100/unit) spray requiring no laboratory expertise or infrastructure, with built-in environmental "kill switch" biosafety and scalability across multiple crops and viral pathogens, empowering resource-limited farmers while reducing chemical pesticide dependency and promoting sustainable farming practices.</t>
  </si>
  <si>
    <t>SyncField addresses the problem of fragmented IT and service delivery caused by small firms using multiple disconnected ERP and project management tools, leading to data silos, delayed updates, invisible risks, and compliance gaps that erode client trust and project success. SyncField proposes an AI-powered intelligence meta-layer that unifies existing ERP and PM tools without replacing them, introducing Aegis—an escalation prediction and prevention engine—alongside Trust Ledger for accountability, Client Visualiser for transparency, Smart Nudge Engine for proactive alerts, and SyncField Green for ESG regulatory compliance, enabling IT SMBs to orchestrate delivery, control risks, and meet sustainability goals in real time.</t>
  </si>
  <si>
    <t>SC-hbqgp</t>
  </si>
  <si>
    <t>EventBoost is an AI-powered "smart support system" plugging into existing event-management platforms rather than replacing them, tackling a gap where organizers (college fests, weddings, expos, corporate events) lack intelligent vendor/sponsor matching and dynamic pricing tools. It layers rule-based and ML-driven vendor, speaker, and sponsor-matching engines, plus reinforcement-learning pricing suggestions, on top of ticketing platforms like BookMyShow or Townscript via REST APIs, embeddable widgets, or white-label SaaS. Revenue combines freemium/Pro subscriptions (₹1,999/month), 3–5% commission on bookings, and white-label deals — targeting India's 20,000+ college fests and 50,000+ wedding/event planners, projecting 12,000 organizers and ₹5.1 Cr revenue by 2029. Early pilot metrics show 95% of users reporting time savings.</t>
  </si>
  <si>
    <t>Bio Tech, AgriTech, Enviro Tech,  Consumables</t>
  </si>
  <si>
    <t>PlumeXB valorizes poultry feather keratin waste—millions of tons annually landfilled/incinerated, polluting water/soil/communities—via novel thermo-microbial enzymatic process using dual-pulse steaming pretreatment + underexplored microbes (Arthrobacter arilaitensis &amp; Aeribacillus pallidus) for solid-state fermentation, yielding dual high-value products: antimicrobial peptides (AMPs) tackling antibiotic resistance for healthcare/cosmetics + eco-friendly biofertilizers, enabling zero-discharge circular bioeconomy vs single-output competitors (harsh chemical/Bacillus fertilizer-only, high-energy synthetic AMPs like IFFCO/Cipla). Superior sustainability/product value positions it ahead in competitive matrix</t>
  </si>
  <si>
    <t>VEN-SMIL-2065</t>
  </si>
  <si>
    <t>Sanjeev Misd</t>
  </si>
  <si>
    <t>AI / ML, AgriTech, IoT / Hardware, Deep Tech , Robotics / Automation</t>
  </si>
  <si>
    <t>MISD Automation makes Autonomous Precision Agriculture Drone represents the cutting edge of agricultural technology, combining advanced AI-driven swarm coordination with precision farming capabilities. Our system enables farmers to monitor vast agricultural areas with unprecedented accuracy and efficiency.Featuring coordinated drone swarms that work in perfect harmony, this solution provides real-time crop monitoring, soil analysis, and targeted spraying operations. The drones are equipped with multispectral cameras, advanced sensors, and AI-powered analytics to deliver actionable insights for optimal crop management.Designed for large-scale agricultural operations, the system can cover thousands of acres in a single flight, collecting data on crop health, soil moisture levels, pest detection, and irrigation needs. The autonomous operation reduces labor costs while increasing precision and yield optimization.</t>
  </si>
  <si>
    <t>EV</t>
  </si>
  <si>
    <t>SC-3r5igc</t>
  </si>
  <si>
    <t>Consumables , Hardware</t>
  </si>
  <si>
    <t xml:space="preserve">Jefey Composites develops lignin-activated wood dust granules for Wood Plastic Composites (WPC) via mechanical press briquetting, enabling higher wood loading, superior tensile/flexural strength, lower water absorption, better dimensional/UV/thermal stability vs standard wood flour+PE/PP/PVC (moisture-sensitive, brittle, UV-unstable). It reduces petroleum dependency (30-40% renewable content), CO₂ footprint, and costs using low-cost lignin waste from paper/pulp/bio-refineries (Composites Part A/Bioresource Tech review cited). </t>
  </si>
  <si>
    <t xml:space="preserve">AI / ML, Sports Tech </t>
  </si>
  <si>
    <t>Generic fitness apps provide uniform plans without personalization, lack real-time monitoring of workout execution, cannot correct form leading to injuries during home workouts, with 79% of elderly inactive and 50% of women quitting due to lack guidance/accountability, while rural/remote users have limited gym and affordable expert access. FitnGro solves this with an AI-powered platform delivering personalized adaptive workout plans based on user fitness level and progress, real-time computer vision form correction ensuring correct posture and injury prevention, certified expert fitness and diet guidance, gamified engagement through streaks/rewards/challenges, holistic all-in-one integration of workouts/diet/progress tracking, privacy-first on-device AI processing, and offline PWA accessibility for rural/low-connectivity areas.​</t>
  </si>
  <si>
    <t xml:space="preserve">AI / ML, AgriTech, FinTech, E-Commerce </t>
  </si>
  <si>
    <t>AnimalTradeX targets India's fragmented, unorganized livestock trading system where farmers lack market access and pricing transparency, buyers face health and fraud risks, middlemen manipulate prices, and there is no animal record-keeping or standardized pricing, leaving both farmers and traders vulnerable to exploitation and significant financial losses. AnimalTradeX proposes an AI-powered mobile marketplace with image-based health scanning via computer vision, unique muzzle recognition for fraud prevention, digital livestock profiles with health and ownership history, real-time mandi pricing, escrow-secured payments, and multilingual support designed specifically for rural and semi-urban farmers, enabling transparent, trustworthy, and scalable livestock e-commerce</t>
  </si>
  <si>
    <t>AI / ML , SaaS, Bio Tech</t>
  </si>
  <si>
    <t>SC-wx4f45</t>
  </si>
  <si>
    <t xml:space="preserve">Crea AI is an AI‑powered, cloud‑based semen analysis platform that automates sperm count and motility from standard microscope images/videos, eliminating the need for ₹20–40 lakh proprietary CASA hardware and reducing human error and variability in male fertility diagnostics. It offers WHO‑compliant, lab‑branded digital reports on a pay‑per‑use SaaS model, is hardware‑independent and multilingual, and is positioned as India’s first digital andrology service focused on democratising reliable male infertility testing for Tier‑2/3 labs, with a ₹4.9 lakh MVP budget to build, validate, and ready the platform for commercialization. </t>
  </si>
  <si>
    <t>SaaS, Bio Tech, AgriTech, Enviro Tech</t>
  </si>
  <si>
    <t>Agriculture faces severe challenges from rapid urbanization shrinking arable land, soil degradation from intensive farming depleting fertility, and water scarcity limiting crop growth, making traditional methods unsustainable especially in cities. Agri Revolution's solution is a customizable, eco-friendly soil alternative blending organic coconut fibers for superior water retention (8x weight), red meal for slow-release nitrogen, white meal for phosphorus and calcium, plus paddy straw and mesquite tree elements for nutrients and antimicrobials, enabling efficient soilless/urban farming with higher yields and resource conservation.</t>
  </si>
  <si>
    <t>VEN-SUND-9666</t>
  </si>
  <si>
    <t>SaaS, EdTech</t>
  </si>
  <si>
    <t>https://drive.google.com/file/d/1AFBWvei8iUFsbPvbpVzaLqXAFsFu4jvS/view?usp=drive_link</t>
  </si>
  <si>
    <t>EnnamOpenupbro Compute Technologies’ XrFactory Designer Studio targets the growing need for accessible, affordable creation of immersive VR/AR and 3D digital content across education, gaming, media, and business, in a market already worth tens of billions of dollars globally yet still dominated by complex, high-cost tools. XrFactory Designer Studio is a fully browser-based, SaaS content design platform that lets users 3DiFy, XRiFy, and GamiFy existing digital assets, supports multiple VR/AR devices (from headsets to low-cost color-filter glasses), and offers AI-enabled, natural-language and gesture-based interactions, aiming to democratize immersive content creation while generating revenue through B2B/B2C subscriptions, training, and design services</t>
  </si>
  <si>
    <t>SC-s98rzx</t>
  </si>
  <si>
    <t>Tube light replacement involves confusing wiring, costly electrician calls (₹200-500 each), shock hazards, and inconvenience for women/elderly/non-technical users, plus downtime in offices/schools/hospitals. Quick Glow (QG) by Semmozhi Selvam S P (College of Engineering Guindy) introduces a novel tool-free lock-fit mechanism for instant, shock-proof LED tube installation ("Lock it, Light it, Love it"), eliminating connectors unlike Philips/Syska/Havells, scalable for homes/offices/industry</t>
  </si>
  <si>
    <t xml:space="preserve">AI / ML, EdTech, App Development / Software </t>
  </si>
  <si>
    <t>SC-l31f7g</t>
  </si>
  <si>
    <t>Tier 2 &amp; 3 students in India lack access to affordable quality interview coaching, struggling with communication skills, confidence, grammar, tone, and group discussions (GD) for HR/managerial rounds, while traditional training remains expensive and geographically limited. Speak Karo by Genoid Infotech solves this via a mobile-first AI platform simulating dynamic HR/Manager interviews with real-time personalized feedback (speech-to-text/NLP scoring), dual GD modes (AI bots + live peers), public speaking practice, and progress scorecards, targeting underserved students to boost employability/inclusivity</t>
  </si>
  <si>
    <t>St. Joseph's College of Engineering, OMR, Chennai.</t>
  </si>
  <si>
    <t>Ai / ML , SaaS</t>
  </si>
  <si>
    <t>SC-rwr679</t>
  </si>
  <si>
    <t xml:space="preserve">Many Tier 2 and Tier 3 Tamil Nadu businesses, especially women‑led ventures, lack sector-specific guidance on schemes, ONDC impact, pricing, marketing, and digital skills, despite contributing about half of new enterprises and facing unique structural barriers that limit their growth. Generic, Western-trained LLM tools are costly, context-poor for Indian use cases, and not tailored to grassroots needs. The solution is a patent‑pending, India‑trained AI business copilot: a low‑cost, sector‑agnostic assistant that gives niche, Tamil Nadu–relevant answers on schemes, pricing, marketing, and skills, acts like a mid‑sized team, is proactive/context‑aware, and avoids third‑party APIs to ensure privacy and control. </t>
  </si>
  <si>
    <t>call again</t>
  </si>
  <si>
    <t>The problem is that many students and fresh graduates, particularly from Tier 2 and Tier 3 colleges, struggle to secure employment due to lack of industry-relevant skills, unclear career paths, and limited real-world exposure, while companies simultaneously face difficulty finding suitable talent, creating recruitment inefficiencies. In India, about 15 million students graduate annually, with over 80% deemed unemployable in high-growth sectors, meaning nearly 12 million learners each year require support. The solution integrates AI-powered resume enhancement, JD-based mock interviews, recruiter-side screening, and personalized learning paths into a single unified platform for job readiness.</t>
  </si>
  <si>
    <t>SaaS, AgriTech, Cybersecurity, Deep Tech</t>
  </si>
  <si>
    <t>SUN-DRAM by Sun-dram Technologies addresses the vulnerability of classical encryption (RSA, ECC) used in HTTPS/TLS/SSL certificates securing billions of websites, which quantum computers can break via methods like Shor's algorithm, risking massive data breaches. With 250,000 new websites created daily and no easy upgrade paths to Post-Quantum Cryptography (PQC), organizations face "harvest now, decrypt later" threats from qubit attacks. The solution offers India's first plug-and-play PQC Web Security API using NIST-approved Kyber (key exchange) and Dilithium (signatures), enabling zero-downtime quantum-safe TLS certificates via simple developer APIs, dashboard, and hybrid engine compatible with existing infrastructure.</t>
  </si>
  <si>
    <t xml:space="preserve">waiting for ivp </t>
  </si>
  <si>
    <t>AI / ML, SaaS, EdTech</t>
  </si>
  <si>
    <t>TNEA counselling is complex with high stakes; students lack process familiarity and struggle with trend prediction for choice list creation, often making errors due to insufficient expert guidance. 1.5 lakh TNEA aspirants annually face counselling complexity; manual methods and limited coaching center sessions are insufficient. Mistakes can have irreversible consequences on educational outcomes. PickMySeat.AI is a web-based, freemium SaaS platform offering real-time TNEA mock counselling simulation, AI-based cutoff prediction using trend analysis, and personalized AI-powered choice recommendations. It targets both B2C users (students/parents) and B2B (colleges) with scalability to other counselling systems like KEA, JoSAA, and NEET.</t>
  </si>
  <si>
    <t>Health-Tech, Textile</t>
  </si>
  <si>
    <t>The problem is that most registered chit funds operate locally with a limited subscriber base, while users struggle to find trusted schemes in their location and ticket size, pushing them toward unregistered chits that cause scams and erode public trust. This creates systemic risk for both investors and small chit businesses across India. The solution is a “Zerodha for chit funds” mobile aggregator app that connects chit owners and subscribers nationwide, helping owners scale affordably and giving users wide, verified investment options, thereby reducing illegal chits and supporting formal, taxed finance.​</t>
  </si>
  <si>
    <t>IoT / Hardware, Consumables , Health Tech</t>
  </si>
  <si>
    <t>Sports Teech</t>
  </si>
  <si>
    <t>COLDHOT is a smart, portable water bottle designed to provide instant heating or cooling within 5–10 minutes, combined with built-in UV-C purification and IoT-enabled app control. Targeting travelers, students, office professionals, and fitness enthusiasts, it solves the inconvenience of accessing safe, temperature-controlled water while reducing reliance on disposable plastic bottles. Featuring space-grade insulation (up to 12-hour retention), Peltier-based temperature control, and AWS-powered mobile connectivity, COLDHOT blends convenience, hygiene, and sustainability. Currently in prototype stage, the product plans urban market entry via e-commerce with 20–30% profit margins, scalable manufacturing, and expansion into institutional, corporate, and global markets.</t>
  </si>
  <si>
    <t>SaaS, EV / Mobility</t>
  </si>
  <si>
    <t>Teamidj1Z8Zo</t>
  </si>
  <si>
    <t>3SElectric Innovative Services addresses India's EV service crisis where 40% of repairs exceed 48 hours due to scarce trained mechanics (only 10-15% of 1M+ two-wheeler mechanics EV-ready), fragmented multi-brand support, and daily fleet downtime losses of ₹400-700/vehicle, hindering the projected 45M EVs by 2030. Their asset-light, doorstep solution offers multi-brand EV repairs via standardized SOPs, a smart app for booking/tracking/parts access, and mechanic upskilling programs, ensuring rapid service, fleet optimization, and reliable ecosystem scalability unlike OEMs or informal garages.</t>
  </si>
  <si>
    <t>AI / ML, SaaS, FinTech, App Development / Software</t>
  </si>
  <si>
    <t>Life Science</t>
  </si>
  <si>
    <t>IPO-I3qdpm</t>
  </si>
  <si>
    <t>ASRE (Advanced Stock Rating &amp; Analysis Engine) tackles "analysis paralysis" in India's exploding retail trading market (100M+ demat accounts), where platforms like Zerodha/Groww offer raw data/execution but no personalized actionable intelligence, forcing beginners/SMEs to generic tips or complex charts they don't understand, causing major financial losses. The proprietary AI-driven ASRE generates adaptive 0-100 scores per stock using real-time technical/fundamental data tailored to user risk profiles (conservative/moderate/aggressive), delivered via Node.js/Python backend + React frontend with instant buy/hold/sell alerts, user-specific sentiment, low-latency execution, and freemium/subscription model for retail/SME/fintech users</t>
  </si>
  <si>
    <t>EdTech, Bio Tech, Fashion / Lifestyle, IoT / Hardware</t>
  </si>
  <si>
    <t>Dysmenorrhea (menstrual cramps) impacts 80% of women aged 15–45 globally, disrupting work/study/life, with current remedies like oral meds (side effects), bulky heating belts, or basic TENS devices being non-discreet, non-portable, or side-effect prone (survey: 72% experience cramps every cycle, mostly managed via painkillers/hot bags/rest). 8Bix by Radha Harish and Suraj offers a palm-sized, wearable smart patch delivering drug-free vibration therapy (microcontroller + Bluetooth, skin-safe TPE adhesive, wireless/water-resistant/reusable/discreet under clothing, no heat, ₹3000), outperforming competitors in portability/instant relief</t>
  </si>
  <si>
    <t>CEDAU1-01</t>
  </si>
  <si>
    <t>ARVR</t>
  </si>
  <si>
    <t xml:space="preserve">EdTech, Sports Tech , Consumables </t>
  </si>
  <si>
    <t>Card and tabletop games suffer from long playtimes unfit for short breaks, heavy reliance on luck over skill/strategy, repetitive mechanics lacking replay value, and few options tailored for students/young adults seeking quick engagement. CheckFlip solves this with a compact, portable board-card hybrid using a unique flip mechanic that blends chess-like strategy, memory, and decision-making into fast-paced 10-minute sessions with easy rules, deep replayability, and social interaction</t>
  </si>
  <si>
    <t>Little Hands addresses the problem that children with autism and their families struggle to access timely, affordable, and personalized therapy, as most current treatments are clinic-based, expensive, and hard to tailor, especially in remote or underserved areas. This issue is widespread, leading to developmental delays and significant emotional and financial stress for many families who face long wait times and limited options. The solution is LITTLE HANDS, a hybrid therapy toolkit that combines physical sensory and motor tools with VR, AI‑driven personalization, home-based delivery, and continuous digital support to provide accessible, individualized therapy directly at home.</t>
  </si>
  <si>
    <t>Thanvi.M</t>
  </si>
  <si>
    <t>AI / ML, IoT / Hardware, EV / Mobility, Robotics / Automation</t>
  </si>
  <si>
    <t xml:space="preserve">Poorly marked potholes and speed breakers cause accidents, vehicle damage, and delays due to slow manual inspections, inconsistent reporting, and lack of real-time alerts, especially in urban/rain-prone areas amid rising smart city/autonomous vehicle needs. SafeSTride Tech by Thanvi M solves this via a hybrid AI-IoT Raspberry Pi system combining ultrasonic sensors + YOLOv8 computer vision for accurate onboard pothole/speed breaker detection/classification with instant LED/buzzer/OLED alerts, offering affordable/scalable ADAS integration, IoT/smart city compatibility </t>
  </si>
  <si>
    <t xml:space="preserve">AI / ML, Bio Tech, AgriTech, EnviroTech,  Robotics / Automation </t>
  </si>
  <si>
    <t>India produces over 20,000 tons of expired/unused pharmaceutical waste annually, mostly incinerated or dumped, causing soil toxicity, water contamination, and increasing antimicrobial resistance, while farmers simultaneously struggle with expensive chemical fertilizers lacking affordable organic alternatives—creating a dual crisis requiring circular, eco-friendly solutions. Uzhavan's BioReclaim transforms this crisis into opportunity through an AI-powered circular system: AI-powered machines separate tablets from blister packs, tablets are pulverized and mixed with cow dung at 1:10 ratio, natural microbes neutralize harmful compounds during controlled bioremediation and composting (70-90 days), producing safe, nutrient-rich organic fertilizer—offering AI-powered tablet sorting (automation reducing manual error), bioremediation with cow dung microbes (toxin neutralization + nutrient enrichment vs. incineration/landfill), dual impact (simultaneous pharma waste disposal + affordable fertilizer), modular &amp; scalable units (1-ton/month plants replicable near pharma hubs/rural areas), and 5x cost advantage (cheaper than imported waste-to-fertilizer systems)—generating impact across waste reduction, eco-friendly fertilizer production, farmer support, public health (reduced antimicrobial resistance), rural employment, and alignment with Swachh Bharat &amp; Atmanirbhar Bharat national goals, validated by experienced farmers (20, 40, 62-year farming backgrounds).​</t>
  </si>
  <si>
    <t>called for Edii meeting</t>
  </si>
  <si>
    <t xml:space="preserve">IoT / Hardware, EV / Mobility, App Development / Software, Deep Tech, Robotics / Automation </t>
  </si>
  <si>
    <t>Vivekanandha Collge Of engineering For Women</t>
  </si>
  <si>
    <t>Emergencies in remote areas face critical delays due to poor connectivity and lack of reliable automation, with 56.07% of accidents occurring on national/state highways, 61.57% in rural areas, and 64.84% being fatal or grievously injurious according to MoRTH 2022 data. AERSVS GEN (Automatic Emergency Response System via Satellite) solves this through a satellite-enabled device in vehicles that auto-detects impacts via crash/health sensors, transmits GPS data to satellite ground stations, and triggers multi-channel SOS alerts (SMS, voice) to first responders and contacts via GEN server, with a mobile app for telematics viewing—ensuring seamless connectivity anywhere without cellular networks.</t>
  </si>
  <si>
    <t>SC-qdmhpb</t>
  </si>
  <si>
    <t xml:space="preserve">SaaS, EdTech, EV / Mobility, App Development / Software </t>
  </si>
  <si>
    <t xml:space="preserve">Schools face fragmented recordkeeping via multiple spreadsheets for fees and attendance, poor parent-school communication, costly or minimally featured software, lack of user-friendly modern tools, no automated document filing/download, excessive manual data entry workloads, language/UX mismatches, and data security/compliance risks in government/rural settings with large enrollments. The solution is a mobile-first ERP with role-based access, real-time notifications/updates, smart auto-certificates/grading/scheduling/document management, personalized AI assistance, standalone secure per-campus cloud storage, local language support, and free customizable school websites to streamline operations and reduce manual efforts. </t>
  </si>
  <si>
    <t>Ragas dental college</t>
  </si>
  <si>
    <t>Bio Tech, IoT / Hardware, App Development / Software</t>
  </si>
  <si>
    <t>ORBISCAN is India's first indigenous wireless intraoral dental scanner with real-time fluid filtration, tackling three barriers: messy alginate molds causing patient discomfort and distortion, imported digital scanners costing ₹15–25 lakhs (unaffordable for 90% of Indian clinics), and even those scanners failing in "wet" mouths with saliva or blood. ORBISCAN's proprietary "Wet-Scan" AI filters fluid artifacts in real-time, using a software-defined imaging engine on low-cost wireless sensors to hit sub-millimeter (5-micron) precision at ₹1.5–2 lakhs — a 90% cost cut versus imports, with no recurring subscription fees. It generates a full-arch 3D scan in under 60 seconds and transmits STL/OBJ files to labs instantly, cutting turnaround from 7 days to 24 hours.</t>
  </si>
  <si>
    <t>SC-0ck0a</t>
  </si>
  <si>
    <t>Mobility ,Iot  , SaaS , App Development / Software</t>
  </si>
  <si>
    <t>SSM College of Engineering</t>
  </si>
  <si>
    <t>ROXER CUB tackles unsafe, unreliable, and untracked school commutes in India, where parents lack GPS visibility, face last-minute transport disruptions when drivers are absent, and contend with overcrowded, cash-based autos that operate without proper compliance or accountability. ROXER CUB proposes a tech-enabled school auto network with fixed verified drivers, live GPS and SOS-enabled parent apps, automated backup driver assignment, and an admin control center, all powered by smart routing and capacity rules, and monetized through distance-based monthly subscriptions and school partnerships to deliver safe, transparent, and scalable daily transport for students</t>
  </si>
  <si>
    <t>IPO-09s5bg</t>
  </si>
  <si>
    <t xml:space="preserve">Bio Tech, AI  </t>
  </si>
  <si>
    <t>Cell Guard One addresses late-stage cancer detection, limited rural access to diagnostics, invasive and radiation-based screening methods, and overburdened hospitals that lack efficient pre-screening tools, leaving large populations under-screened and diagnosed only when treatment is complex and outcomes are poor. Cell Guard One proposes a low-cost, portable, non-invasive, zero-radiation device that uses low-power ultrasound and biosignal sensing with smartphone-based AI to generate instant multi-cancer risk scores, enabling mass pre-screening, early referral to advanced tests only for high-risk cases, and cloud-enabled follow-up in both urban and remote settings</t>
  </si>
  <si>
    <t xml:space="preserve">SaaS,  IoT / Hardware  </t>
  </si>
  <si>
    <t>IPO-166jr</t>
  </si>
  <si>
    <t>There is rising pattern of gunfire-related violence and security incidents in India, where static or manual surveillance struggles to quickly detect and localize gunshots in dynamic, high‑risk environments, putting armed forces, police, responders, and civilians at serious risk. This problem spans conflict-prone and border regions nationwide, with recent attacks causing multiple deaths, injuries, evacuations, and repeated military interventions. The solution is Tactical Bee, a drone-based, AI‑powered gunshot detection network using FPGA processing, microphone arrays, thermal imaging, and swarm control to deliver real-time mobile detection, rapid threat localization, and flexible coverage, backed by a phased plan for prototyping, FPGA integration, field testing, and market entry</t>
  </si>
  <si>
    <t xml:space="preserve">AI / ML, EdTech, Bio Tech, IoT / Hardware, App Development / Software </t>
  </si>
  <si>
    <t>DizziGuard+ addresses dizziness-related issues affecting over 15% of India's elderly population plus growing numbers among students, professionals, and athletes (stress, dehydration, fatigue, cardiac/diabetic patients), predominantly in urban/semi-urban areas where current solutions rely on basic tracking, manual checks, or post-incident emergency response systems lacking real-time AI-driven prediction and prevention. The smart wearable band uses multi-sensor fusion (heart rate, SpO₂, accelerometer, gyroscope), ML for pre-dizziness prediction with personalized risk zones, AI voice assistance, GPS emergency alerts, medicine reminders, weekly health reports, and cloud sync for remote family/doctor monitoring via BLE-connected app—priced at ₹1,499 vs ₹30,000+ global devices, outperforming reactive fall detection wearables (Apple Watch, Lifefone, DynaMed) through predictive capabilities.​</t>
  </si>
  <si>
    <t>IPO-28zbru</t>
  </si>
  <si>
    <t xml:space="preserve">AI / ML, SaaS, Drones , Deep-Tech , Robotics / Automation </t>
  </si>
  <si>
    <t>APIDS develops autonomous drone fleets equipped with smart sensors and chemical spray systems to detect and instantly suppress toxic gas leaks in industrial zones like refineries, chemical plants, and oil &amp; gas facilities, addressing unpredictable dangers where 91% of sites face recurring risks, 56% of safety teams seek automation, and 100% of current systems fail at effective suppression. Key differentiators include fleet-based coordination for large-area coverage without human intervention, active neutralization (not just detection), and AI-powered hotspot prediction for preemptive action—offered via Drone-as-a-Service (DaaS) subscriptions (₹10K basic detection to ₹2L+ enterprise fleets with analytics), targeting safety managers via expos, partnerships, and digital campaigns, with a 50% complete prototype (Raspberry Pi 4 AI integration, projecting ARR growth to ₹4Cr by 2038 amid 25% conversion and 65% churn metrics</t>
  </si>
  <si>
    <t>IPO-5av34m</t>
  </si>
  <si>
    <t xml:space="preserve">Robotics / Automation </t>
  </si>
  <si>
    <t>Soil steps</t>
  </si>
  <si>
    <t>ManholeBot 360 from Blue Core Innovations addresses deadly manual scavenging in India, where workers still enter toxic, silted manholes and open sewers that existing suction and desilting machines cannot clean effectively, leading to ongoing fatalities, disease exposure, and slow, infrastructure-damaging maintenance that requires many machines. ManholeBot 360 proposes a fully remote, hydraulically actuated telescopic dredging system with a spherical-wrist cutter that operates up to 8–15 meters deep, converts thick sludge into pumpable slurry using filtered sewer water, works with existing super sucker trucks, and achieves 120–150 Lpm excavation—around 15 times faster than current solutions—aiming to eliminate human entry, raise sanitation standards, and enable scalable deployment through a tested, IP-protected proof-of-concep</t>
  </si>
  <si>
    <t xml:space="preserve">EdTech, FinTech </t>
  </si>
  <si>
    <t>Vellore Institute of Technology, Vellore</t>
  </si>
  <si>
    <t>Vision Solve AI addresses high-cost quality education, language barriers for regional-medium students, limited rural access to advanced resources, lack of late-night academic support, online learning distractions from YouTube/Google, and disorganized study materials causing missed exam opportunities. Students face financial exclusion despite government schemes, struggle with English-medium comprehension despite basic skills, lack consistent rural educational access, study late nights without personalized help reducing sleep quality, waste time on distracting online content, and lose marks from poor resource organization. The solution offers 24/7 AI tutoring with multilingual support, personalized learning plans using uploaded notes, integrated digital library, AI quiz generation, custom video explanations, interactive simulations for complex concepts, and question paper evaluation with performance analysis—accessible nationwide via smartphone/internet.​</t>
  </si>
  <si>
    <t>IPO-94 kbsa</t>
  </si>
  <si>
    <t xml:space="preserve">Fashion / Lifestyle, Enviro Tech,  </t>
  </si>
  <si>
    <t>Rathinam Technical Campus</t>
  </si>
  <si>
    <t>De La Greenspark integrates Carbon Capture &amp; Utilization (CCU) with alkaline wastewater treatment from leather/textile industries (NaOH/Na₂S-rich effluents), bubbling CO₂ from flue gases into pretreated liquor to form stable carbonates (Na₂CO₃/CaCO₃/MgCO₃ via mineralization with lime sludge), dried via solar dryer into CO2 for construction/chemicals/paper markets. This dual-solution (wastewater neutralization + CO₂ sequestration without extra chemicals) cuts treatment costs (vs acid neutralization), enables circular economy revenue (₹52/kg CO₂ profit at ₹30/kg Na₂CO₃), targets ₹500Cr TN leather/textile spend.</t>
  </si>
  <si>
    <t>IPO-axik9m</t>
  </si>
  <si>
    <t>SaaS, AgriTech, Fashion / Lifestyle, Enviro Tech</t>
  </si>
  <si>
    <t>India's leather industry generates substantial non-recyclable waste polluting landfills while urban gardening/landscaping faces high water usage, weed growth, and poor soil health in terrace gardens, lawns, and green spaces across Chennai/Tamil Nadu with TAM of 80 million sq.ft greenable surfaces. Indyarn Clean Tech solves this through eco-friendly agrotextiles made from leather waste that prevent weed growth, offer breathable/biodegradable/durable moisture retention, thermoregulation, soil health enrichment, and 30-50% water conservation while improving yields 25-35%, paired with add-on services including compost supply, saplings, soil testing, maintenance contracts, and 3-5 year warranties under tiered packages (Basic ₹60/sqft to Platinum ₹250/sqft) targeting corporates, retail, government, and premium customers.​</t>
  </si>
  <si>
    <t xml:space="preserve">AI / ML, EdTech, IoT / Hardware, App Development / Software </t>
  </si>
  <si>
    <t>This document describes an AI-integrated learning system that tackles the lack of affordable, interactive tools for visually and hearing-impaired learners who struggle with limited regional Braille and sign-language resources, high costs, and poor support for self-learning. It highlights a large, underserved population facing low literacy and inaccessible technology, then proposes a solution combining tactile Braille hardware, AI-driven personalized lessons, speech-to-text, text-to-speech, OCR, and sign-language animations to make education more accessible, engaging, and scalable through low-cost hybrid hardware–software design and regional language support</t>
  </si>
  <si>
    <t>AI / ML, SaaS, Iot , Bio Tech</t>
  </si>
  <si>
    <t>76675 71615</t>
  </si>
  <si>
    <t>IPO-o2bche</t>
  </si>
  <si>
    <t>Boja Medtech addresses the growing challenge of cognitive decline, stroke recovery, and mental health management, where traditional therapies often lack personalization, continuous monitoring, and patient engagement. The solution is an AI-powered neurofeedback platform that combines wearable EEG technology, gamified digital therapy, and real-time brain activity analysis to deliver personalized, non-pharmacological treatment. By adapting therapy based on attention, stress, and fatigue levels, the platform improves rehabilitation outcomes, cognitive performance, and therapy adherence. Designed for both clinical and home use, Boja Medtech supports stroke rehabilitation, early dementia care, mental wellness, and CNS research through scalable, data-driven neurotechnology.</t>
  </si>
  <si>
    <t>George Multi Tech Systems Private Limited</t>
  </si>
  <si>
    <t xml:space="preserve">Bio Tech, Consumables </t>
  </si>
  <si>
    <t>Femifair addresses the widespread challenge of women’s intimate health, where infections affect up to 55.5% of women in some regions, recurring issues are common, and social stigma prevents many from seeking medical help. Existing solutions often rely on chemical-based formulations that may not be suitable for all users. Femifair’s solution is a research-validated, 100% herbal polyherbal intimate wash formulated with ingredients such as curcumin and neem to maintain natural pH balance and provide antimicrobial protection. Clinically validated and affordably priced at ₹195, the product aims to improve intimate hygiene awareness, increase accessibility in Tier 2 and Tier 3 markets, and support healthier outcomes for women.</t>
  </si>
  <si>
    <t>Fab Again addresses the growing textile waste challenge in India, where garment factories lose 15–20% of input fabric as cutting waste and most of it ends up in landfills, causing methane emissions and environmental pollution. At the same time, fabric manufacturers face rising costs of virgin yarn with limited access to affordable recycled alternatives. Fab Again’s solution is an asset-light recycled yarn production model that aggregates garment cutting waste and converts it into recycled Open-End (OE) yarn through existing shredding and rotor-spinning infrastructure. The company provides cost-effective, traceable, and sustainable yarn that supports circular economy practices while reducing carbon, water, and energy footprints.</t>
  </si>
  <si>
    <t>FinTech, Fashion / Lifestyle, Enviro Tech</t>
  </si>
  <si>
    <t>ron carter</t>
  </si>
  <si>
    <t>Novaara Ecotechnologies addresses the environmental challenges of conventional paper production, which relies on wood pulp, contributes to deforestation, consumes significant water and energy, and drives India's dependence on imported waste paper. At the same time, large volumes of fallen leaves and textile cotton waste remain underutilized and are often burned or landfilled. Novaara’s solution is a patented wood-free fiber materials platform that converts upcycled fallen leaves and textile waste into pelletized feedstock for manufacturing strong kraft paper and sustainable packaging. Compatible with existing paper mill infrastructure, the solution enables recyclable, biodegradable packaging while reducing waste, saving trees, lowering carbon emissions, and strengthening India’s circular economy.</t>
  </si>
  <si>
    <t xml:space="preserve">EdTech, App Development / Software  </t>
  </si>
  <si>
    <t>CHOiiCE addresses the growing challenge of career confusion among students and young professionals, who face information overload, external influence, and limited access to structured career guidance. As career options expand, many individuals make misaligned choices that lead to skill gaps and reduced employability. CHOiiCE’s solution is a technology-enabled career discovery ecosystem that helps users identify career paths aligned with their personality, strengths, values, interests, and readiness within a structured 360-minute process. By combining guided self-discovery, personalized profiling, assessments, and technology-driven insights, CHOiiCE transforms career confusion into clarity and confidence, enabling informed decisions and improved workforce readiness at scale.</t>
  </si>
  <si>
    <t>IPO-xotewo</t>
  </si>
  <si>
    <t xml:space="preserve">EdTech, App Development / Software, DeepTech </t>
  </si>
  <si>
    <t>VLSI Semiconductor Skill Development addresses the limited access rural and economically disadvantaged women have to advanced technology education, while the semiconductor industry faces a growing shortage of skilled talent. Most VLSI and chip design training programs are concentrated in metropolitan areas, creating financial and geographic barriers to entry. The solution is a dedicated semiconductor training and skill development center that provides affordable, industry-standard training in VLSI design, FPGA development, verification, physical design, and semiconductor manufacturing. Through hands-on projects, industry mentorship, certifications, and placement support, the initiative aims to train 100–200 women annually, creating employment, entrepreneurship, and workforce opportunities in India’s growing semiconductor ecosystem.</t>
  </si>
  <si>
    <t xml:space="preserve">mit cross pitch </t>
  </si>
  <si>
    <t>SaaS , E-commerce , App Development / Software</t>
  </si>
  <si>
    <t>Local communities lack a single trusted platform to discover real-time offers, essential services, and nearby events within their own pincode. Customers miss relevant deals and urgent services happening just around them , while local shops, service providers, and event organizer struggle to reach the right audience without wasting money on board, irrelevant digital platforms. This gap results in poor visibility, low local engagement, and weak neighbourhood connectivity despite high smartphone usage.</t>
  </si>
  <si>
    <t>AI / ML, SaaS, FinTech, E-Commerce, App Development / Software, Sports Tech</t>
  </si>
  <si>
    <t>BAILS is an AI-powered hyperlocal sports talent marketplace connecting verified professionals—net bowlers, coaches, trainers, physiotherapists, analysts, umpires, and scorers—with academies, teams, and organizations. It addresses India's fragmented sports hiring ecosystem, currently reliant on WhatsApp groups and personal networks, by offering AI-based talent matching, hyperlocal discovery, verified profiles, trust scoring, and secure payments through a mobile-first platform. Its business model rests on first-mover advantage in a sports-specific niche, proprietary AI matching, and a unified discovery-to-payment platform, with planned expansion into badminton, pickleball, padel, and football. Grant funds will build the MVP, mobile app, AI engine, and verification framework, targeting a pilot launch in Chennai. Market research is planned as part of the pilot phase</t>
  </si>
  <si>
    <t>AI / ML, Sports Tech , Saas ,Fintech</t>
  </si>
  <si>
    <t>Xthlete is an AI-powered infrastructure layer that converts real tournament participation into verified athlete profiles, ratings, and sponsorship access, connecting athletes, organizers, and brands in one ecosystem. It targets India's fragmented sports operations—manual registrations, cash/WhatsApp payments, paper-based fixtures, and unstructured tournament data—by digitizing tournament discovery, registration, fixtures, payments, athlete rating/status tracking, and brand sponsorship matching via a web-app. Its edge lies in being the only platform linking all three stakeholder groups, where tournament data automatically builds a verified digital identity attracting sponsors. Grant funds will complete the AI rating logic, sponsorship matching, and cloud infrastructure for pilot testing and trademark filing. Market research and analysis is budgeted as a line item.</t>
  </si>
  <si>
    <t>AI / ML, SaaS, ecommerce , App Development / Software</t>
  </si>
  <si>
    <t>CallSevai is a WhatsApp-first home services marketplace for Tamil Nadu, matching customers to verified local professionals via a single WhatsApp message—no app or signup needed. It addresses trust gaps, slow response times, passive directory listings, and app-download friction in finding local service providers, offering active matching with a 2-minute average response across 62 service categories. Revenue comes from a per-completed-lead commission, scaling toward category-based pricing, priority subscriptions, and enterprise contracts. Its roadmap adds AI-based technician matching, chatbot support, lead prioritization, fraud detection, and demand forecasting. Tamil Nadu represents a large addressable market of independent local service professionals across its 38 districts.</t>
  </si>
  <si>
    <t>AgriTech, IoT / Hardware, Automation</t>
  </si>
  <si>
    <t>The Smart Hydroponic Farming System is a compact, IoT-enabled vertical hydroponic setup for pesticide-free urban food production within a 100 sq. ft footprint, addressing shrinking agricultural land and water-intensive traditional farming. It uses NFT technology, ESP32-based automation, real-time pH/EC monitoring, and TinyML-driven predictive nutrient management with a closed-loop auto-correction system, cutting water use by up to 90% while enabling year-round cultivation. Its edge lies in the compact, modular, scalable design combined with ML-driven faster crop cycles and full automation, unlike existing hydroponic systems that are costly and manually monitored. Grant funds will cover prototype fabrication, IoT integration, testing, and patent filing. Market research is included as a line item.</t>
  </si>
  <si>
    <t>AI / ML, SaaS, FinTech</t>
  </si>
  <si>
    <t>FinFresh is an AI-enabled financial stability and income optimization platform for gig workers, addressing irregular income, limited access to affordable financial guidance, and low savings/investment participation among informal-income users. The AI engine adapts to variable income and spending patterns to deliver personalized guidance, paired with behavioural nudges for saving, expense control, and goal achievement. It integrates savings, digital gold micro-investments, and goal-based SIPs in one app, plus income-aware nudges and purpose-based rewards. Technical strengths include an adaptive recommendation engine, scalable cloud architecture, and secure fintech API integrations. Grant funds will build the MVP, run a pilot with gig workers, and prepare it for market scale-up.</t>
  </si>
  <si>
    <t>SC-3343hr</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</si>
</sst>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mmm\-yy"/>
    <numFmt numFmtId="165" formatCode="dd\-mmm\-yy"/>
    <numFmt numFmtId="166" formatCode="dd\-mmmm\-yy"/>
    <numFmt numFmtId="167" formatCode="d-mmm-yyyy"/>
    <numFmt numFmtId="168" formatCode="d\-mmmm\-yy"/>
    <numFmt numFmtId="169" formatCode="M/d/yyyy"/>
    <numFmt numFmtId="170" formatCode="d-mmm-yy"/>
  </numFmts>
  <fonts count="148">
    <font>
      <sz val="10.0"/>
      <color rgb="FF000000"/>
      <name val="Arial"/>
      <scheme val="minor"/>
    </font>
    <font>
      <b/>
      <sz val="11.0"/>
      <color rgb="FF000000"/>
      <name val="Arial"/>
    </font>
    <font>
      <b/>
      <u/>
      <sz val="11.0"/>
      <color rgb="FF000000"/>
      <name val="Calibri"/>
    </font>
    <font>
      <color theme="1"/>
      <name val="Arial"/>
      <scheme val="minor"/>
    </font>
    <font>
      <sz val="11.0"/>
      <color rgb="FF000000"/>
      <name val="Arial"/>
    </font>
    <font>
      <sz val="11.0"/>
      <color theme="1"/>
      <name val="Arial"/>
    </font>
    <font>
      <color theme="1"/>
      <name val="Arial"/>
    </font>
    <font>
      <sz val="11.0"/>
      <color theme="1"/>
      <name val="Times New Roman"/>
    </font>
    <font>
      <color rgb="FF434343"/>
      <name val="Roboto"/>
    </font>
    <font>
      <b/>
      <u/>
      <sz val="10.0"/>
      <color rgb="FF0000FF"/>
      <name val="Arial"/>
    </font>
    <font>
      <b/>
      <sz val="10.0"/>
      <color theme="1"/>
      <name val="Arial"/>
    </font>
    <font>
      <b/>
      <sz val="11.0"/>
      <color theme="1"/>
      <name val="Calibri"/>
    </font>
    <font>
      <sz val="11.0"/>
      <color theme="1"/>
      <name val="Bookman Old Style"/>
    </font>
    <font>
      <color rgb="FF000000"/>
      <name val="Arial"/>
      <scheme val="minor"/>
    </font>
    <font>
      <sz val="10.0"/>
      <color theme="1"/>
      <name val="Arial"/>
    </font>
    <font>
      <u/>
      <sz val="11.0"/>
      <color rgb="FF6D9EEB"/>
      <name val="Arial"/>
    </font>
    <font>
      <sz val="11.0"/>
      <color rgb="FF000000"/>
      <name val="Calibri"/>
    </font>
    <font>
      <u/>
      <color rgb="FF0000FF"/>
    </font>
    <font>
      <u/>
      <color rgb="FF434343"/>
      <name val="Roboto"/>
    </font>
    <font>
      <b/>
      <sz val="11.0"/>
      <color rgb="FFFFFFFF"/>
      <name val="Calibri"/>
    </font>
    <font>
      <u/>
      <color rgb="FF0000FF"/>
    </font>
    <font>
      <b/>
      <sz val="11.0"/>
      <color rgb="FF000000"/>
      <name val="Calibri"/>
    </font>
    <font>
      <u/>
      <sz val="11.0"/>
      <color rgb="FF0000FF"/>
      <name val="Arial"/>
    </font>
    <font>
      <sz val="10.0"/>
      <color rgb="FF000000"/>
      <name val="Arial"/>
    </font>
    <font>
      <u/>
      <color rgb="FF434343"/>
      <name val="Roboto"/>
    </font>
    <font>
      <u/>
      <color rgb="FF0000FF"/>
    </font>
    <font>
      <u/>
      <sz val="11.0"/>
      <color rgb="FF0000FF"/>
      <name val="Arial"/>
    </font>
    <font>
      <u/>
      <sz val="11.0"/>
      <color theme="1"/>
      <name val="Arial"/>
    </font>
    <font>
      <u/>
      <color rgb="FF0000FF"/>
    </font>
    <font>
      <u/>
      <sz val="11.0"/>
      <color rgb="FF0000FF"/>
      <name val="Arial"/>
    </font>
    <font>
      <u/>
      <color rgb="FF0000FF"/>
      <name val="Roboto"/>
    </font>
    <font>
      <u/>
      <sz val="10.0"/>
      <color rgb="FF000000"/>
      <name val="Arial"/>
    </font>
    <font>
      <u/>
      <sz val="10.0"/>
      <color rgb="FF000000"/>
      <name val="Arial"/>
    </font>
    <font>
      <u/>
      <sz val="10.0"/>
      <color rgb="FF000000"/>
      <name val="Arial"/>
    </font>
    <font>
      <u/>
      <sz val="10.0"/>
      <color theme="1"/>
      <name val="Arial"/>
    </font>
    <font>
      <u/>
      <sz val="10.0"/>
      <color theme="1"/>
      <name val="Arial"/>
    </font>
    <font>
      <u/>
      <sz val="11.0"/>
      <color rgb="FF0000FF"/>
      <name val="Arial"/>
    </font>
    <font>
      <u/>
      <sz val="10.0"/>
      <color rgb="FF3C78D8"/>
      <name val="Arial"/>
    </font>
    <font>
      <u/>
      <sz val="11.0"/>
      <color rgb="FF434343"/>
      <name val="Arial"/>
    </font>
    <font>
      <u/>
      <sz val="10.0"/>
      <color rgb="FF3C78D8"/>
      <name val="Arial"/>
    </font>
    <font>
      <u/>
      <sz val="10.0"/>
      <color rgb="FF3C78D8"/>
      <name val="Arial"/>
    </font>
    <font>
      <u/>
      <sz val="11.0"/>
      <color rgb="FF434343"/>
      <name val="Arial"/>
    </font>
    <font>
      <u/>
      <color rgb="FF0000FF"/>
    </font>
    <font>
      <u/>
      <sz val="11.0"/>
      <color theme="1"/>
      <name val="Arial"/>
    </font>
    <font>
      <u/>
      <color rgb="FF0000FF"/>
    </font>
    <font>
      <u/>
      <color rgb="FF0000FF"/>
    </font>
    <font>
      <u/>
      <sz val="11.0"/>
      <color rgb="FF0000FF"/>
      <name val="Arial"/>
    </font>
    <font>
      <u/>
      <color rgb="FF0000FF"/>
    </font>
    <font>
      <sz val="11.0"/>
      <color rgb="FFFF0000"/>
      <name val="Times New Roman"/>
    </font>
    <font>
      <u/>
      <color rgb="FF434343"/>
    </font>
    <font>
      <u/>
      <color rgb="FF0000FF"/>
    </font>
    <font>
      <sz val="11.0"/>
      <color rgb="FF000000"/>
      <name val="Times New Roman"/>
    </font>
    <font>
      <u/>
      <color rgb="FF0000FF"/>
    </font>
    <font>
      <u/>
      <sz val="11.0"/>
      <color rgb="FF0000FF"/>
      <name val="Arial"/>
    </font>
    <font>
      <u/>
      <color rgb="FF0000FF"/>
      <name val="Roboto"/>
    </font>
    <font>
      <sz val="12.0"/>
      <color rgb="FF333333"/>
      <name val="Roboto"/>
    </font>
    <font>
      <u/>
      <color rgb="FF434343"/>
      <name val="Roboto"/>
    </font>
    <font>
      <u/>
      <color rgb="FF0000FF"/>
      <name val="Roboto"/>
    </font>
    <font>
      <u/>
      <sz val="11.0"/>
      <color rgb="FF0000FF"/>
      <name val="Arial"/>
    </font>
    <font>
      <sz val="11.0"/>
      <color rgb="FFFFFFFF"/>
      <name val="Arial"/>
    </font>
    <font>
      <sz val="11.0"/>
      <color rgb="FF999999"/>
      <name val="Arial"/>
    </font>
    <font>
      <u/>
      <color rgb="FF434343"/>
      <name val="Roboto"/>
    </font>
    <font>
      <u/>
      <color rgb="FF434343"/>
      <name val="Roboto"/>
    </font>
    <font>
      <u/>
      <color rgb="FF434343"/>
      <name val="Roboto"/>
    </font>
    <font>
      <u/>
      <sz val="11.0"/>
      <color rgb="FF0000FF"/>
      <name val="Arial"/>
    </font>
    <font>
      <u/>
      <sz val="11.0"/>
      <color rgb="FF000000"/>
      <name val="Arial"/>
    </font>
    <font>
      <sz val="11.0"/>
      <color rgb="FF000000"/>
      <name val="&quot;Bookman Old Style&quot;"/>
    </font>
    <font>
      <b/>
      <sz val="11.0"/>
      <color theme="1"/>
      <name val="Arial"/>
    </font>
    <font>
      <b/>
      <sz val="10.0"/>
      <color rgb="FF000000"/>
      <name val="Arial"/>
    </font>
    <font>
      <sz val="11.0"/>
      <color rgb="FF6D9EEB"/>
      <name val="Arial"/>
    </font>
    <font>
      <sz val="10.0"/>
      <color rgb="FF6D9EEB"/>
      <name val="Arial"/>
    </font>
    <font>
      <u/>
      <sz val="11.0"/>
      <color rgb="FF0000FF"/>
      <name val="Arial"/>
    </font>
    <font>
      <sz val="11.0"/>
      <color rgb="FF3C78D8"/>
      <name val="Arial"/>
    </font>
    <font>
      <sz val="10.0"/>
      <color rgb="FF3C78D8"/>
      <name val="Arial"/>
    </font>
    <font>
      <u/>
      <sz val="11.0"/>
      <color rgb="FF3C78D8"/>
      <name val="Arial"/>
    </font>
    <font>
      <u/>
      <sz val="10.0"/>
      <color rgb="FF3C78D8"/>
      <name val="Arial"/>
    </font>
    <font>
      <u/>
      <sz val="11.0"/>
      <color rgb="FF000000"/>
      <name val="Arial"/>
    </font>
    <font>
      <u/>
      <sz val="11.0"/>
      <color rgb="FF434343"/>
      <name val="Arial"/>
    </font>
    <font>
      <u/>
      <sz val="10.0"/>
      <color rgb="FF434343"/>
      <name val="Arial"/>
    </font>
    <font>
      <u/>
      <sz val="10.0"/>
      <color rgb="FF000000"/>
      <name val="Arial"/>
    </font>
    <font>
      <u/>
      <sz val="11.0"/>
      <color rgb="FF434343"/>
      <name val="Arial"/>
    </font>
    <font>
      <u/>
      <sz val="10.0"/>
      <color rgb="FF434343"/>
      <name val="Arial"/>
    </font>
    <font>
      <sz val="11.0"/>
      <color rgb="FFFF0000"/>
      <name val="Arial"/>
    </font>
    <font>
      <u/>
      <sz val="11.0"/>
      <color rgb="FF434343"/>
      <name val="Arial"/>
    </font>
    <font>
      <u/>
      <sz val="10.0"/>
      <color rgb="FF434343"/>
      <name val="Arial"/>
    </font>
    <font>
      <u/>
      <color rgb="FF434343"/>
      <name val="Roboto"/>
    </font>
    <font>
      <u/>
      <sz val="11.0"/>
      <color rgb="FF3C78D8"/>
      <name val="Arial"/>
    </font>
    <font>
      <u/>
      <sz val="11.0"/>
      <color theme="1"/>
      <name val="Arial"/>
    </font>
    <font>
      <u/>
      <sz val="11.0"/>
      <color rgb="FF0000FF"/>
      <name val="&quot;Bookman Old Style&quot;"/>
    </font>
    <font>
      <b/>
      <u/>
      <sz val="14.0"/>
      <color rgb="FF000000"/>
      <name val="Calibri"/>
    </font>
    <font>
      <b/>
      <sz val="14.0"/>
      <color rgb="FF000000"/>
      <name val="Calibri"/>
    </font>
    <font>
      <u/>
      <sz val="11.0"/>
      <color theme="1"/>
      <name val="Arial"/>
    </font>
    <font>
      <u/>
      <sz val="11.0"/>
      <color theme="1"/>
      <name val="Arial"/>
    </font>
    <font>
      <u/>
      <sz val="11.0"/>
      <color rgb="FF3C78D8"/>
      <name val="Arial"/>
    </font>
    <font>
      <u/>
      <sz val="11.0"/>
      <color rgb="FF434343"/>
      <name val="Arial"/>
    </font>
    <font>
      <u/>
      <sz val="10.0"/>
      <color rgb="FF434343"/>
      <name val="Arial"/>
    </font>
    <font>
      <u/>
      <sz val="11.0"/>
      <color rgb="FF0000FF"/>
      <name val="Arial"/>
    </font>
    <font/>
    <font>
      <sz val="12.0"/>
      <color rgb="FF2B5F60"/>
      <name val="&quot;Nunito Sans&quot;"/>
    </font>
    <font>
      <b/>
      <sz val="16.0"/>
      <color rgb="FF000000"/>
      <name val="Calibri"/>
    </font>
    <font>
      <u/>
      <sz val="11.0"/>
      <color theme="1"/>
      <name val="Arial"/>
    </font>
    <font>
      <u/>
      <sz val="11.0"/>
      <color rgb="FF000000"/>
      <name val="Arial"/>
    </font>
    <font>
      <b/>
      <u/>
      <sz val="16.0"/>
      <color rgb="FF0000FF"/>
      <name val="Calibri"/>
    </font>
    <font>
      <sz val="16.0"/>
      <color theme="1"/>
      <name val="Calibri"/>
    </font>
    <font>
      <sz val="16.0"/>
      <color rgb="FF000000"/>
      <name val="Calibri"/>
    </font>
    <font>
      <u/>
      <sz val="11.0"/>
      <color rgb="FF434343"/>
      <name val="Arial"/>
    </font>
    <font>
      <b/>
      <color theme="1"/>
      <name val="Arial"/>
    </font>
    <font>
      <sz val="13.0"/>
      <color theme="1"/>
      <name val="Calibri"/>
    </font>
    <font>
      <u/>
      <sz val="13.0"/>
      <color rgb="FF0000FF"/>
      <name val="Calibri"/>
    </font>
    <font>
      <u/>
      <sz val="13.0"/>
      <color rgb="FF0000FF"/>
      <name val="Calibri"/>
    </font>
    <font>
      <u/>
      <sz val="11.0"/>
      <color rgb="FF3C78D8"/>
      <name val="Arial"/>
    </font>
    <font>
      <u/>
      <sz val="13.0"/>
      <color rgb="FF1155CC"/>
      <name val="Calibri"/>
    </font>
    <font>
      <u/>
      <sz val="11.0"/>
      <color rgb="FF1155CC"/>
      <name val="Arial"/>
    </font>
    <font>
      <sz val="11.0"/>
      <color theme="1"/>
      <name val="Calibri"/>
    </font>
    <font>
      <u/>
      <sz val="11.0"/>
      <color rgb="FF0000FF"/>
      <name val="Arial"/>
    </font>
    <font>
      <sz val="13.0"/>
      <color rgb="FF000000"/>
      <name val="Calibri"/>
    </font>
    <font>
      <u/>
      <sz val="11.0"/>
      <color rgb="FF3C78D8"/>
      <name val="Arial"/>
    </font>
    <font>
      <u/>
      <sz val="13.0"/>
      <color rgb="FF6D9EEB"/>
      <name val="Calibri"/>
    </font>
    <font>
      <u/>
      <sz val="11.0"/>
      <color rgb="FF000000"/>
      <name val="Arial"/>
    </font>
    <font>
      <u/>
      <sz val="11.0"/>
      <color rgb="FF434343"/>
      <name val="Calibri"/>
    </font>
    <font>
      <u/>
      <sz val="11.0"/>
      <color theme="1"/>
      <name val="Arial"/>
    </font>
    <font>
      <u/>
      <sz val="11.0"/>
      <color rgb="FF0000FF"/>
      <name val="Arial"/>
    </font>
    <font>
      <u/>
      <sz val="11.0"/>
      <color rgb="FF0000FF"/>
      <name val="Arial"/>
    </font>
    <font>
      <b/>
      <sz val="11.0"/>
      <color theme="1"/>
      <name val="Times New Roman"/>
    </font>
    <font>
      <u/>
      <sz val="11.0"/>
      <color rgb="FF0000FF"/>
      <name val="Arial"/>
    </font>
    <font>
      <u/>
      <sz val="11.0"/>
      <color theme="10"/>
      <name val="Arial"/>
    </font>
    <font>
      <u/>
      <sz val="13.0"/>
      <color rgb="FF434343"/>
      <name val="Calibri"/>
    </font>
    <font>
      <u/>
      <sz val="11.0"/>
      <color rgb="FF0000FF"/>
      <name val="Arial"/>
    </font>
    <font>
      <u/>
      <sz val="11.0"/>
      <color rgb="FF0000FF"/>
      <name val="Arial"/>
    </font>
    <font>
      <u/>
      <sz val="13.0"/>
      <color rgb="FF000000"/>
      <name val="Calibri"/>
    </font>
    <font>
      <color theme="1"/>
      <name val="Times New Roman"/>
    </font>
    <font>
      <u/>
      <sz val="11.0"/>
      <color rgb="FF3C78D8"/>
      <name val="Arial"/>
    </font>
    <font>
      <u/>
      <sz val="11.0"/>
      <color theme="1"/>
      <name val="Times New Roman"/>
    </font>
    <font>
      <u/>
      <sz val="11.0"/>
      <color rgb="FF6D9EEB"/>
      <name val="Arial"/>
    </font>
    <font>
      <u/>
      <color rgb="FF0000FF"/>
      <name val="Roboto"/>
    </font>
    <font>
      <u/>
      <sz val="11.0"/>
      <color theme="1"/>
      <name val="Arial"/>
    </font>
    <font>
      <sz val="14.0"/>
      <color rgb="FF000000"/>
      <name val="Calibri"/>
    </font>
    <font>
      <u/>
      <sz val="11.0"/>
      <color rgb="FF1155CC"/>
      <name val="Arial"/>
    </font>
    <font>
      <u/>
      <sz val="13.0"/>
      <color rgb="FF000000"/>
      <name val="Calibri"/>
    </font>
    <font>
      <sz val="11.0"/>
      <color theme="1"/>
      <name val="Arial"/>
      <scheme val="minor"/>
    </font>
    <font>
      <u/>
      <sz val="11.0"/>
      <color rgb="FF6D9EEB"/>
      <name val="Arial"/>
    </font>
    <font>
      <color rgb="FF1F1F1F"/>
      <name val="Times New Roman"/>
    </font>
    <font>
      <sz val="10.0"/>
      <color rgb="FF000000"/>
      <name val="Calibri"/>
    </font>
    <font>
      <color rgb="FF1F1F1F"/>
      <name val="&quot;Google Sans&quot;"/>
    </font>
    <font>
      <u/>
      <sz val="13.0"/>
      <color theme="1"/>
      <name val="Calibri"/>
    </font>
    <font>
      <sz val="13.0"/>
      <color rgb="FF999999"/>
      <name val="Calibri"/>
    </font>
    <font>
      <sz val="12.0"/>
      <color rgb="FF000000"/>
      <name val="Calibri"/>
    </font>
    <font>
      <sz val="11.0"/>
      <color rgb="FF000000"/>
      <name val="Arial"/>
      <scheme val="minor"/>
    </font>
  </fonts>
  <fills count="33">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F8F9FA"/>
        <bgColor rgb="FFF8F9FA"/>
      </patternFill>
    </fill>
    <fill>
      <patternFill patternType="solid">
        <fgColor rgb="FFEFEFEF"/>
        <bgColor rgb="FFEFEFEF"/>
      </patternFill>
    </fill>
    <fill>
      <patternFill patternType="solid">
        <fgColor rgb="FFE7E6E6"/>
        <bgColor rgb="FFE7E6E6"/>
      </patternFill>
    </fill>
    <fill>
      <patternFill patternType="solid">
        <fgColor rgb="FF6AA84F"/>
        <bgColor rgb="FF6AA84F"/>
      </patternFill>
    </fill>
    <fill>
      <patternFill patternType="solid">
        <fgColor rgb="FF00FFFF"/>
        <bgColor rgb="FF00FFFF"/>
      </patternFill>
    </fill>
    <fill>
      <patternFill patternType="solid">
        <fgColor rgb="FF93C47D"/>
        <bgColor rgb="FF93C47D"/>
      </patternFill>
    </fill>
    <fill>
      <patternFill patternType="solid">
        <fgColor rgb="FF00863D"/>
        <bgColor rgb="FF00863D"/>
      </patternFill>
    </fill>
    <fill>
      <patternFill patternType="solid">
        <fgColor rgb="FF92D050"/>
        <bgColor rgb="FF92D050"/>
      </patternFill>
    </fill>
    <fill>
      <patternFill patternType="solid">
        <fgColor rgb="FFEA9999"/>
        <bgColor rgb="FFEA9999"/>
      </patternFill>
    </fill>
    <fill>
      <patternFill patternType="solid">
        <fgColor rgb="FFC65911"/>
        <bgColor rgb="FFC65911"/>
      </patternFill>
    </fill>
    <fill>
      <patternFill patternType="solid">
        <fgColor rgb="FFFFA3A5"/>
        <bgColor rgb="FFFFA3A5"/>
      </patternFill>
    </fill>
    <fill>
      <patternFill patternType="solid">
        <fgColor rgb="FFFFFF00"/>
        <bgColor rgb="FFFFFF00"/>
      </patternFill>
    </fill>
    <fill>
      <patternFill patternType="solid">
        <fgColor rgb="FF00FF00"/>
        <bgColor rgb="FF00FF00"/>
      </patternFill>
    </fill>
    <fill>
      <patternFill patternType="solid">
        <fgColor rgb="FF1155CC"/>
        <bgColor rgb="FF1155CC"/>
      </patternFill>
    </fill>
    <fill>
      <patternFill patternType="solid">
        <fgColor theme="4"/>
        <bgColor theme="4"/>
      </patternFill>
    </fill>
    <fill>
      <patternFill patternType="solid">
        <fgColor rgb="FF806000"/>
        <bgColor rgb="FF806000"/>
      </patternFill>
    </fill>
    <fill>
      <patternFill patternType="solid">
        <fgColor rgb="FFE06666"/>
        <bgColor rgb="FFE06666"/>
      </patternFill>
    </fill>
    <fill>
      <patternFill patternType="solid">
        <fgColor rgb="FFFF9900"/>
        <bgColor rgb="FFFF9900"/>
      </patternFill>
    </fill>
    <fill>
      <patternFill patternType="solid">
        <fgColor rgb="FFB6D7A8"/>
        <bgColor rgb="FFB6D7A8"/>
      </patternFill>
    </fill>
    <fill>
      <patternFill patternType="solid">
        <fgColor rgb="FFFFF2CC"/>
        <bgColor rgb="FFFFF2CC"/>
      </patternFill>
    </fill>
    <fill>
      <patternFill patternType="solid">
        <fgColor rgb="FFFF00FF"/>
        <bgColor rgb="FFFF00FF"/>
      </patternFill>
    </fill>
    <fill>
      <patternFill patternType="solid">
        <fgColor rgb="FFFF0000"/>
        <bgColor rgb="FFFF0000"/>
      </patternFill>
    </fill>
    <fill>
      <patternFill patternType="solid">
        <fgColor rgb="FFF6F8F9"/>
        <bgColor rgb="FFF6F8F9"/>
      </patternFill>
    </fill>
    <fill>
      <patternFill patternType="solid">
        <fgColor rgb="FFB7E1CD"/>
        <bgColor rgb="FFB7E1CD"/>
      </patternFill>
    </fill>
    <fill>
      <patternFill patternType="solid">
        <fgColor rgb="FF8E7CC3"/>
        <bgColor rgb="FF8E7CC3"/>
      </patternFill>
    </fill>
    <fill>
      <patternFill patternType="solid">
        <fgColor rgb="FFCC0000"/>
        <bgColor rgb="FFCC0000"/>
      </patternFill>
    </fill>
    <fill>
      <patternFill patternType="solid">
        <fgColor theme="5"/>
        <bgColor theme="5"/>
      </patternFill>
    </fill>
    <fill>
      <patternFill patternType="solid">
        <fgColor rgb="FFFFD966"/>
        <bgColor rgb="FFFFD966"/>
      </patternFill>
    </fill>
    <fill>
      <patternFill patternType="solid">
        <fgColor theme="7"/>
        <bgColor theme="7"/>
      </patternFill>
    </fill>
  </fills>
  <borders count="1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
      <top style="thin">
        <color rgb="FF000000"/>
      </top>
      <bottom style="thin">
        <color rgb="FF000000"/>
      </bottom>
    </border>
  </borders>
  <cellStyleXfs count="1">
    <xf borderId="0" fillId="0" fontId="0" numFmtId="0" applyAlignment="1" applyFont="1"/>
  </cellStyleXfs>
  <cellXfs count="914">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readingOrder="0" shrinkToFit="0" vertical="center" wrapText="1"/>
    </xf>
    <xf borderId="1" fillId="2" fontId="1" numFmtId="0" xfId="0" applyAlignment="1" applyBorder="1" applyFill="1" applyFont="1">
      <alignment horizontal="center" readingOrder="0" shrinkToFit="0" vertical="center" wrapText="1"/>
    </xf>
    <xf borderId="1" fillId="2" fontId="1" numFmtId="0" xfId="0" applyAlignment="1" applyBorder="1" applyFill="1" applyFont="1">
      <alignment horizontal="left" readingOrder="0" shrinkToFit="0" vertical="center" wrapText="1"/>
    </xf>
    <xf borderId="2" fillId="2" fontId="1" numFmtId="0" xfId="0" applyAlignment="1" applyBorder="1" applyFill="1" applyFont="1">
      <alignment horizontal="center" readingOrder="0" shrinkToFit="0" vertical="center" wrapText="1"/>
    </xf>
    <xf borderId="1" fillId="2" fontId="1" numFmtId="0" xfId="0" applyAlignment="1" applyBorder="1" applyFill="1" applyFont="1">
      <alignment horizontal="center" readingOrder="0" shrinkToFit="0" vertical="center" wrapText="1"/>
    </xf>
    <xf borderId="1" fillId="2" fontId="1" numFmtId="1" xfId="0" applyAlignment="1" applyBorder="1" applyFill="1" applyFont="1" applyNumberFormat="1">
      <alignment horizontal="right" readingOrder="0" shrinkToFit="0" vertical="center" wrapText="1"/>
    </xf>
    <xf borderId="1" fillId="2" fontId="1" numFmtId="1" xfId="0" applyAlignment="1" applyBorder="1" applyFill="1" applyFont="1" applyNumberFormat="1">
      <alignment horizontal="center" readingOrder="0" shrinkToFit="0" vertical="center" wrapText="1"/>
    </xf>
    <xf borderId="0" fillId="2" fontId="1" numFmtId="1" xfId="0" applyAlignment="1" applyFill="1" applyFont="1" applyNumberFormat="1">
      <alignment horizontal="center" readingOrder="0" shrinkToFit="0" vertical="center" wrapText="1"/>
    </xf>
    <xf borderId="0" fillId="2" fontId="2" numFmtId="1" xfId="0" applyAlignment="1" applyFill="1" applyFont="1" applyNumberFormat="1">
      <alignment readingOrder="0"/>
    </xf>
    <xf borderId="0" fillId="0" fontId="3" numFmtId="0" xfId="0" applyAlignment="1" applyFont="1">
      <alignment horizontal="left" readingOrder="0" shrinkToFit="0" vertical="center" wrapText="0"/>
    </xf>
    <xf borderId="1" fillId="2" fontId="4" numFmtId="0" xfId="0" applyAlignment="1" applyBorder="1" applyFill="1" applyFont="1">
      <alignment horizontal="center" readingOrder="0" shrinkToFit="0" vertical="center" wrapText="1"/>
    </xf>
    <xf borderId="1" fillId="2" fontId="1" numFmtId="3" xfId="0" applyAlignment="1" applyBorder="1" applyFill="1" applyFont="1" applyNumberFormat="1">
      <alignment horizontal="center" readingOrder="0" shrinkToFit="0" vertical="center" wrapText="1"/>
    </xf>
    <xf borderId="1" fillId="3" fontId="5" numFmtId="1" xfId="0" applyAlignment="1" applyBorder="1" applyFill="1" applyFont="1" applyNumberFormat="1">
      <alignment horizontal="left" readingOrder="0" vertical="top"/>
    </xf>
    <xf borderId="0" fillId="0" fontId="6" numFmtId="0" xfId="0" applyAlignment="1" applyFont="1">
      <alignment vertical="bottom"/>
    </xf>
    <xf borderId="1" fillId="0" fontId="7" numFmtId="0" xfId="0" applyAlignment="1" applyBorder="1" applyFont="1">
      <alignment shrinkToFit="0" vertical="top" wrapText="1"/>
    </xf>
    <xf borderId="0" fillId="4" fontId="8" numFmtId="0" xfId="0" applyAlignment="1" applyFill="1" applyFont="1">
      <alignment shrinkToFit="0" vertical="center" wrapText="0"/>
    </xf>
    <xf borderId="1" fillId="3" fontId="4" numFmtId="0" xfId="0" applyAlignment="1" applyBorder="1" applyFill="1" applyFont="1">
      <alignment horizontal="left" shrinkToFit="0" vertical="center" wrapText="1"/>
    </xf>
    <xf borderId="1" fillId="5" fontId="5" numFmtId="0" xfId="0" applyAlignment="1" applyBorder="1" applyFill="1" applyFont="1">
      <alignment horizontal="center" readingOrder="0" shrinkToFit="0" vertical="center" wrapText="1"/>
    </xf>
    <xf borderId="1" fillId="3" fontId="5" numFmtId="0" xfId="0" applyAlignment="1" applyBorder="1" applyFill="1" applyFont="1">
      <alignment horizontal="center" readingOrder="0" shrinkToFit="0" vertical="center" wrapText="1"/>
    </xf>
    <xf borderId="1" fillId="6" fontId="7" numFmtId="0" xfId="0" applyAlignment="1" applyBorder="1" applyFill="1" applyFont="1">
      <alignment horizontal="center" readingOrder="0" vertical="top"/>
    </xf>
    <xf borderId="1" fillId="6" fontId="7" numFmtId="0" xfId="0" applyAlignment="1" applyBorder="1" applyFill="1" applyFont="1">
      <alignment horizontal="right" vertical="top"/>
    </xf>
    <xf borderId="1" fillId="6" fontId="5" numFmtId="0" xfId="0" applyAlignment="1" applyBorder="1" applyFill="1" applyFont="1">
      <alignment horizontal="center" readingOrder="0" vertical="center"/>
    </xf>
    <xf borderId="1" fillId="6" fontId="5" numFmtId="0" xfId="0" applyAlignment="1" applyBorder="1" applyFill="1" applyFont="1">
      <alignment horizontal="left" vertical="center"/>
    </xf>
    <xf borderId="0" fillId="0" fontId="9" numFmtId="0" xfId="0" applyAlignment="1" applyFont="1">
      <alignment horizontal="left" readingOrder="0" shrinkToFit="0" vertical="center" wrapText="0"/>
    </xf>
    <xf borderId="1" fillId="6" fontId="5" numFmtId="0" xfId="0" applyAlignment="1" applyBorder="1" applyFill="1" applyFont="1">
      <alignment horizontal="center" vertical="center"/>
    </xf>
    <xf borderId="0" fillId="0" fontId="10" numFmtId="0" xfId="0" applyAlignment="1" applyFont="1">
      <alignment horizontal="left" readingOrder="0" shrinkToFit="0" vertical="center" wrapText="0"/>
    </xf>
    <xf borderId="1" fillId="5" fontId="5" numFmtId="49" xfId="0" applyAlignment="1" applyBorder="1" applyFill="1" applyFont="1" applyNumberFormat="1">
      <alignment horizontal="center" readingOrder="0" shrinkToFit="0" vertical="center" wrapText="1"/>
    </xf>
    <xf borderId="0" fillId="4" fontId="8" numFmtId="0" xfId="0" applyAlignment="1" applyFill="1" applyFont="1">
      <alignment readingOrder="0" shrinkToFit="0" vertical="center" wrapText="0"/>
    </xf>
    <xf borderId="0" fillId="0" fontId="10" numFmtId="1" xfId="0" applyAlignment="1" applyFont="1" applyNumberFormat="1">
      <alignment horizontal="center" readingOrder="0" shrinkToFit="0" vertical="center" wrapText="0"/>
    </xf>
    <xf borderId="1" fillId="3" fontId="5" numFmtId="0" xfId="0" applyAlignment="1" applyBorder="1" applyFill="1" applyFont="1">
      <alignment horizontal="left" readingOrder="0"/>
    </xf>
    <xf borderId="1" fillId="0" fontId="3" numFmtId="0" xfId="0" applyAlignment="1" applyBorder="1" applyFont="1">
      <alignment horizontal="left" readingOrder="0" shrinkToFit="0" vertical="center" wrapText="1"/>
    </xf>
    <xf borderId="0" fillId="0" fontId="11" numFmtId="0" xfId="0" applyAlignment="1" applyFont="1">
      <alignment horizontal="center" readingOrder="0" shrinkToFit="0" vertical="center" wrapText="0"/>
    </xf>
    <xf borderId="1" fillId="0" fontId="12" numFmtId="0" xfId="0" applyAlignment="1" applyBorder="1" applyFont="1">
      <alignment horizontal="left" readingOrder="0" vertical="top"/>
    </xf>
    <xf borderId="1" fillId="7" fontId="13" numFmtId="49" xfId="0" applyAlignment="1" applyBorder="1" applyFill="1" applyFont="1" applyNumberFormat="1">
      <alignment horizontal="left" readingOrder="0" shrinkToFit="0" vertical="center" wrapText="0"/>
    </xf>
    <xf borderId="1" fillId="7" fontId="13" numFmtId="0" xfId="0" applyAlignment="1" applyBorder="1" applyFill="1" applyFont="1">
      <alignment horizontal="left" readingOrder="0" shrinkToFit="0" vertical="center" wrapText="0"/>
    </xf>
    <xf borderId="1" fillId="0" fontId="14" numFmtId="0" xfId="0" applyAlignment="1" applyBorder="1" applyFont="1">
      <alignment readingOrder="0"/>
    </xf>
    <xf borderId="1" fillId="3" fontId="14" numFmtId="0" xfId="0" applyBorder="1" applyFill="1" applyFont="1"/>
    <xf borderId="0" fillId="0" fontId="11" numFmtId="49" xfId="0" applyAlignment="1" applyFont="1" applyNumberFormat="1">
      <alignment horizontal="center" readingOrder="0" shrinkToFit="0" vertical="center" wrapText="0"/>
    </xf>
    <xf borderId="0" fillId="4" fontId="8" numFmtId="0" xfId="0" applyAlignment="1" applyFill="1" applyFont="1">
      <alignment horizontal="right" shrinkToFit="0" vertical="center" wrapText="0"/>
    </xf>
    <xf borderId="0" fillId="0" fontId="3" numFmtId="0" xfId="0" applyAlignment="1" applyFont="1">
      <alignment horizontal="left" readingOrder="0" shrinkToFit="0" vertical="center" wrapText="0"/>
    </xf>
    <xf borderId="1" fillId="5" fontId="15" numFmtId="0" xfId="0" applyAlignment="1" applyBorder="1" applyFill="1" applyFont="1">
      <alignment horizontal="center" readingOrder="0" shrinkToFit="0" vertical="center" wrapText="1"/>
    </xf>
    <xf borderId="1" fillId="8" fontId="14" numFmtId="0" xfId="0" applyBorder="1" applyFill="1" applyFont="1"/>
    <xf borderId="1" fillId="3" fontId="4" numFmtId="3" xfId="0" applyAlignment="1" applyBorder="1" applyFill="1" applyFont="1" applyNumberFormat="1">
      <alignment horizontal="center" shrinkToFit="0" vertical="center" wrapText="1"/>
    </xf>
    <xf borderId="1" fillId="0" fontId="14" numFmtId="1" xfId="0" applyBorder="1" applyFont="1" applyNumberFormat="1"/>
    <xf borderId="1" fillId="9" fontId="5" numFmtId="0" xfId="0" applyAlignment="1" applyBorder="1" applyFill="1" applyFont="1">
      <alignment horizontal="left" readingOrder="0" shrinkToFit="0" vertical="center" wrapText="1"/>
    </xf>
    <xf borderId="1" fillId="0" fontId="14" numFmtId="0" xfId="0" applyAlignment="1" applyBorder="1" applyFont="1">
      <alignment horizontal="left"/>
    </xf>
    <xf borderId="1" fillId="5" fontId="5" numFmtId="0" xfId="0" applyAlignment="1" applyBorder="1" applyFill="1" applyFont="1">
      <alignment horizontal="center" shrinkToFit="0" vertical="center" wrapText="1"/>
    </xf>
    <xf borderId="1" fillId="5" fontId="5" numFmtId="1" xfId="0" applyAlignment="1" applyBorder="1" applyFill="1" applyFont="1" applyNumberFormat="1">
      <alignment horizontal="right" readingOrder="0" shrinkToFit="0" vertical="center" wrapText="1"/>
    </xf>
    <xf borderId="0" fillId="0" fontId="16" numFmtId="0" xfId="0" applyAlignment="1" applyFont="1">
      <alignment shrinkToFit="0" vertical="center" wrapText="0"/>
    </xf>
    <xf borderId="1" fillId="9" fontId="17" numFmtId="0" xfId="0" applyAlignment="1" applyBorder="1" applyFill="1" applyFont="1">
      <alignment readingOrder="0" shrinkToFit="0" wrapText="1"/>
    </xf>
    <xf borderId="0" fillId="4" fontId="18" numFmtId="0" xfId="0" applyAlignment="1" applyFill="1" applyFont="1">
      <alignment shrinkToFit="0" vertical="center" wrapText="0"/>
    </xf>
    <xf borderId="1" fillId="5" fontId="5" numFmtId="1" xfId="0" applyAlignment="1" applyBorder="1" applyFill="1" applyFont="1" applyNumberFormat="1">
      <alignment horizontal="center" readingOrder="0" shrinkToFit="0" vertical="center" wrapText="1"/>
    </xf>
    <xf borderId="1" fillId="5" fontId="5" numFmtId="1" xfId="0" applyAlignment="1" applyBorder="1" applyFill="1" applyFont="1" applyNumberFormat="1">
      <alignment horizontal="left" readingOrder="0" shrinkToFit="0" vertical="center" wrapText="1"/>
    </xf>
    <xf borderId="0" fillId="0" fontId="16" numFmtId="0" xfId="0" applyAlignment="1" applyFont="1">
      <alignment horizontal="left" shrinkToFit="0" vertical="center" wrapText="0"/>
    </xf>
    <xf borderId="0" fillId="3" fontId="8" numFmtId="0" xfId="0" applyAlignment="1" applyFill="1" applyFont="1">
      <alignment shrinkToFit="0" vertical="center" wrapText="0"/>
    </xf>
    <xf borderId="0" fillId="0" fontId="16" numFmtId="164" xfId="0" applyAlignment="1" applyFont="1" applyNumberFormat="1">
      <alignment horizontal="center" shrinkToFit="0" vertical="center" wrapText="0"/>
    </xf>
    <xf borderId="1" fillId="5" fontId="4" numFmtId="0" xfId="0" applyAlignment="1" applyBorder="1" applyFill="1" applyFont="1">
      <alignment horizontal="center" readingOrder="0" shrinkToFit="0" vertical="center" wrapText="1"/>
    </xf>
    <xf borderId="3" fillId="10" fontId="19" numFmtId="0" xfId="0" applyAlignment="1" applyBorder="1" applyFill="1" applyFont="1">
      <alignment horizontal="center" shrinkToFit="0" vertical="center" wrapText="0"/>
    </xf>
    <xf borderId="0" fillId="0" fontId="16" numFmtId="0" xfId="0" applyAlignment="1" applyFont="1">
      <alignment horizontal="center" shrinkToFit="0" vertical="center" wrapText="0"/>
    </xf>
    <xf borderId="1" fillId="9" fontId="20" numFmtId="0" xfId="0" applyAlignment="1" applyBorder="1" applyFill="1" applyFont="1">
      <alignment readingOrder="0" shrinkToFit="0" wrapText="1"/>
    </xf>
    <xf borderId="3" fillId="11" fontId="21" numFmtId="0" xfId="0" applyAlignment="1" applyBorder="1" applyFill="1" applyFont="1">
      <alignment shrinkToFit="0" vertical="center" wrapText="0"/>
    </xf>
    <xf borderId="1" fillId="5" fontId="22" numFmtId="0" xfId="0" applyAlignment="1" applyBorder="1" applyFill="1" applyFont="1">
      <alignment horizontal="center" readingOrder="0" shrinkToFit="0" vertical="center" wrapText="1"/>
    </xf>
    <xf borderId="1" fillId="5" fontId="4" numFmtId="3" xfId="0" applyAlignment="1" applyBorder="1" applyFill="1" applyFont="1" applyNumberFormat="1">
      <alignment horizontal="center" readingOrder="0" shrinkToFit="0" vertical="center" wrapText="1"/>
    </xf>
    <xf borderId="0" fillId="3" fontId="8" numFmtId="0" xfId="0" applyAlignment="1" applyFill="1" applyFont="1">
      <alignment horizontal="right" shrinkToFit="0" vertical="center" wrapText="0"/>
    </xf>
    <xf borderId="1" fillId="5" fontId="5" numFmtId="0" xfId="0" applyAlignment="1" applyBorder="1" applyFill="1" applyFont="1">
      <alignment horizontal="center" shrinkToFit="0" vertical="center" wrapText="1"/>
    </xf>
    <xf borderId="0" fillId="11" fontId="21" numFmtId="0" xfId="0" applyAlignment="1" applyFill="1" applyFont="1">
      <alignment shrinkToFit="0" vertical="center" wrapText="0"/>
    </xf>
    <xf borderId="0" fillId="9" fontId="3" numFmtId="0" xfId="0" applyAlignment="1" applyFill="1" applyFont="1">
      <alignment readingOrder="0" shrinkToFit="0" wrapText="1"/>
    </xf>
    <xf borderId="0" fillId="0" fontId="3" numFmtId="1" xfId="0" applyAlignment="1" applyFont="1" applyNumberFormat="1">
      <alignment shrinkToFit="0" vertical="center" wrapText="0"/>
    </xf>
    <xf borderId="0" fillId="0" fontId="23" numFmtId="0" xfId="0" applyAlignment="1" applyFont="1">
      <alignment shrinkToFit="0" vertical="center" wrapText="0"/>
    </xf>
    <xf borderId="1" fillId="5" fontId="5" numFmtId="1" xfId="0" applyAlignment="1" applyBorder="1" applyFill="1" applyFont="1" applyNumberFormat="1">
      <alignment horizontal="right" shrinkToFit="0" vertical="center" wrapText="1"/>
    </xf>
    <xf borderId="0" fillId="0" fontId="3" numFmtId="0" xfId="0" applyAlignment="1" applyFont="1">
      <alignment shrinkToFit="0" vertical="center" wrapText="0"/>
    </xf>
    <xf borderId="0" fillId="3" fontId="24" numFmtId="0" xfId="0" applyAlignment="1" applyFill="1" applyFont="1">
      <alignment shrinkToFit="0" vertical="center" wrapText="0"/>
    </xf>
    <xf borderId="0" fillId="0" fontId="3" numFmtId="0" xfId="0" applyAlignment="1" applyFont="1">
      <alignment readingOrder="0" shrinkToFit="0" vertical="center" wrapText="0"/>
    </xf>
    <xf borderId="1" fillId="0" fontId="25" numFmtId="0" xfId="0" applyAlignment="1" applyBorder="1" applyFont="1">
      <alignment readingOrder="0" shrinkToFit="0" wrapText="1"/>
    </xf>
    <xf borderId="0" fillId="0" fontId="21" numFmtId="0" xfId="0" applyAlignment="1" applyFont="1">
      <alignment shrinkToFit="0" vertical="center" wrapText="0"/>
    </xf>
    <xf borderId="0" fillId="4" fontId="8" numFmtId="0" xfId="0" applyAlignment="1" applyFill="1" applyFont="1">
      <alignment readingOrder="0" shrinkToFit="0" vertical="center" wrapText="0"/>
    </xf>
    <xf borderId="0" fillId="0" fontId="3" numFmtId="0" xfId="0" applyAlignment="1" applyFont="1">
      <alignment readingOrder="0" shrinkToFit="0" wrapText="1"/>
    </xf>
    <xf borderId="1" fillId="5" fontId="5" numFmtId="1" xfId="0" applyAlignment="1" applyBorder="1" applyFill="1" applyFont="1" applyNumberFormat="1">
      <alignment horizontal="center" shrinkToFit="0" vertical="center" wrapText="1"/>
    </xf>
    <xf borderId="1" fillId="0" fontId="3" numFmtId="1" xfId="0" applyAlignment="1" applyBorder="1" applyFont="1" applyNumberFormat="1">
      <alignment shrinkToFit="0" vertical="center" wrapText="0"/>
    </xf>
    <xf borderId="1" fillId="0" fontId="14" numFmtId="0" xfId="0" applyBorder="1" applyFont="1"/>
    <xf borderId="1" fillId="0" fontId="14" numFmtId="0" xfId="0" applyAlignment="1" applyBorder="1" applyFont="1">
      <alignment readingOrder="0"/>
    </xf>
    <xf borderId="1" fillId="5" fontId="26" numFmtId="0" xfId="0" applyAlignment="1" applyBorder="1" applyFill="1" applyFont="1">
      <alignment horizontal="center" readingOrder="0" shrinkToFit="0" vertical="center" wrapText="1"/>
    </xf>
    <xf borderId="1" fillId="5" fontId="4" numFmtId="3" xfId="0" applyAlignment="1" applyBorder="1" applyFill="1" applyFont="1" applyNumberFormat="1">
      <alignment horizontal="center" readingOrder="0" shrinkToFit="0" vertical="center" wrapText="1"/>
    </xf>
    <xf borderId="1" fillId="12" fontId="5" numFmtId="0" xfId="0" applyAlignment="1" applyBorder="1" applyFill="1" applyFont="1">
      <alignment horizontal="left" readingOrder="0" shrinkToFit="0" vertical="center" wrapText="1"/>
    </xf>
    <xf borderId="1" fillId="12" fontId="27" numFmtId="0" xfId="0" applyAlignment="1" applyBorder="1" applyFill="1" applyFont="1">
      <alignment horizontal="left" shrinkToFit="0" vertical="center" wrapText="1"/>
    </xf>
    <xf borderId="1" fillId="12" fontId="5" numFmtId="0" xfId="0" applyAlignment="1" applyBorder="1" applyFill="1" applyFont="1">
      <alignment horizontal="left" shrinkToFit="0" vertical="center" wrapText="1"/>
    </xf>
    <xf borderId="1" fillId="12" fontId="5" numFmtId="0" xfId="0" applyAlignment="1" applyBorder="1" applyFill="1" applyFont="1">
      <alignment horizontal="center" readingOrder="0" shrinkToFit="0" vertical="center" wrapText="1"/>
    </xf>
    <xf borderId="1" fillId="12" fontId="5" numFmtId="1" xfId="0" applyAlignment="1" applyBorder="1" applyFill="1" applyFont="1" applyNumberFormat="1">
      <alignment horizontal="right" readingOrder="0" shrinkToFit="0" vertical="center" wrapText="1"/>
    </xf>
    <xf borderId="1" fillId="12" fontId="5" numFmtId="1" xfId="0" applyAlignment="1" applyBorder="1" applyFill="1" applyFont="1" applyNumberFormat="1">
      <alignment horizontal="center" readingOrder="0" shrinkToFit="0" vertical="center" wrapText="1"/>
    </xf>
    <xf borderId="1" fillId="12" fontId="5" numFmtId="1" xfId="0" applyAlignment="1" applyBorder="1" applyFill="1" applyFont="1" applyNumberFormat="1">
      <alignment horizontal="left" readingOrder="0" shrinkToFit="0" vertical="center" wrapText="1"/>
    </xf>
    <xf borderId="1" fillId="12" fontId="5" numFmtId="0" xfId="0" applyAlignment="1" applyBorder="1" applyFill="1" applyFont="1">
      <alignment horizontal="center" shrinkToFit="0" vertical="center" wrapText="1"/>
    </xf>
    <xf borderId="1" fillId="0" fontId="28" numFmtId="0" xfId="0" applyAlignment="1" applyBorder="1" applyFont="1">
      <alignment readingOrder="0" shrinkToFit="0" wrapText="1"/>
    </xf>
    <xf borderId="3" fillId="13" fontId="19" numFmtId="0" xfId="0" applyAlignment="1" applyBorder="1" applyFill="1" applyFont="1">
      <alignment shrinkToFit="0" vertical="center" wrapText="0"/>
    </xf>
    <xf borderId="1" fillId="12" fontId="29" numFmtId="0" xfId="0" applyAlignment="1" applyBorder="1" applyFill="1" applyFont="1">
      <alignment horizontal="center" readingOrder="0" shrinkToFit="0" vertical="center" wrapText="1"/>
    </xf>
    <xf borderId="1" fillId="12" fontId="4" numFmtId="3" xfId="0" applyAlignment="1" applyBorder="1" applyFill="1" applyFont="1" applyNumberFormat="1">
      <alignment horizontal="center" readingOrder="0" shrinkToFit="0" vertical="center" wrapText="1"/>
    </xf>
    <xf borderId="0" fillId="0" fontId="30" numFmtId="0" xfId="0" applyAlignment="1" applyFont="1">
      <alignment shrinkToFit="0" vertical="center" wrapText="0"/>
    </xf>
    <xf borderId="1" fillId="0" fontId="31" numFmtId="0" xfId="0" applyAlignment="1" applyBorder="1" applyFont="1">
      <alignment readingOrder="0" shrinkToFit="0" wrapText="1"/>
    </xf>
    <xf borderId="1" fillId="0" fontId="32" numFmtId="0" xfId="0" applyAlignment="1" applyBorder="1" applyFont="1">
      <alignment readingOrder="0" shrinkToFit="0" wrapText="1"/>
    </xf>
    <xf borderId="0" fillId="0" fontId="33" numFmtId="0" xfId="0" applyAlignment="1" applyFont="1">
      <alignment readingOrder="0" shrinkToFit="0" wrapText="1"/>
    </xf>
    <xf borderId="3" fillId="14" fontId="21" numFmtId="0" xfId="0" applyAlignment="1" applyBorder="1" applyFill="1" applyFont="1">
      <alignment shrinkToFit="0" vertical="center" wrapText="0"/>
    </xf>
    <xf borderId="1" fillId="0" fontId="14" numFmtId="0" xfId="0" applyAlignment="1" applyBorder="1" applyFont="1">
      <alignment horizontal="left" readingOrder="0"/>
    </xf>
    <xf borderId="1" fillId="12" fontId="5" numFmtId="1" xfId="0" applyAlignment="1" applyBorder="1" applyFill="1" applyFont="1" applyNumberFormat="1">
      <alignment horizontal="right" shrinkToFit="0" vertical="center" wrapText="1"/>
    </xf>
    <xf borderId="1" fillId="9" fontId="34" numFmtId="0" xfId="0" applyAlignment="1" applyBorder="1" applyFill="1" applyFont="1">
      <alignment readingOrder="0" shrinkToFit="0" wrapText="1"/>
    </xf>
    <xf borderId="1" fillId="9" fontId="35" numFmtId="0" xfId="0" applyAlignment="1" applyBorder="1" applyFill="1" applyFont="1">
      <alignment readingOrder="0" shrinkToFit="0" wrapText="1"/>
    </xf>
    <xf borderId="0" fillId="9" fontId="14" numFmtId="0" xfId="0" applyAlignment="1" applyFill="1" applyFont="1">
      <alignment readingOrder="0" shrinkToFit="0" wrapText="1"/>
    </xf>
    <xf borderId="1" fillId="12" fontId="36" numFmtId="0" xfId="0" applyAlignment="1" applyBorder="1" applyFill="1" applyFont="1">
      <alignment horizontal="center" readingOrder="0" shrinkToFit="0" vertical="center" wrapText="1"/>
    </xf>
    <xf borderId="1" fillId="12" fontId="5" numFmtId="1" xfId="0" applyAlignment="1" applyBorder="1" applyFill="1" applyFont="1" applyNumberFormat="1">
      <alignment horizontal="left" shrinkToFit="0" vertical="center" wrapText="1"/>
    </xf>
    <xf borderId="1" fillId="15" fontId="37" numFmtId="0" xfId="0" applyAlignment="1" applyBorder="1" applyFill="1" applyFont="1">
      <alignment readingOrder="0" shrinkToFit="0" wrapText="1"/>
    </xf>
    <xf borderId="1" fillId="12" fontId="38" numFmtId="0" xfId="0" applyAlignment="1" applyBorder="1" applyFill="1" applyFont="1">
      <alignment horizontal="center" readingOrder="0" shrinkToFit="0" vertical="center" wrapText="1"/>
    </xf>
    <xf borderId="1" fillId="12" fontId="4" numFmtId="3" xfId="0" applyAlignment="1" applyBorder="1" applyFill="1" applyFont="1" applyNumberFormat="1">
      <alignment horizontal="center" readingOrder="0" shrinkToFit="0" vertical="center" wrapText="1"/>
    </xf>
    <xf borderId="1" fillId="15" fontId="39" numFmtId="0" xfId="0" applyAlignment="1" applyBorder="1" applyFill="1" applyFont="1">
      <alignment readingOrder="0" shrinkToFit="0" wrapText="1"/>
    </xf>
    <xf borderId="1" fillId="15" fontId="4" numFmtId="0" xfId="0" applyAlignment="1" applyBorder="1" applyFill="1" applyFont="1">
      <alignment horizontal="right" readingOrder="0" shrinkToFit="0" vertical="center" wrapText="0"/>
    </xf>
    <xf borderId="0" fillId="3" fontId="8" numFmtId="0" xfId="0" applyAlignment="1" applyFill="1" applyFont="1">
      <alignment readingOrder="0" shrinkToFit="0" vertical="center" wrapText="0"/>
    </xf>
    <xf borderId="3" fillId="15" fontId="21" numFmtId="0" xfId="0" applyAlignment="1" applyBorder="1" applyFill="1" applyFont="1">
      <alignment horizontal="center" readingOrder="0" shrinkToFit="0" vertical="center" wrapText="0"/>
    </xf>
    <xf borderId="0" fillId="15" fontId="40" numFmtId="0" xfId="0" applyAlignment="1" applyFill="1" applyFont="1">
      <alignment readingOrder="0" shrinkToFit="0" wrapText="1"/>
    </xf>
    <xf borderId="1" fillId="5" fontId="41" numFmtId="0" xfId="0" applyAlignment="1" applyBorder="1" applyFill="1" applyFont="1">
      <alignment horizontal="center" readingOrder="0" shrinkToFit="0" vertical="center" wrapText="1"/>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23" numFmtId="0" xfId="0" applyAlignment="1" applyFont="1">
      <alignment horizontal="center" shrinkToFit="0" wrapText="1"/>
    </xf>
    <xf borderId="1" fillId="9" fontId="42" numFmtId="0" xfId="0" applyAlignment="1" applyBorder="1" applyFill="1" applyFont="1">
      <alignment readingOrder="0" shrinkToFit="0" wrapText="1"/>
    </xf>
    <xf borderId="1" fillId="9" fontId="3" numFmtId="0" xfId="0" applyAlignment="1" applyBorder="1" applyFill="1" applyFont="1">
      <alignment readingOrder="0" shrinkToFit="0" wrapText="1"/>
    </xf>
    <xf borderId="0" fillId="9" fontId="3" numFmtId="0" xfId="0" applyAlignment="1" applyFill="1" applyFont="1">
      <alignment readingOrder="0" shrinkToFit="0" wrapText="1"/>
    </xf>
    <xf borderId="1" fillId="2" fontId="43" numFmtId="1" xfId="0" applyAlignment="1" applyBorder="1" applyFill="1" applyFont="1" applyNumberFormat="1">
      <alignment horizontal="left" readingOrder="0"/>
    </xf>
    <xf borderId="1" fillId="15" fontId="4" numFmtId="0" xfId="0" applyAlignment="1" applyBorder="1" applyFill="1" applyFont="1">
      <alignment horizontal="left" readingOrder="0" shrinkToFit="0" vertical="center" wrapText="1"/>
    </xf>
    <xf borderId="1" fillId="0" fontId="44" numFmtId="0" xfId="0" applyAlignment="1" applyBorder="1" applyFont="1">
      <alignment readingOrder="0" shrinkToFit="0" wrapText="1"/>
    </xf>
    <xf borderId="1" fillId="15" fontId="4" numFmtId="0" xfId="0" applyAlignment="1" applyBorder="1" applyFill="1" applyFont="1">
      <alignment horizontal="center" readingOrder="0" shrinkToFit="0" vertical="center" wrapText="1"/>
    </xf>
    <xf borderId="1" fillId="0" fontId="3" numFmtId="0" xfId="0" applyAlignment="1" applyBorder="1" applyFont="1">
      <alignment readingOrder="0" shrinkToFit="0" wrapText="1"/>
    </xf>
    <xf borderId="1" fillId="2" fontId="5" numFmtId="0" xfId="0" applyAlignment="1" applyBorder="1" applyFill="1" applyFont="1">
      <alignment horizontal="center" readingOrder="0" shrinkToFit="0" vertical="center" wrapText="1"/>
    </xf>
    <xf borderId="1" fillId="16" fontId="5" numFmtId="0" xfId="0" applyAlignment="1" applyBorder="1" applyFill="1" applyFont="1">
      <alignment horizontal="right" readingOrder="0" vertical="center"/>
    </xf>
    <xf borderId="1" fillId="2" fontId="5" numFmtId="0" xfId="0" applyAlignment="1" applyBorder="1" applyFill="1" applyFont="1">
      <alignment horizontal="right" readingOrder="0" vertical="center"/>
    </xf>
    <xf borderId="1" fillId="2" fontId="5" numFmtId="1" xfId="0" applyAlignment="1" applyBorder="1" applyFill="1" applyFont="1" applyNumberFormat="1">
      <alignment horizontal="center" readingOrder="0" shrinkToFit="0" vertical="center" wrapText="1"/>
    </xf>
    <xf borderId="1" fillId="2" fontId="5" numFmtId="1" xfId="0" applyAlignment="1" applyBorder="1" applyFill="1" applyFont="1" applyNumberFormat="1">
      <alignment horizontal="left" readingOrder="0" shrinkToFit="0" vertical="center" wrapText="1"/>
    </xf>
    <xf borderId="1" fillId="2" fontId="5" numFmtId="0" xfId="0" applyAlignment="1" applyBorder="1" applyFill="1" applyFont="1">
      <alignment horizontal="center" readingOrder="0" vertical="center"/>
    </xf>
    <xf borderId="1" fillId="2" fontId="4" numFmtId="0" xfId="0" applyAlignment="1" applyBorder="1" applyFill="1" applyFont="1">
      <alignment horizontal="center" readingOrder="0" vertical="center"/>
    </xf>
    <xf borderId="1" fillId="2" fontId="5" numFmtId="0" xfId="0" applyAlignment="1" applyBorder="1" applyFill="1" applyFont="1">
      <alignment horizontal="left" readingOrder="0"/>
    </xf>
    <xf borderId="1" fillId="2" fontId="5" numFmtId="0" xfId="0" applyAlignment="1" applyBorder="1" applyFill="1" applyFont="1">
      <alignment horizontal="center" readingOrder="0"/>
    </xf>
    <xf borderId="1" fillId="7" fontId="45" numFmtId="0" xfId="0" applyAlignment="1" applyBorder="1" applyFill="1" applyFont="1">
      <alignment readingOrder="0" shrinkToFit="0" wrapText="1"/>
    </xf>
    <xf borderId="1" fillId="2" fontId="46" numFmtId="0" xfId="0" applyAlignment="1" applyBorder="1" applyFill="1" applyFont="1">
      <alignment horizontal="center" readingOrder="0" shrinkToFit="0" vertical="center" wrapText="1"/>
    </xf>
    <xf borderId="1" fillId="7" fontId="47" numFmtId="0" xfId="0" applyAlignment="1" applyBorder="1" applyFill="1" applyFont="1">
      <alignment readingOrder="0" shrinkToFit="0" wrapText="1"/>
    </xf>
    <xf borderId="1" fillId="2" fontId="4" numFmtId="3" xfId="0" applyAlignment="1" applyBorder="1" applyFill="1" applyFont="1" applyNumberFormat="1">
      <alignment horizontal="center" shrinkToFit="0" vertical="center" wrapText="1"/>
    </xf>
    <xf borderId="1" fillId="7" fontId="3" numFmtId="0" xfId="0" applyAlignment="1" applyBorder="1" applyFill="1" applyFont="1">
      <alignment readingOrder="0" shrinkToFit="0" wrapText="1"/>
    </xf>
    <xf borderId="0" fillId="7" fontId="3" numFmtId="0" xfId="0" applyAlignment="1" applyFill="1" applyFont="1">
      <alignment readingOrder="0" shrinkToFit="0" wrapText="1"/>
    </xf>
    <xf borderId="1" fillId="3" fontId="14" numFmtId="0" xfId="0" applyAlignment="1" applyBorder="1" applyFill="1" applyFont="1">
      <alignment readingOrder="0"/>
    </xf>
    <xf borderId="1" fillId="3" fontId="48" numFmtId="0" xfId="0" applyAlignment="1" applyBorder="1" applyFill="1" applyFont="1">
      <alignment vertical="top"/>
    </xf>
    <xf borderId="1" fillId="0" fontId="5" numFmtId="0" xfId="0" applyAlignment="1" applyBorder="1" applyFont="1">
      <alignment horizontal="right" readingOrder="0" vertical="center"/>
    </xf>
    <xf borderId="1" fillId="0" fontId="49" numFmtId="0" xfId="0" applyAlignment="1" applyBorder="1" applyFont="1">
      <alignment readingOrder="0" shrinkToFit="0" wrapText="1"/>
    </xf>
    <xf borderId="1" fillId="0" fontId="50" numFmtId="0" xfId="0" applyAlignment="1" applyBorder="1" applyFont="1">
      <alignment readingOrder="0"/>
    </xf>
    <xf borderId="1" fillId="0" fontId="3" numFmtId="0" xfId="0" applyAlignment="1" applyBorder="1" applyFont="1">
      <alignment readingOrder="0"/>
    </xf>
    <xf borderId="0" fillId="0" fontId="3" numFmtId="0" xfId="0" applyAlignment="1" applyFont="1">
      <alignment readingOrder="0"/>
    </xf>
    <xf borderId="1" fillId="0" fontId="3" numFmtId="0" xfId="0" applyAlignment="1" applyBorder="1" applyFont="1">
      <alignment readingOrder="0"/>
    </xf>
    <xf borderId="1" fillId="0" fontId="3" numFmtId="1" xfId="0" applyAlignment="1" applyBorder="1" applyFont="1" applyNumberFormat="1">
      <alignment readingOrder="0"/>
    </xf>
    <xf borderId="1" fillId="0" fontId="23" numFmtId="0" xfId="0" applyAlignment="1" applyBorder="1" applyFont="1">
      <alignment readingOrder="0"/>
    </xf>
    <xf borderId="1" fillId="2" fontId="5" numFmtId="1" xfId="0" applyAlignment="1" applyBorder="1" applyFill="1" applyFont="1" applyNumberFormat="1">
      <alignment horizontal="left" vertical="top"/>
    </xf>
    <xf borderId="1" fillId="2" fontId="5" numFmtId="0" xfId="0" applyAlignment="1" applyBorder="1" applyFill="1" applyFont="1">
      <alignment horizontal="right" vertical="center"/>
    </xf>
    <xf borderId="1" fillId="2" fontId="5" numFmtId="0" xfId="0" applyAlignment="1" applyBorder="1" applyFill="1" applyFont="1">
      <alignment horizontal="center" vertical="center"/>
    </xf>
    <xf borderId="1" fillId="5" fontId="4" numFmtId="0" xfId="0" applyAlignment="1" applyBorder="1" applyFill="1" applyFont="1">
      <alignment horizontal="center" shrinkToFit="0" vertical="center" wrapText="1"/>
    </xf>
    <xf borderId="1" fillId="2" fontId="5" numFmtId="0" xfId="0" applyAlignment="1" applyBorder="1" applyFill="1" applyFont="1">
      <alignment horizontal="center" vertical="bottom"/>
    </xf>
    <xf borderId="1" fillId="17" fontId="14" numFmtId="0" xfId="0" applyAlignment="1" applyBorder="1" applyFill="1" applyFont="1">
      <alignment readingOrder="0"/>
    </xf>
    <xf borderId="1" fillId="5" fontId="5" numFmtId="0" xfId="0" applyAlignment="1" applyBorder="1" applyFill="1" applyFont="1">
      <alignment horizontal="center" shrinkToFit="0" vertical="center" wrapText="1"/>
    </xf>
    <xf borderId="1" fillId="3" fontId="5" numFmtId="1" xfId="0" applyAlignment="1" applyBorder="1" applyFill="1" applyFont="1" applyNumberFormat="1">
      <alignment horizontal="right" readingOrder="0" shrinkToFit="0" vertical="center" wrapText="1"/>
    </xf>
    <xf borderId="1" fillId="0" fontId="3" numFmtId="0" xfId="0" applyBorder="1" applyFont="1"/>
    <xf borderId="0" fillId="0" fontId="3" numFmtId="0" xfId="0" applyAlignment="1" applyFont="1">
      <alignment shrinkToFit="0" vertical="center" wrapText="0"/>
    </xf>
    <xf borderId="0" fillId="17" fontId="14" numFmtId="0" xfId="0" applyAlignment="1" applyFill="1" applyFont="1">
      <alignment readingOrder="0"/>
    </xf>
    <xf borderId="4" fillId="5" fontId="4" numFmtId="1" xfId="0" applyAlignment="1" applyBorder="1" applyFill="1" applyFont="1" applyNumberFormat="1">
      <alignment horizontal="center" readingOrder="0" shrinkToFit="0" vertical="center" wrapText="1"/>
    </xf>
    <xf borderId="0" fillId="5" fontId="5" numFmtId="0" xfId="0" applyAlignment="1" applyFill="1" applyFont="1">
      <alignment horizontal="center" readingOrder="0" shrinkToFit="0" vertical="center" wrapText="1"/>
    </xf>
    <xf borderId="2" fillId="5" fontId="4" numFmtId="1" xfId="0" applyAlignment="1" applyBorder="1" applyFill="1" applyFont="1" applyNumberFormat="1">
      <alignment horizontal="left" readingOrder="0" shrinkToFit="0" vertical="center" wrapText="1"/>
    </xf>
    <xf borderId="0" fillId="0" fontId="23" numFmtId="0" xfId="0" applyFont="1"/>
    <xf borderId="1" fillId="5" fontId="4" numFmtId="1" xfId="0" applyAlignment="1" applyBorder="1" applyFill="1" applyFont="1" applyNumberFormat="1">
      <alignment horizontal="left" readingOrder="0" shrinkToFit="0" vertical="center" wrapText="1"/>
    </xf>
    <xf borderId="1" fillId="5" fontId="4" numFmtId="1" xfId="0" applyAlignment="1" applyBorder="1" applyFill="1" applyFont="1" applyNumberFormat="1">
      <alignment horizontal="center" readingOrder="0" shrinkToFit="0" vertical="center" wrapText="1"/>
    </xf>
    <xf borderId="0" fillId="0" fontId="3" numFmtId="0" xfId="0" applyAlignment="1" applyFont="1">
      <alignment shrinkToFit="0" wrapText="1"/>
    </xf>
    <xf borderId="1" fillId="3" fontId="51" numFmtId="0" xfId="0" applyAlignment="1" applyBorder="1" applyFill="1" applyFont="1">
      <alignment horizontal="center" readingOrder="0" shrinkToFit="0" vertical="center" wrapText="1"/>
    </xf>
    <xf borderId="1" fillId="5" fontId="4" numFmtId="3" xfId="0" applyAlignment="1" applyBorder="1" applyFill="1" applyFont="1" applyNumberFormat="1">
      <alignment horizontal="center" shrinkToFit="0" vertical="center" wrapText="1"/>
    </xf>
    <xf borderId="1" fillId="3" fontId="5" numFmtId="0" xfId="0" applyAlignment="1" applyBorder="1" applyFill="1" applyFont="1">
      <alignment horizontal="left" readingOrder="0" shrinkToFit="0" vertical="center" wrapText="1"/>
    </xf>
    <xf borderId="4" fillId="5" fontId="5" numFmtId="1" xfId="0" applyAlignment="1" applyBorder="1" applyFill="1" applyFont="1" applyNumberFormat="1">
      <alignment horizontal="center" shrinkToFit="0" vertical="center" wrapText="1"/>
    </xf>
    <xf borderId="2" fillId="5" fontId="5" numFmtId="1" xfId="0" applyAlignment="1" applyBorder="1" applyFill="1" applyFont="1" applyNumberFormat="1">
      <alignment horizontal="left" shrinkToFit="0" vertical="center" wrapText="1"/>
    </xf>
    <xf borderId="0" fillId="0" fontId="52" numFmtId="0" xfId="0" applyAlignment="1" applyFont="1">
      <alignment readingOrder="0" shrinkToFit="0" wrapText="1"/>
    </xf>
    <xf borderId="1" fillId="5" fontId="5" numFmtId="1" xfId="0" applyAlignment="1" applyBorder="1" applyFill="1" applyFont="1" applyNumberFormat="1">
      <alignment horizontal="left" shrinkToFit="0" vertical="center" wrapText="1"/>
    </xf>
    <xf borderId="0" fillId="5" fontId="5" numFmtId="0" xfId="0" applyAlignment="1" applyFill="1" applyFont="1">
      <alignment horizontal="center" readingOrder="0" shrinkToFit="0" vertical="center" wrapText="1"/>
    </xf>
    <xf borderId="0" fillId="0" fontId="16" numFmtId="165" xfId="0" applyAlignment="1" applyFont="1" applyNumberFormat="1">
      <alignment horizontal="center" shrinkToFit="0" vertical="center" wrapText="0"/>
    </xf>
    <xf borderId="0" fillId="5" fontId="5" numFmtId="0" xfId="0" applyAlignment="1" applyFill="1" applyFont="1">
      <alignment horizontal="center" shrinkToFit="0" vertical="center" wrapText="1"/>
    </xf>
    <xf borderId="0" fillId="0" fontId="3" numFmtId="0" xfId="0" applyAlignment="1" applyFont="1">
      <alignment shrinkToFit="0" wrapText="1"/>
    </xf>
    <xf borderId="0" fillId="0" fontId="3" numFmtId="0" xfId="0" applyFont="1"/>
    <xf borderId="3" fillId="13" fontId="21" numFmtId="0" xfId="0" applyAlignment="1" applyBorder="1" applyFill="1" applyFont="1">
      <alignment shrinkToFit="0" vertical="center" wrapText="0"/>
    </xf>
    <xf borderId="4" fillId="5" fontId="5" numFmtId="1" xfId="0" applyAlignment="1" applyBorder="1" applyFill="1" applyFont="1" applyNumberFormat="1">
      <alignment horizontal="center" readingOrder="0" shrinkToFit="0" vertical="center" wrapText="1"/>
    </xf>
    <xf borderId="2" fillId="5" fontId="5" numFmtId="1" xfId="0" applyAlignment="1" applyBorder="1" applyFill="1" applyFont="1" applyNumberFormat="1">
      <alignment horizontal="left" readingOrder="0" shrinkToFit="0" vertical="center" wrapText="1"/>
    </xf>
    <xf borderId="0" fillId="0" fontId="16" numFmtId="0" xfId="0" applyAlignment="1" applyFont="1">
      <alignment shrinkToFit="0" vertical="center" wrapText="0"/>
    </xf>
    <xf borderId="1" fillId="12" fontId="4" numFmtId="0" xfId="0" applyAlignment="1" applyBorder="1" applyFill="1" applyFont="1">
      <alignment horizontal="left" readingOrder="0"/>
    </xf>
    <xf borderId="1" fillId="12" fontId="4" numFmtId="0" xfId="0" applyAlignment="1" applyBorder="1" applyFill="1" applyFont="1">
      <alignment horizontal="left"/>
    </xf>
    <xf borderId="1" fillId="12" fontId="4" numFmtId="0" xfId="0" applyAlignment="1" applyBorder="1" applyFill="1" applyFont="1">
      <alignment horizontal="center" readingOrder="0"/>
    </xf>
    <xf borderId="1" fillId="0" fontId="5" numFmtId="1" xfId="0" applyAlignment="1" applyBorder="1" applyFont="1" applyNumberFormat="1">
      <alignment horizontal="right" readingOrder="0" shrinkToFit="0" vertical="center" wrapText="1"/>
    </xf>
    <xf borderId="1" fillId="12" fontId="4" numFmtId="1" xfId="0" applyAlignment="1" applyBorder="1" applyFill="1" applyFont="1" applyNumberFormat="1">
      <alignment horizontal="right" readingOrder="0"/>
    </xf>
    <xf borderId="4" fillId="12" fontId="4" numFmtId="1" xfId="0" applyAlignment="1" applyBorder="1" applyFill="1" applyFont="1" applyNumberFormat="1">
      <alignment horizontal="center" readingOrder="0"/>
    </xf>
    <xf borderId="2" fillId="12" fontId="4" numFmtId="1" xfId="0" applyAlignment="1" applyBorder="1" applyFill="1" applyFont="1" applyNumberFormat="1">
      <alignment horizontal="left" readingOrder="0" shrinkToFit="0" vertical="bottom" wrapText="0"/>
    </xf>
    <xf borderId="1" fillId="12" fontId="4" numFmtId="1" xfId="0" applyAlignment="1" applyBorder="1" applyFill="1" applyFont="1" applyNumberFormat="1">
      <alignment horizontal="left" readingOrder="0" shrinkToFit="0" vertical="bottom" wrapText="0"/>
    </xf>
    <xf borderId="5" fillId="0" fontId="3" numFmtId="0" xfId="0" applyAlignment="1" applyBorder="1" applyFont="1">
      <alignment shrinkToFit="0" vertical="center" wrapText="0"/>
    </xf>
    <xf borderId="1" fillId="12" fontId="4" numFmtId="1" xfId="0" applyAlignment="1" applyBorder="1" applyFill="1" applyFont="1" applyNumberFormat="1">
      <alignment horizontal="center" readingOrder="0"/>
    </xf>
    <xf borderId="6" fillId="0" fontId="3" numFmtId="0" xfId="0" applyAlignment="1" applyBorder="1" applyFont="1">
      <alignment shrinkToFit="0" vertical="center" wrapText="0"/>
    </xf>
    <xf borderId="1" fillId="12" fontId="53" numFmtId="0" xfId="0" applyAlignment="1" applyBorder="1" applyFill="1" applyFont="1">
      <alignment horizontal="center" readingOrder="0" shrinkToFit="0" wrapText="1"/>
    </xf>
    <xf borderId="1" fillId="12" fontId="4" numFmtId="3" xfId="0" applyAlignment="1" applyBorder="1" applyFill="1" applyFont="1" applyNumberFormat="1">
      <alignment horizontal="center" readingOrder="0"/>
    </xf>
    <xf borderId="6" fillId="0" fontId="54" numFmtId="0" xfId="0" applyAlignment="1" applyBorder="1" applyFont="1">
      <alignment shrinkToFit="0" vertical="center" wrapText="0"/>
    </xf>
    <xf borderId="7" fillId="3" fontId="8" numFmtId="0" xfId="0" applyAlignment="1" applyBorder="1" applyFill="1" applyFont="1">
      <alignment shrinkToFit="0" wrapText="0"/>
    </xf>
    <xf borderId="8" fillId="4" fontId="8" numFmtId="0" xfId="0" applyAlignment="1" applyBorder="1" applyFill="1" applyFont="1">
      <alignment shrinkToFit="0" vertical="center" wrapText="0"/>
    </xf>
    <xf borderId="1" fillId="3" fontId="55" numFmtId="1" xfId="0" applyAlignment="1" applyBorder="1" applyFill="1" applyFont="1" applyNumberFormat="1">
      <alignment readingOrder="0"/>
    </xf>
    <xf borderId="9" fillId="4" fontId="8" numFmtId="0" xfId="0" applyAlignment="1" applyBorder="1" applyFill="1" applyFont="1">
      <alignment shrinkToFit="0" vertical="center" wrapText="0"/>
    </xf>
    <xf borderId="9" fillId="4" fontId="8" numFmtId="0" xfId="0" applyAlignment="1" applyBorder="1" applyFill="1" applyFont="1">
      <alignment horizontal="right" shrinkToFit="0" vertical="center" wrapText="0"/>
    </xf>
    <xf borderId="9" fillId="4" fontId="56" numFmtId="0" xfId="0" applyAlignment="1" applyBorder="1" applyFill="1" applyFont="1">
      <alignment shrinkToFit="0" vertical="center" wrapText="0"/>
    </xf>
    <xf borderId="10" fillId="4" fontId="8" numFmtId="0" xfId="0" applyAlignment="1" applyBorder="1" applyFill="1" applyFont="1">
      <alignment shrinkToFit="0" wrapText="0"/>
    </xf>
    <xf borderId="8" fillId="0" fontId="3" numFmtId="0" xfId="0" applyAlignment="1" applyBorder="1" applyFont="1">
      <alignment shrinkToFit="0" vertical="center" wrapText="0"/>
    </xf>
    <xf borderId="1" fillId="9" fontId="5" numFmtId="1" xfId="0" applyAlignment="1" applyBorder="1" applyFill="1" applyFont="1" applyNumberFormat="1">
      <alignment horizontal="left" readingOrder="0" vertical="top"/>
    </xf>
    <xf borderId="9" fillId="0" fontId="3" numFmtId="0" xfId="0" applyAlignment="1" applyBorder="1" applyFont="1">
      <alignment shrinkToFit="0" vertical="center" wrapText="0"/>
    </xf>
    <xf borderId="1" fillId="15" fontId="5" numFmtId="0" xfId="0" applyAlignment="1" applyBorder="1" applyFill="1" applyFont="1">
      <alignment horizontal="center" readingOrder="0" shrinkToFit="0" vertical="center" wrapText="1"/>
    </xf>
    <xf borderId="1" fillId="3" fontId="4" numFmtId="0" xfId="0" applyAlignment="1" applyBorder="1" applyFill="1" applyFont="1">
      <alignment horizontal="right" readingOrder="0" vertical="center"/>
    </xf>
    <xf borderId="4" fillId="3" fontId="4" numFmtId="0" xfId="0" applyAlignment="1" applyBorder="1" applyFill="1" applyFont="1">
      <alignment horizontal="center" readingOrder="0" vertical="center"/>
    </xf>
    <xf borderId="9" fillId="0" fontId="57" numFmtId="0" xfId="0" applyAlignment="1" applyBorder="1" applyFont="1">
      <alignment shrinkToFit="0" vertical="center" wrapText="0"/>
    </xf>
    <xf borderId="2" fillId="3" fontId="5" numFmtId="1" xfId="0" applyAlignment="1" applyBorder="1" applyFill="1" applyFont="1" applyNumberFormat="1">
      <alignment horizontal="left" readingOrder="0" shrinkToFit="0" vertical="center" wrapText="1"/>
    </xf>
    <xf borderId="1" fillId="3" fontId="5" numFmtId="1" xfId="0" applyAlignment="1" applyBorder="1" applyFill="1" applyFont="1" applyNumberFormat="1">
      <alignment horizontal="left" readingOrder="0" shrinkToFit="0" vertical="center" wrapText="1"/>
    </xf>
    <xf borderId="1" fillId="3" fontId="5" numFmtId="1" xfId="0" applyAlignment="1" applyBorder="1" applyFill="1" applyFont="1" applyNumberFormat="1">
      <alignment horizontal="center" readingOrder="0" shrinkToFit="0" vertical="center" wrapText="1"/>
    </xf>
    <xf borderId="1" fillId="3" fontId="4" numFmtId="0" xfId="0" applyAlignment="1" applyBorder="1" applyFill="1" applyFont="1">
      <alignment horizontal="center" readingOrder="0" vertical="center"/>
    </xf>
    <xf borderId="1" fillId="3" fontId="5" numFmtId="0" xfId="0" applyAlignment="1" applyBorder="1" applyFill="1" applyFont="1">
      <alignment horizontal="center" shrinkToFit="0" vertical="center" wrapText="1"/>
    </xf>
    <xf borderId="1" fillId="3" fontId="58" numFmtId="0" xfId="0" applyAlignment="1" applyBorder="1" applyFill="1" applyFont="1">
      <alignment horizontal="center" readingOrder="0" shrinkToFit="0" vertical="center" wrapText="1"/>
    </xf>
    <xf borderId="0" fillId="0" fontId="16" numFmtId="166" xfId="0" applyAlignment="1" applyFont="1" applyNumberFormat="1">
      <alignment horizontal="center" shrinkToFit="0" vertical="center" wrapText="0"/>
    </xf>
    <xf borderId="2" fillId="5" fontId="5" numFmtId="0" xfId="0" applyAlignment="1" applyBorder="1" applyFill="1" applyFont="1">
      <alignment horizontal="left" readingOrder="0" shrinkToFit="0" vertical="center" wrapText="1"/>
    </xf>
    <xf borderId="1" fillId="5" fontId="5" numFmtId="0" xfId="0" applyAlignment="1" applyBorder="1" applyFill="1" applyFont="1">
      <alignment horizontal="left" readingOrder="0" shrinkToFit="0" vertical="center" wrapText="1"/>
    </xf>
    <xf borderId="1" fillId="18" fontId="5" numFmtId="1" xfId="0" applyAlignment="1" applyBorder="1" applyFill="1" applyFont="1" applyNumberFormat="1">
      <alignment horizontal="right" readingOrder="0" shrinkToFit="0" vertical="center" wrapText="1"/>
    </xf>
    <xf borderId="10" fillId="4" fontId="6" numFmtId="0" xfId="0" applyBorder="1" applyFill="1" applyFont="1"/>
    <xf borderId="6" fillId="0" fontId="3" numFmtId="0" xfId="0" applyAlignment="1" applyBorder="1" applyFont="1">
      <alignment readingOrder="0" shrinkToFit="0" vertical="center" wrapText="0"/>
    </xf>
    <xf borderId="3" fillId="15" fontId="21" numFmtId="0" xfId="0" applyAlignment="1" applyBorder="1" applyFill="1" applyFont="1">
      <alignment horizontal="center" shrinkToFit="0" vertical="center" wrapText="0"/>
    </xf>
    <xf borderId="1" fillId="3" fontId="4" numFmtId="0" xfId="0" applyAlignment="1" applyBorder="1" applyFill="1" applyFont="1">
      <alignment horizontal="center" readingOrder="0" shrinkToFit="0" vertical="center" wrapText="1"/>
    </xf>
    <xf borderId="1" fillId="3" fontId="4" numFmtId="0" xfId="0" applyAlignment="1" applyBorder="1" applyFill="1" applyFont="1">
      <alignment horizontal="center" readingOrder="0" shrinkToFit="0" vertical="center" wrapText="1"/>
    </xf>
    <xf borderId="10" fillId="4" fontId="8" numFmtId="0" xfId="0" applyAlignment="1" applyBorder="1" applyFill="1" applyFont="1">
      <alignment horizontal="center" shrinkToFit="0" wrapText="0"/>
    </xf>
    <xf borderId="1" fillId="3" fontId="5" numFmtId="0" xfId="0" applyAlignment="1" applyBorder="1" applyFill="1" applyFont="1">
      <alignment horizontal="center" readingOrder="0"/>
    </xf>
    <xf borderId="5" fillId="3" fontId="8" numFmtId="0" xfId="0" applyAlignment="1" applyBorder="1" applyFill="1" applyFont="1">
      <alignment shrinkToFit="0" vertical="center" wrapText="0"/>
    </xf>
    <xf borderId="6" fillId="3" fontId="8" numFmtId="0" xfId="0" applyAlignment="1" applyBorder="1" applyFill="1" applyFont="1">
      <alignment shrinkToFit="0" vertical="center" wrapText="0"/>
    </xf>
    <xf borderId="1" fillId="2" fontId="5" numFmtId="1" xfId="0" applyAlignment="1" applyBorder="1" applyFill="1" applyFont="1" applyNumberFormat="1">
      <alignment horizontal="left" readingOrder="0"/>
    </xf>
    <xf borderId="1" fillId="2" fontId="4" numFmtId="0" xfId="0" applyAlignment="1" applyBorder="1" applyFill="1" applyFont="1">
      <alignment horizontal="center" readingOrder="0" shrinkToFit="0" vertical="center" wrapText="1"/>
    </xf>
    <xf borderId="1" fillId="2" fontId="59" numFmtId="0" xfId="0" applyAlignment="1" applyBorder="1" applyFill="1" applyFont="1">
      <alignment horizontal="left" shrinkToFit="0" wrapText="1"/>
    </xf>
    <xf borderId="6" fillId="3" fontId="8" numFmtId="0" xfId="0" applyAlignment="1" applyBorder="1" applyFill="1" applyFont="1">
      <alignment horizontal="right" shrinkToFit="0" vertical="center" wrapText="0"/>
    </xf>
    <xf borderId="4" fillId="2" fontId="5" numFmtId="0" xfId="0" applyAlignment="1" applyBorder="1" applyFill="1" applyFont="1">
      <alignment horizontal="center" readingOrder="0" vertical="center"/>
    </xf>
    <xf borderId="2" fillId="2" fontId="60" numFmtId="0" xfId="0" applyAlignment="1" applyBorder="1" applyFill="1" applyFont="1">
      <alignment horizontal="left"/>
    </xf>
    <xf borderId="1" fillId="2" fontId="60" numFmtId="0" xfId="0" applyAlignment="1" applyBorder="1" applyFill="1" applyFont="1">
      <alignment horizontal="left"/>
    </xf>
    <xf borderId="1" fillId="2" fontId="5" numFmtId="0" xfId="0" applyAlignment="1" applyBorder="1" applyFill="1" applyFont="1">
      <alignment horizontal="center" shrinkToFit="0" vertical="center" wrapText="1"/>
    </xf>
    <xf borderId="6" fillId="3" fontId="61" numFmtId="0" xfId="0" applyAlignment="1" applyBorder="1" applyFill="1" applyFont="1">
      <alignment shrinkToFit="0" vertical="center" wrapText="0"/>
    </xf>
    <xf borderId="8" fillId="3" fontId="8" numFmtId="0" xfId="0" applyAlignment="1" applyBorder="1" applyFill="1" applyFont="1">
      <alignment shrinkToFit="0" vertical="center" wrapText="0"/>
    </xf>
    <xf borderId="9" fillId="3" fontId="8" numFmtId="0" xfId="0" applyAlignment="1" applyBorder="1" applyFill="1" applyFont="1">
      <alignment shrinkToFit="0" vertical="center" wrapText="0"/>
    </xf>
    <xf borderId="9" fillId="3" fontId="8" numFmtId="0" xfId="0" applyAlignment="1" applyBorder="1" applyFill="1" applyFont="1">
      <alignment horizontal="right" shrinkToFit="0" vertical="center" wrapText="0"/>
    </xf>
    <xf borderId="0" fillId="5" fontId="5" numFmtId="1" xfId="0" applyAlignment="1" applyFill="1" applyFont="1" applyNumberFormat="1">
      <alignment horizontal="left" readingOrder="0" shrinkToFit="0" vertical="center" wrapText="1"/>
    </xf>
    <xf borderId="1" fillId="5" fontId="4" numFmtId="0" xfId="0" applyAlignment="1" applyBorder="1" applyFill="1" applyFont="1">
      <alignment horizontal="center" readingOrder="0" shrinkToFit="0" vertical="center" wrapText="1"/>
    </xf>
    <xf borderId="9" fillId="3" fontId="62" numFmtId="0" xfId="0" applyAlignment="1" applyBorder="1" applyFill="1" applyFont="1">
      <alignment shrinkToFit="0" vertical="center" wrapText="0"/>
    </xf>
    <xf borderId="1" fillId="15" fontId="5" numFmtId="0" xfId="0" applyAlignment="1" applyBorder="1" applyFill="1" applyFont="1">
      <alignment horizontal="center" shrinkToFit="0" vertical="center" wrapText="1"/>
    </xf>
    <xf borderId="1" fillId="16" fontId="4" numFmtId="0" xfId="0" applyAlignment="1" applyBorder="1" applyFill="1" applyFont="1">
      <alignment horizontal="right" readingOrder="0" shrinkToFit="0" vertical="center" wrapText="0"/>
    </xf>
    <xf borderId="2" fillId="3" fontId="60" numFmtId="0" xfId="0" applyAlignment="1" applyBorder="1" applyFill="1" applyFont="1">
      <alignment horizontal="left" readingOrder="0"/>
    </xf>
    <xf borderId="1" fillId="3" fontId="60" numFmtId="0" xfId="0" applyAlignment="1" applyBorder="1" applyFill="1" applyFont="1">
      <alignment horizontal="left" readingOrder="0"/>
    </xf>
    <xf borderId="2" fillId="2" fontId="4" numFmtId="0" xfId="0" applyAlignment="1" applyBorder="1" applyFill="1" applyFont="1">
      <alignment horizontal="left" readingOrder="0"/>
    </xf>
    <xf borderId="1" fillId="2" fontId="4" numFmtId="0" xfId="0" applyAlignment="1" applyBorder="1" applyFill="1" applyFont="1">
      <alignment horizontal="left" readingOrder="0"/>
    </xf>
    <xf borderId="1" fillId="2" fontId="5" numFmtId="0" xfId="0" applyAlignment="1" applyBorder="1" applyFill="1" applyFont="1">
      <alignment horizontal="center" readingOrder="0" vertical="bottom"/>
    </xf>
    <xf borderId="5" fillId="4" fontId="8" numFmtId="0" xfId="0" applyAlignment="1" applyBorder="1" applyFill="1" applyFont="1">
      <alignment shrinkToFit="0" vertical="center" wrapText="0"/>
    </xf>
    <xf borderId="1" fillId="2" fontId="5" numFmtId="1" xfId="0" applyAlignment="1" applyBorder="1" applyFill="1" applyFont="1" applyNumberFormat="1">
      <alignment horizontal="left" readingOrder="0" vertical="top"/>
    </xf>
    <xf borderId="6" fillId="4" fontId="8" numFmtId="0" xfId="0" applyAlignment="1" applyBorder="1" applyFill="1" applyFont="1">
      <alignment shrinkToFit="0" vertical="center" wrapText="0"/>
    </xf>
    <xf borderId="6" fillId="4" fontId="8" numFmtId="0" xfId="0" applyAlignment="1" applyBorder="1" applyFill="1" applyFont="1">
      <alignment horizontal="right" shrinkToFit="0" vertical="center" wrapText="0"/>
    </xf>
    <xf borderId="6" fillId="4" fontId="63" numFmtId="0" xfId="0" applyAlignment="1" applyBorder="1" applyFill="1" applyFont="1">
      <alignment shrinkToFit="0" vertical="center" wrapText="0"/>
    </xf>
    <xf borderId="1" fillId="2" fontId="64" numFmtId="0" xfId="0" applyAlignment="1" applyBorder="1" applyFill="1" applyFont="1">
      <alignment horizontal="center" readingOrder="0" shrinkToFit="0" vertical="center" wrapText="1"/>
    </xf>
    <xf borderId="0" fillId="0" fontId="16" numFmtId="167" xfId="0" applyAlignment="1" applyFont="1" applyNumberFormat="1">
      <alignment horizontal="center" readingOrder="0" shrinkToFit="0" vertical="center" wrapText="0"/>
    </xf>
    <xf borderId="0" fillId="0" fontId="16" numFmtId="0" xfId="0" applyAlignment="1" applyFont="1">
      <alignment horizontal="center" readingOrder="0" shrinkToFit="0" vertical="center" wrapText="0"/>
    </xf>
    <xf borderId="0" fillId="0" fontId="21" numFmtId="0" xfId="0" applyAlignment="1" applyFont="1">
      <alignment readingOrder="0" shrinkToFit="0" vertical="center" wrapText="0"/>
    </xf>
    <xf borderId="2" fillId="2" fontId="5" numFmtId="0" xfId="0" applyAlignment="1" applyBorder="1" applyFill="1" applyFont="1">
      <alignment horizontal="left" readingOrder="0" vertical="center"/>
    </xf>
    <xf borderId="1" fillId="2" fontId="5" numFmtId="0" xfId="0" applyAlignment="1" applyBorder="1" applyFill="1" applyFont="1">
      <alignment horizontal="left" readingOrder="0" vertical="center"/>
    </xf>
    <xf borderId="7" fillId="3" fontId="8" numFmtId="0" xfId="0" applyAlignment="1" applyBorder="1" applyFill="1" applyFont="1">
      <alignment horizontal="center" shrinkToFit="0" wrapText="0"/>
    </xf>
    <xf borderId="1" fillId="2" fontId="65" numFmtId="0" xfId="0" applyAlignment="1" applyBorder="1" applyFill="1" applyFont="1">
      <alignment horizontal="center" readingOrder="0" shrinkToFit="0" vertical="center" wrapText="1"/>
    </xf>
    <xf borderId="9" fillId="0" fontId="7" numFmtId="0" xfId="0" applyAlignment="1" applyBorder="1" applyFont="1">
      <alignment shrinkToFit="0" vertical="top" wrapText="0"/>
    </xf>
    <xf borderId="1" fillId="2" fontId="4" numFmtId="0" xfId="0" applyAlignment="1" applyBorder="1" applyFill="1" applyFont="1">
      <alignment horizontal="left" readingOrder="0" shrinkToFit="0" vertical="center" wrapText="1"/>
    </xf>
    <xf borderId="5" fillId="4" fontId="8" numFmtId="0" xfId="0" applyAlignment="1" applyBorder="1" applyFill="1" applyFont="1">
      <alignment readingOrder="0" shrinkToFit="0" vertical="center" wrapText="0"/>
    </xf>
    <xf borderId="4" fillId="2" fontId="5" numFmtId="1" xfId="0" applyAlignment="1" applyBorder="1" applyFill="1" applyFont="1" applyNumberFormat="1">
      <alignment horizontal="center" readingOrder="0" shrinkToFit="0" vertical="center" wrapText="1"/>
    </xf>
    <xf borderId="6" fillId="4" fontId="8" numFmtId="0" xfId="0" applyAlignment="1" applyBorder="1" applyFill="1" applyFont="1">
      <alignment readingOrder="0" shrinkToFit="0" vertical="center" wrapText="0"/>
    </xf>
    <xf borderId="8" fillId="0" fontId="3" numFmtId="0" xfId="0" applyAlignment="1" applyBorder="1" applyFont="1">
      <alignment readingOrder="0" shrinkToFit="0" vertical="center" wrapText="0"/>
    </xf>
    <xf borderId="0" fillId="5" fontId="5" numFmtId="0" xfId="0" applyAlignment="1" applyFill="1" applyFont="1">
      <alignment horizontal="center" readingOrder="0" shrinkToFit="0" vertical="center" wrapText="1"/>
    </xf>
    <xf borderId="9" fillId="0" fontId="3" numFmtId="0" xfId="0" applyAlignment="1" applyBorder="1" applyFont="1">
      <alignment readingOrder="0" shrinkToFit="0" vertical="center" wrapText="0"/>
    </xf>
    <xf borderId="1" fillId="2" fontId="66" numFmtId="0" xfId="0" applyAlignment="1" applyBorder="1" applyFill="1" applyFont="1">
      <alignment readingOrder="0" shrinkToFit="0" vertical="top" wrapText="1"/>
    </xf>
    <xf borderId="1" fillId="2" fontId="3" numFmtId="0" xfId="0" applyAlignment="1" applyBorder="1" applyFill="1" applyFont="1">
      <alignment horizontal="right" readingOrder="0"/>
    </xf>
    <xf borderId="4" fillId="2" fontId="5" numFmtId="0" xfId="0" applyAlignment="1" applyBorder="1" applyFill="1" applyFont="1">
      <alignment horizontal="center" vertical="center"/>
    </xf>
    <xf borderId="1" fillId="0" fontId="3" numFmtId="0" xfId="0" applyAlignment="1" applyBorder="1" applyFont="1">
      <alignment shrinkToFit="0" vertical="center" wrapText="0"/>
    </xf>
    <xf borderId="1" fillId="5" fontId="1" numFmtId="49" xfId="0" applyAlignment="1" applyBorder="1" applyFill="1" applyFont="1" applyNumberFormat="1">
      <alignment horizontal="center" readingOrder="0" shrinkToFit="0" vertical="center" wrapText="1"/>
    </xf>
    <xf borderId="1" fillId="3" fontId="67" numFmtId="49" xfId="0" applyAlignment="1" applyBorder="1" applyFill="1" applyFont="1" applyNumberFormat="1">
      <alignment horizontal="center" readingOrder="0" shrinkToFit="0" vertical="center" wrapText="1"/>
    </xf>
    <xf borderId="1" fillId="3" fontId="1" numFmtId="49" xfId="0" applyAlignment="1" applyBorder="1" applyFill="1" applyFont="1" applyNumberFormat="1">
      <alignment horizontal="center" readingOrder="0" shrinkToFit="0" vertical="center" wrapText="1"/>
    </xf>
    <xf borderId="1" fillId="5" fontId="1" numFmtId="0" xfId="0" applyAlignment="1" applyBorder="1" applyFill="1" applyFont="1">
      <alignment horizontal="center" readingOrder="0" shrinkToFit="0" vertical="center" wrapText="1"/>
    </xf>
    <xf borderId="1" fillId="2" fontId="4" numFmtId="0" xfId="0" applyAlignment="1" applyBorder="1" applyFill="1" applyFont="1">
      <alignment horizontal="left" shrinkToFit="0" vertical="center" wrapText="1"/>
    </xf>
    <xf borderId="1" fillId="5" fontId="1" numFmtId="1" xfId="0" applyAlignment="1" applyBorder="1" applyFill="1" applyFont="1" applyNumberFormat="1">
      <alignment horizontal="right" readingOrder="0" shrinkToFit="0" vertical="center" wrapText="1"/>
    </xf>
    <xf borderId="1" fillId="5" fontId="4" numFmtId="0" xfId="0" applyAlignment="1" applyBorder="1" applyFill="1" applyFont="1">
      <alignment horizontal="center" readingOrder="0" shrinkToFit="0" vertical="center" wrapText="1"/>
    </xf>
    <xf borderId="1" fillId="3" fontId="68" numFmtId="0" xfId="0" applyAlignment="1" applyBorder="1" applyFill="1" applyFont="1">
      <alignment horizontal="center" readingOrder="0" shrinkToFit="0" vertical="top" wrapText="1"/>
    </xf>
    <xf borderId="1" fillId="5" fontId="68" numFmtId="0" xfId="0" applyAlignment="1" applyBorder="1" applyFill="1" applyFont="1">
      <alignment horizontal="center" readingOrder="0" shrinkToFit="0" vertical="top" wrapText="1"/>
    </xf>
    <xf borderId="1" fillId="9" fontId="5" numFmtId="0" xfId="0" applyAlignment="1" applyBorder="1" applyFill="1" applyFont="1">
      <alignment horizontal="left" readingOrder="0" shrinkToFit="0" vertical="top" wrapText="1"/>
    </xf>
    <xf borderId="1" fillId="5" fontId="5" numFmtId="0" xfId="0" applyAlignment="1" applyBorder="1" applyFill="1" applyFont="1">
      <alignment horizontal="left" shrinkToFit="0" vertical="top" wrapText="1"/>
    </xf>
    <xf borderId="1" fillId="5" fontId="5" numFmtId="1" xfId="0" applyAlignment="1" applyBorder="1" applyFill="1" applyFont="1" applyNumberFormat="1">
      <alignment horizontal="left" shrinkToFit="0" vertical="top" wrapText="1"/>
    </xf>
    <xf borderId="1" fillId="0" fontId="66" numFmtId="0" xfId="0" applyAlignment="1" applyBorder="1" applyFont="1">
      <alignment horizontal="left" readingOrder="0" shrinkToFit="0" vertical="top" wrapText="0"/>
    </xf>
    <xf borderId="1" fillId="5" fontId="5" numFmtId="0" xfId="0" applyAlignment="1" applyBorder="1" applyFill="1" applyFont="1">
      <alignment horizontal="left" readingOrder="0" shrinkToFit="0" vertical="top" wrapText="1"/>
    </xf>
    <xf borderId="1" fillId="0" fontId="23" numFmtId="0" xfId="0" applyAlignment="1" applyBorder="1" applyFont="1">
      <alignment horizontal="left" readingOrder="0" vertical="top"/>
    </xf>
    <xf borderId="1" fillId="0" fontId="23" numFmtId="0" xfId="0" applyAlignment="1" applyBorder="1" applyFont="1">
      <alignment horizontal="left" readingOrder="0" shrinkToFit="0" vertical="top" wrapText="0"/>
    </xf>
    <xf borderId="1" fillId="3" fontId="4" numFmtId="0" xfId="0" applyAlignment="1" applyBorder="1" applyFill="1" applyFont="1">
      <alignment horizontal="left" readingOrder="0" shrinkToFit="0" vertical="center" wrapText="1"/>
    </xf>
    <xf borderId="1" fillId="5" fontId="5" numFmtId="0" xfId="0" applyAlignment="1" applyBorder="1" applyFill="1" applyFont="1">
      <alignment horizontal="left" shrinkToFit="0" vertical="top" wrapText="1"/>
    </xf>
    <xf borderId="1" fillId="3" fontId="5" numFmtId="0" xfId="0" applyAlignment="1" applyBorder="1" applyFill="1" applyFont="1">
      <alignment horizontal="center" readingOrder="0" shrinkToFit="0" vertical="center" wrapText="1"/>
    </xf>
    <xf borderId="8" fillId="4" fontId="8" numFmtId="0" xfId="0" applyAlignment="1" applyBorder="1" applyFill="1" applyFont="1">
      <alignment readingOrder="0" shrinkToFit="0" vertical="center" wrapText="0"/>
    </xf>
    <xf borderId="1" fillId="6" fontId="5" numFmtId="0" xfId="0" applyAlignment="1" applyBorder="1" applyFill="1" applyFont="1">
      <alignment horizontal="right" readingOrder="0" vertical="center"/>
    </xf>
    <xf borderId="1" fillId="3" fontId="5" numFmtId="0" xfId="0" applyAlignment="1" applyBorder="1" applyFill="1" applyFont="1">
      <alignment horizontal="left" shrinkToFit="0" vertical="top" wrapText="1"/>
    </xf>
    <xf borderId="4" fillId="6" fontId="5" numFmtId="0" xfId="0" applyAlignment="1" applyBorder="1" applyFill="1" applyFont="1">
      <alignment horizontal="center" vertical="center"/>
    </xf>
    <xf borderId="2" fillId="6" fontId="5" numFmtId="0" xfId="0" applyAlignment="1" applyBorder="1" applyFill="1" applyFont="1">
      <alignment horizontal="left" vertical="center"/>
    </xf>
    <xf borderId="9" fillId="4" fontId="8" numFmtId="0" xfId="0" applyAlignment="1" applyBorder="1" applyFill="1" applyFont="1">
      <alignment readingOrder="0" shrinkToFit="0" vertical="center" wrapText="0"/>
    </xf>
    <xf borderId="1" fillId="5" fontId="14" numFmtId="0" xfId="0" applyAlignment="1" applyBorder="1" applyFill="1" applyFont="1">
      <alignment horizontal="left" readingOrder="0" shrinkToFit="0" vertical="top" wrapText="1"/>
    </xf>
    <xf borderId="1" fillId="0" fontId="5" numFmtId="0" xfId="0" applyAlignment="1" applyBorder="1" applyFont="1">
      <alignment horizontal="center" readingOrder="0" vertical="bottom"/>
    </xf>
    <xf borderId="1" fillId="0" fontId="5" numFmtId="0" xfId="0" applyAlignment="1" applyBorder="1" applyFont="1">
      <alignment horizontal="center" readingOrder="0" shrinkToFit="0" vertical="top" wrapText="1"/>
    </xf>
    <xf borderId="1" fillId="0" fontId="5" numFmtId="0" xfId="0" applyAlignment="1" applyBorder="1" applyFont="1">
      <alignment horizontal="left" readingOrder="0" shrinkToFit="0" vertical="top" wrapText="1"/>
    </xf>
    <xf borderId="1" fillId="6" fontId="5" numFmtId="0" xfId="0" applyAlignment="1" applyBorder="1" applyFill="1" applyFont="1">
      <alignment horizontal="right" vertical="center"/>
    </xf>
    <xf borderId="1" fillId="5" fontId="69" numFmtId="0" xfId="0" applyAlignment="1" applyBorder="1" applyFill="1" applyFont="1">
      <alignment horizontal="left" readingOrder="0" shrinkToFit="0" vertical="top" wrapText="1"/>
    </xf>
    <xf borderId="1" fillId="5" fontId="70" numFmtId="0" xfId="0" applyAlignment="1" applyBorder="1" applyFill="1" applyFont="1">
      <alignment horizontal="left" readingOrder="0" shrinkToFit="0" vertical="top" wrapText="1"/>
    </xf>
    <xf borderId="1" fillId="0" fontId="66" numFmtId="0" xfId="0" applyAlignment="1" applyBorder="1" applyFont="1">
      <alignment horizontal="left" readingOrder="0" shrinkToFit="0" vertical="top" wrapText="1"/>
    </xf>
    <xf borderId="1" fillId="3" fontId="4" numFmtId="0" xfId="0" applyAlignment="1" applyBorder="1" applyFill="1" applyFont="1">
      <alignment horizontal="left" shrinkToFit="0" vertical="center" wrapText="1"/>
    </xf>
    <xf borderId="0" fillId="3" fontId="5" numFmtId="0" xfId="0" applyAlignment="1" applyFill="1" applyFont="1">
      <alignment horizontal="center" shrinkToFit="0" vertical="center" wrapText="1"/>
    </xf>
    <xf borderId="1" fillId="3" fontId="5" numFmtId="0" xfId="0" applyAlignment="1" applyBorder="1" applyFill="1" applyFont="1">
      <alignment horizontal="center" shrinkToFit="0" vertical="center" wrapText="1"/>
    </xf>
    <xf borderId="1" fillId="3" fontId="14" numFmtId="0" xfId="0" applyAlignment="1" applyBorder="1" applyFill="1" applyFont="1">
      <alignment horizontal="left" readingOrder="0" shrinkToFit="0" vertical="top" wrapText="1"/>
    </xf>
    <xf borderId="1" fillId="2" fontId="4" numFmtId="0" xfId="0" applyAlignment="1" applyBorder="1" applyFill="1" applyFont="1">
      <alignment horizontal="left" shrinkToFit="0" vertical="center" wrapText="1"/>
    </xf>
    <xf borderId="1" fillId="5" fontId="71" numFmtId="0" xfId="0" applyAlignment="1" applyBorder="1" applyFill="1" applyFont="1">
      <alignment horizontal="left" readingOrder="0" shrinkToFit="0" vertical="top" wrapText="1"/>
    </xf>
    <xf borderId="2" fillId="2" fontId="5" numFmtId="0" xfId="0" applyAlignment="1" applyBorder="1" applyFill="1" applyFont="1">
      <alignment horizontal="left" vertical="center"/>
    </xf>
    <xf borderId="1" fillId="2" fontId="5" numFmtId="0" xfId="0" applyAlignment="1" applyBorder="1" applyFill="1" applyFont="1">
      <alignment horizontal="left" vertical="center"/>
    </xf>
    <xf borderId="0" fillId="0" fontId="16" numFmtId="1" xfId="0" applyAlignment="1" applyFont="1" applyNumberFormat="1">
      <alignment horizontal="right" readingOrder="0" shrinkToFit="0" vertical="bottom" wrapText="0"/>
    </xf>
    <xf borderId="1" fillId="0" fontId="66" numFmtId="0" xfId="0" applyAlignment="1" applyBorder="1" applyFont="1">
      <alignment horizontal="left" readingOrder="0" vertical="top"/>
    </xf>
    <xf borderId="1" fillId="12" fontId="5" numFmtId="0" xfId="0" applyAlignment="1" applyBorder="1" applyFill="1" applyFont="1">
      <alignment horizontal="left" readingOrder="0" shrinkToFit="0" vertical="top" wrapText="1"/>
    </xf>
    <xf borderId="1" fillId="12" fontId="5" numFmtId="0" xfId="0" applyAlignment="1" applyBorder="1" applyFill="1" applyFont="1">
      <alignment horizontal="left" shrinkToFit="0" vertical="top" wrapText="1"/>
    </xf>
    <xf borderId="1" fillId="12" fontId="5" numFmtId="1" xfId="0" applyAlignment="1" applyBorder="1" applyFill="1" applyFont="1" applyNumberFormat="1">
      <alignment horizontal="left" shrinkToFit="0" vertical="top" wrapText="1"/>
    </xf>
    <xf borderId="1" fillId="12" fontId="14" numFmtId="0" xfId="0" applyAlignment="1" applyBorder="1" applyFill="1" applyFont="1">
      <alignment horizontal="left" readingOrder="0" shrinkToFit="0" vertical="top" wrapText="1"/>
    </xf>
    <xf borderId="1" fillId="5" fontId="4" numFmtId="0" xfId="0" applyAlignment="1" applyBorder="1" applyFill="1" applyFont="1">
      <alignment horizontal="left" shrinkToFit="0" vertical="top" wrapText="1"/>
    </xf>
    <xf borderId="1" fillId="5" fontId="5" numFmtId="1" xfId="0" applyAlignment="1" applyBorder="1" applyFill="1" applyFont="1" applyNumberFormat="1">
      <alignment horizontal="left" readingOrder="0" shrinkToFit="0" vertical="top" wrapText="1"/>
    </xf>
    <xf borderId="1" fillId="5" fontId="4" numFmtId="0" xfId="0" applyAlignment="1" applyBorder="1" applyFill="1" applyFont="1">
      <alignment horizontal="left" readingOrder="0" shrinkToFit="0" vertical="top" wrapText="1"/>
    </xf>
    <xf borderId="1" fillId="3" fontId="5" numFmtId="0" xfId="0" applyAlignment="1" applyBorder="1" applyFill="1" applyFont="1">
      <alignment horizontal="left" readingOrder="0" shrinkToFit="0" vertical="top" wrapText="1"/>
    </xf>
    <xf borderId="1" fillId="6" fontId="5" numFmtId="0" xfId="0" applyAlignment="1" applyBorder="1" applyFill="1" applyFont="1">
      <alignment horizontal="left" readingOrder="0" vertical="top"/>
    </xf>
    <xf borderId="1" fillId="0" fontId="5" numFmtId="0" xfId="0" applyAlignment="1" applyBorder="1" applyFont="1">
      <alignment horizontal="left" readingOrder="0" vertical="top"/>
    </xf>
    <xf borderId="1" fillId="5" fontId="4" numFmtId="0" xfId="0" applyAlignment="1" applyBorder="1" applyFill="1" applyFont="1">
      <alignment horizontal="left" readingOrder="0" shrinkToFit="0" vertical="top" wrapText="1"/>
    </xf>
    <xf borderId="1" fillId="5" fontId="23" numFmtId="0" xfId="0" applyAlignment="1" applyBorder="1" applyFill="1" applyFont="1">
      <alignment horizontal="left" readingOrder="0" shrinkToFit="0" vertical="top" wrapText="1"/>
    </xf>
    <xf borderId="1" fillId="5" fontId="72" numFmtId="0" xfId="0" applyAlignment="1" applyBorder="1" applyFill="1" applyFont="1">
      <alignment horizontal="left" readingOrder="0" shrinkToFit="0" vertical="top" wrapText="1"/>
    </xf>
    <xf borderId="1" fillId="5" fontId="73" numFmtId="0" xfId="0" applyAlignment="1" applyBorder="1" applyFill="1" applyFont="1">
      <alignment horizontal="left" readingOrder="0" shrinkToFit="0" vertical="top" wrapText="1"/>
    </xf>
    <xf borderId="0" fillId="0" fontId="16" numFmtId="168" xfId="0" applyAlignment="1" applyFont="1" applyNumberFormat="1">
      <alignment horizontal="center" shrinkToFit="0" vertical="center" wrapText="0"/>
    </xf>
    <xf borderId="1" fillId="5" fontId="74" numFmtId="0" xfId="0" applyAlignment="1" applyBorder="1" applyFill="1" applyFont="1">
      <alignment horizontal="left" readingOrder="0" shrinkToFit="0" vertical="top" wrapText="1"/>
    </xf>
    <xf borderId="1" fillId="5" fontId="75" numFmtId="0" xfId="0" applyAlignment="1" applyBorder="1" applyFill="1" applyFont="1">
      <alignment horizontal="left" readingOrder="0" shrinkToFit="0" vertical="top" wrapText="1"/>
    </xf>
    <xf borderId="1" fillId="5" fontId="76" numFmtId="0" xfId="0" applyAlignment="1" applyBorder="1" applyFill="1" applyFont="1">
      <alignment horizontal="center" readingOrder="0" shrinkToFit="0" vertical="center" wrapText="1"/>
    </xf>
    <xf borderId="1" fillId="12" fontId="5" numFmtId="1" xfId="0" applyAlignment="1" applyBorder="1" applyFill="1" applyFont="1" applyNumberFormat="1">
      <alignment horizontal="left" readingOrder="0" vertical="top"/>
    </xf>
    <xf borderId="1" fillId="12" fontId="5" numFmtId="0" xfId="0" applyAlignment="1" applyBorder="1" applyFill="1" applyFont="1">
      <alignment horizontal="left" readingOrder="0" vertical="top"/>
    </xf>
    <xf borderId="1" fillId="5" fontId="5" numFmtId="0" xfId="0" applyAlignment="1" applyBorder="1" applyFill="1" applyFont="1">
      <alignment horizontal="left" readingOrder="0" shrinkToFit="0" vertical="top" wrapText="1"/>
    </xf>
    <xf borderId="1" fillId="5" fontId="14" numFmtId="0" xfId="0" applyAlignment="1" applyBorder="1" applyFill="1" applyFont="1">
      <alignment horizontal="left" readingOrder="0" shrinkToFit="0" vertical="top" wrapText="1"/>
    </xf>
    <xf borderId="1" fillId="5" fontId="77" numFmtId="0" xfId="0" applyAlignment="1" applyBorder="1" applyFill="1" applyFont="1">
      <alignment horizontal="left" readingOrder="0" shrinkToFit="0" vertical="top" wrapText="1"/>
    </xf>
    <xf borderId="1" fillId="5" fontId="78" numFmtId="0" xfId="0" applyAlignment="1" applyBorder="1" applyFill="1" applyFont="1">
      <alignment horizontal="left" readingOrder="0" shrinkToFit="0" vertical="top" wrapText="1"/>
    </xf>
    <xf borderId="9" fillId="0" fontId="79" numFmtId="0" xfId="0" applyAlignment="1" applyBorder="1" applyFont="1">
      <alignment readingOrder="0" shrinkToFit="0" vertical="center" wrapText="0"/>
    </xf>
    <xf borderId="1" fillId="6" fontId="14" numFmtId="0" xfId="0" applyAlignment="1" applyBorder="1" applyFill="1" applyFont="1">
      <alignment horizontal="left" readingOrder="0" vertical="top"/>
    </xf>
    <xf borderId="3" fillId="19" fontId="19" numFmtId="0" xfId="0" applyAlignment="1" applyBorder="1" applyFill="1" applyFont="1">
      <alignment readingOrder="0" shrinkToFit="0" vertical="center" wrapText="0"/>
    </xf>
    <xf borderId="0" fillId="0" fontId="14" numFmtId="1" xfId="0" applyAlignment="1" applyFont="1" applyNumberFormat="1">
      <alignment shrinkToFit="0" vertical="center" wrapText="0"/>
    </xf>
    <xf borderId="1" fillId="12" fontId="80" numFmtId="0" xfId="0" applyAlignment="1" applyBorder="1" applyFill="1" applyFont="1">
      <alignment horizontal="left" readingOrder="0" shrinkToFit="0" vertical="top" wrapText="1"/>
    </xf>
    <xf borderId="1" fillId="12" fontId="81" numFmtId="0" xfId="0" applyAlignment="1" applyBorder="1" applyFill="1" applyFont="1">
      <alignment horizontal="left" readingOrder="0" shrinkToFit="0" vertical="top" wrapText="1"/>
    </xf>
    <xf borderId="0" fillId="20" fontId="16" numFmtId="0" xfId="0" applyAlignment="1" applyFill="1" applyFont="1">
      <alignment shrinkToFit="0" vertical="center" wrapText="0"/>
    </xf>
    <xf borderId="0" fillId="20" fontId="16" numFmtId="0" xfId="0" applyAlignment="1" applyFill="1" applyFont="1">
      <alignment shrinkToFit="0" vertical="center" wrapText="0"/>
    </xf>
    <xf borderId="0" fillId="20" fontId="16" numFmtId="168" xfId="0" applyAlignment="1" applyFill="1" applyFont="1" applyNumberFormat="1">
      <alignment horizontal="center" shrinkToFit="0" vertical="center" wrapText="0"/>
    </xf>
    <xf borderId="3" fillId="20" fontId="19" numFmtId="0" xfId="0" applyAlignment="1" applyBorder="1" applyFill="1" applyFont="1">
      <alignment horizontal="center" shrinkToFit="0" vertical="center" wrapText="0"/>
    </xf>
    <xf borderId="0" fillId="20" fontId="16" numFmtId="0" xfId="0" applyAlignment="1" applyFill="1" applyFont="1">
      <alignment horizontal="center" shrinkToFit="0" vertical="center" wrapText="0"/>
    </xf>
    <xf borderId="0" fillId="20" fontId="21" numFmtId="0" xfId="0" applyAlignment="1" applyFill="1" applyFont="1">
      <alignment readingOrder="0" shrinkToFit="0" vertical="center" wrapText="0"/>
    </xf>
    <xf borderId="0" fillId="20" fontId="3" numFmtId="1" xfId="0" applyAlignment="1" applyFill="1" applyFont="1" applyNumberFormat="1">
      <alignment shrinkToFit="0" vertical="center" wrapText="0"/>
    </xf>
    <xf borderId="1" fillId="12" fontId="5" numFmtId="1" xfId="0" applyAlignment="1" applyBorder="1" applyFill="1" applyFont="1" applyNumberFormat="1">
      <alignment horizontal="left" readingOrder="0" shrinkToFit="0" vertical="top" wrapText="1"/>
    </xf>
    <xf borderId="0" fillId="20" fontId="23" numFmtId="0" xfId="0" applyAlignment="1" applyFill="1" applyFont="1">
      <alignment shrinkToFit="0" vertical="center" wrapText="0"/>
    </xf>
    <xf borderId="1" fillId="12" fontId="5" numFmtId="0" xfId="0" applyAlignment="1" applyBorder="1" applyFill="1" applyFont="1">
      <alignment horizontal="left" readingOrder="0" shrinkToFit="0" vertical="top" wrapText="1"/>
    </xf>
    <xf borderId="1" fillId="12" fontId="14" numFmtId="0" xfId="0" applyAlignment="1" applyBorder="1" applyFill="1" applyFont="1">
      <alignment horizontal="left" readingOrder="0" shrinkToFit="0" vertical="top" wrapText="1"/>
    </xf>
    <xf borderId="0" fillId="20" fontId="3" numFmtId="0" xfId="0" applyAlignment="1" applyFill="1" applyFont="1">
      <alignment shrinkToFit="0" vertical="center" wrapText="0"/>
    </xf>
    <xf borderId="6" fillId="3" fontId="8" numFmtId="0" xfId="0" applyAlignment="1" applyBorder="1" applyFill="1" applyFont="1">
      <alignment readingOrder="0" shrinkToFit="0" vertical="center" wrapText="0"/>
    </xf>
    <xf borderId="1" fillId="5" fontId="82" numFmtId="0" xfId="0" applyAlignment="1" applyBorder="1" applyFill="1" applyFont="1">
      <alignment horizontal="left" shrinkToFit="0" vertical="top" wrapText="1"/>
    </xf>
    <xf borderId="1" fillId="5" fontId="4" numFmtId="1" xfId="0" applyAlignment="1" applyBorder="1" applyFill="1" applyFont="1" applyNumberFormat="1">
      <alignment horizontal="left" readingOrder="0" shrinkToFit="0" vertical="top" wrapText="1"/>
    </xf>
    <xf borderId="11" fillId="4" fontId="8" numFmtId="0" xfId="0" applyAlignment="1" applyBorder="1" applyFill="1" applyFont="1">
      <alignment shrinkToFit="0" vertical="center" wrapText="0"/>
    </xf>
    <xf borderId="1" fillId="15" fontId="5" numFmtId="0" xfId="0" applyAlignment="1" applyBorder="1" applyFill="1" applyFont="1">
      <alignment horizontal="left" readingOrder="0" shrinkToFit="0" vertical="top" wrapText="1"/>
    </xf>
    <xf borderId="0" fillId="15" fontId="5" numFmtId="0" xfId="0" applyAlignment="1" applyFill="1" applyFont="1">
      <alignment horizontal="center" readingOrder="0" shrinkToFit="0" vertical="center" wrapText="1"/>
    </xf>
    <xf borderId="1" fillId="15" fontId="5" numFmtId="1" xfId="0" applyAlignment="1" applyBorder="1" applyFill="1" applyFont="1" applyNumberFormat="1">
      <alignment horizontal="left" readingOrder="0" shrinkToFit="0" vertical="top" wrapText="1"/>
    </xf>
    <xf borderId="12" fillId="4" fontId="8" numFmtId="0" xfId="0" applyAlignment="1" applyBorder="1" applyFill="1" applyFont="1">
      <alignment shrinkToFit="0" vertical="center" wrapText="0"/>
    </xf>
    <xf borderId="1" fillId="15" fontId="83" numFmtId="0" xfId="0" applyAlignment="1" applyBorder="1" applyFill="1" applyFont="1">
      <alignment horizontal="left" readingOrder="0" shrinkToFit="0" vertical="top" wrapText="1"/>
    </xf>
    <xf borderId="4" fillId="15" fontId="4" numFmtId="0" xfId="0" applyAlignment="1" applyBorder="1" applyFill="1" applyFont="1">
      <alignment horizontal="center" readingOrder="0" shrinkToFit="0" vertical="center" wrapText="0"/>
    </xf>
    <xf borderId="2" fillId="15" fontId="5" numFmtId="1" xfId="0" applyAlignment="1" applyBorder="1" applyFill="1" applyFont="1" applyNumberFormat="1">
      <alignment horizontal="left" readingOrder="0" shrinkToFit="0" vertical="center" wrapText="1"/>
    </xf>
    <xf borderId="1" fillId="15" fontId="84" numFmtId="0" xfId="0" applyAlignment="1" applyBorder="1" applyFill="1" applyFont="1">
      <alignment horizontal="left" readingOrder="0" shrinkToFit="0" vertical="top" wrapText="1"/>
    </xf>
    <xf borderId="1" fillId="15" fontId="5" numFmtId="1" xfId="0" applyAlignment="1" applyBorder="1" applyFill="1" applyFont="1" applyNumberFormat="1">
      <alignment horizontal="left" readingOrder="0" shrinkToFit="0" vertical="center" wrapText="1"/>
    </xf>
    <xf borderId="12" fillId="4" fontId="8" numFmtId="0" xfId="0" applyAlignment="1" applyBorder="1" applyFill="1" applyFont="1">
      <alignment readingOrder="0" shrinkToFit="0" vertical="center" wrapText="0"/>
    </xf>
    <xf borderId="1" fillId="15" fontId="5" numFmtId="1" xfId="0" applyAlignment="1" applyBorder="1" applyFill="1" applyFont="1" applyNumberFormat="1">
      <alignment horizontal="center" readingOrder="0" shrinkToFit="0" vertical="center" wrapText="1"/>
    </xf>
    <xf borderId="1" fillId="15" fontId="4" numFmtId="0" xfId="0" applyAlignment="1" applyBorder="1" applyFill="1" applyFont="1">
      <alignment horizontal="center" readingOrder="0" vertical="center"/>
    </xf>
    <xf borderId="1" fillId="12" fontId="4" numFmtId="0" xfId="0" applyAlignment="1" applyBorder="1" applyFill="1" applyFont="1">
      <alignment horizontal="left" readingOrder="0" shrinkToFit="0" vertical="top" wrapText="1"/>
    </xf>
    <xf borderId="12" fillId="4" fontId="85" numFmtId="0" xfId="0" applyAlignment="1" applyBorder="1" applyFill="1" applyFont="1">
      <alignment shrinkToFit="0" vertical="center" wrapText="0"/>
    </xf>
    <xf borderId="13" fillId="4" fontId="6" numFmtId="0" xfId="0" applyBorder="1" applyFill="1" applyFont="1"/>
    <xf borderId="1" fillId="12" fontId="4" numFmtId="0" xfId="0" applyAlignment="1" applyBorder="1" applyFill="1" applyFont="1">
      <alignment horizontal="left" readingOrder="0" shrinkToFit="0" vertical="center" wrapText="1"/>
    </xf>
    <xf borderId="1" fillId="12" fontId="4" numFmtId="0" xfId="0" applyAlignment="1" applyBorder="1" applyFill="1" applyFont="1">
      <alignment horizontal="left" shrinkToFit="0" vertical="top" wrapText="1"/>
    </xf>
    <xf borderId="0" fillId="0" fontId="16" numFmtId="0" xfId="0" applyAlignment="1" applyFont="1">
      <alignment horizontal="left" readingOrder="0" shrinkToFit="0" vertical="bottom" wrapText="0"/>
    </xf>
    <xf borderId="1" fillId="12" fontId="4" numFmtId="0" xfId="0" applyAlignment="1" applyBorder="1" applyFill="1" applyFont="1">
      <alignment horizontal="right" readingOrder="0" vertical="center"/>
    </xf>
    <xf borderId="4" fillId="12" fontId="5" numFmtId="1" xfId="0" applyAlignment="1" applyBorder="1" applyFill="1" applyFont="1" applyNumberFormat="1">
      <alignment horizontal="center" readingOrder="0" shrinkToFit="0" vertical="center" wrapText="1"/>
    </xf>
    <xf borderId="2" fillId="12" fontId="5" numFmtId="1" xfId="0" applyAlignment="1" applyBorder="1" applyFill="1" applyFont="1" applyNumberFormat="1">
      <alignment horizontal="left" readingOrder="0" shrinkToFit="0" vertical="center" wrapText="1"/>
    </xf>
    <xf borderId="1" fillId="12" fontId="5" numFmtId="0" xfId="0" applyAlignment="1" applyBorder="1" applyFill="1" applyFont="1">
      <alignment horizontal="left" readingOrder="0"/>
    </xf>
    <xf borderId="1" fillId="12" fontId="5" numFmtId="0" xfId="0" applyAlignment="1" applyBorder="1" applyFill="1" applyFont="1">
      <alignment horizontal="center" readingOrder="0"/>
    </xf>
    <xf borderId="1" fillId="0" fontId="5" numFmtId="1" xfId="0" applyAlignment="1" applyBorder="1" applyFont="1" applyNumberFormat="1">
      <alignment horizontal="left" readingOrder="0" vertical="top"/>
    </xf>
    <xf borderId="1" fillId="15" fontId="4" numFmtId="0" xfId="0" applyAlignment="1" applyBorder="1" applyFill="1" applyFont="1">
      <alignment horizontal="left" readingOrder="0" vertical="top"/>
    </xf>
    <xf borderId="1" fillId="15" fontId="5" numFmtId="0" xfId="0" applyAlignment="1" applyBorder="1" applyFill="1" applyFont="1">
      <alignment horizontal="left" vertical="top"/>
    </xf>
    <xf borderId="1" fillId="3" fontId="7" numFmtId="0" xfId="0" applyAlignment="1" applyBorder="1" applyFill="1" applyFont="1">
      <alignment horizontal="left" readingOrder="0" shrinkToFit="0" vertical="top" wrapText="1"/>
    </xf>
    <xf borderId="1" fillId="12" fontId="4" numFmtId="3" xfId="0" applyAlignment="1" applyBorder="1" applyFill="1" applyFont="1" applyNumberFormat="1">
      <alignment horizontal="center" shrinkToFit="0" vertical="center" wrapText="1"/>
    </xf>
    <xf borderId="1" fillId="3" fontId="14" numFmtId="0" xfId="0" applyAlignment="1" applyBorder="1" applyFill="1" applyFont="1">
      <alignment horizontal="left" shrinkToFit="0" vertical="top" wrapText="1"/>
    </xf>
    <xf borderId="1" fillId="3" fontId="4" numFmtId="0" xfId="0" applyAlignment="1" applyBorder="1" applyFill="1" applyFont="1">
      <alignment horizontal="left" readingOrder="0" vertical="top"/>
    </xf>
    <xf borderId="1" fillId="3" fontId="5" numFmtId="0" xfId="0" applyAlignment="1" applyBorder="1" applyFill="1" applyFont="1">
      <alignment horizontal="left" readingOrder="0" vertical="top"/>
    </xf>
    <xf borderId="1" fillId="2" fontId="5" numFmtId="1" xfId="0" applyAlignment="1" applyBorder="1" applyFill="1" applyFont="1" applyNumberFormat="1">
      <alignment horizontal="left" readingOrder="0" shrinkToFit="0" vertical="top" wrapText="1"/>
    </xf>
    <xf borderId="1" fillId="12" fontId="4" numFmtId="0" xfId="0" applyAlignment="1" applyBorder="1" applyFill="1" applyFont="1">
      <alignment horizontal="center" readingOrder="0" shrinkToFit="0" vertical="center" wrapText="1"/>
    </xf>
    <xf borderId="1" fillId="12" fontId="4" numFmtId="1" xfId="0" applyAlignment="1" applyBorder="1" applyFill="1" applyFont="1" applyNumberFormat="1">
      <alignment horizontal="left" readingOrder="0" shrinkToFit="0" vertical="top" wrapText="1"/>
    </xf>
    <xf borderId="1" fillId="21" fontId="5" numFmtId="1" xfId="0" applyAlignment="1" applyBorder="1" applyFill="1" applyFont="1" applyNumberFormat="1">
      <alignment horizontal="left" shrinkToFit="0" vertical="top" wrapText="1"/>
    </xf>
    <xf borderId="1" fillId="0" fontId="4" numFmtId="0" xfId="0" applyAlignment="1" applyBorder="1" applyFont="1">
      <alignment horizontal="right" readingOrder="0" shrinkToFit="0" vertical="center" wrapText="0"/>
    </xf>
    <xf borderId="1" fillId="3" fontId="5" numFmtId="1" xfId="0" applyAlignment="1" applyBorder="1" applyFill="1" applyFont="1" applyNumberFormat="1">
      <alignment horizontal="left" readingOrder="0" shrinkToFit="0" vertical="top" wrapText="1"/>
    </xf>
    <xf borderId="1" fillId="3" fontId="51" numFmtId="0" xfId="0" applyAlignment="1" applyBorder="1" applyFill="1" applyFont="1">
      <alignment horizontal="left" readingOrder="0" shrinkToFit="0" vertical="top" wrapText="1"/>
    </xf>
    <xf borderId="1" fillId="3" fontId="14" numFmtId="1" xfId="0" applyAlignment="1" applyBorder="1" applyFill="1" applyFont="1" applyNumberFormat="1">
      <alignment horizontal="left" readingOrder="0" shrinkToFit="0" vertical="top" wrapText="1"/>
    </xf>
    <xf borderId="1" fillId="6" fontId="7" numFmtId="0" xfId="0" applyAlignment="1" applyBorder="1" applyFill="1" applyFont="1">
      <alignment horizontal="left" vertical="top"/>
    </xf>
    <xf borderId="1" fillId="3" fontId="12" numFmtId="0" xfId="0" applyAlignment="1" applyBorder="1" applyFill="1" applyFont="1">
      <alignment horizontal="left" readingOrder="0" shrinkToFit="0" vertical="top" wrapText="1"/>
    </xf>
    <xf borderId="1" fillId="0" fontId="14" numFmtId="0" xfId="0" applyAlignment="1" applyBorder="1" applyFont="1">
      <alignment shrinkToFit="0" vertical="top" wrapText="1"/>
    </xf>
    <xf borderId="1" fillId="22" fontId="5" numFmtId="1" xfId="0" applyAlignment="1" applyBorder="1" applyFill="1" applyFont="1" applyNumberFormat="1">
      <alignment horizontal="left" readingOrder="0"/>
    </xf>
    <xf borderId="1" fillId="23" fontId="7" numFmtId="0" xfId="0" applyAlignment="1" applyBorder="1" applyFill="1" applyFont="1">
      <alignment horizontal="left" readingOrder="0" shrinkToFit="0" vertical="top" wrapText="1"/>
    </xf>
    <xf borderId="1" fillId="23" fontId="14" numFmtId="0" xfId="0" applyAlignment="1" applyBorder="1" applyFill="1" applyFont="1">
      <alignment horizontal="left" shrinkToFit="0" vertical="top" wrapText="1"/>
    </xf>
    <xf borderId="4" fillId="6" fontId="5" numFmtId="0" xfId="0" applyAlignment="1" applyBorder="1" applyFill="1" applyFont="1">
      <alignment horizontal="center" readingOrder="0" vertical="center"/>
    </xf>
    <xf borderId="1" fillId="0" fontId="5" numFmtId="0" xfId="0" applyAlignment="1" applyBorder="1" applyFont="1">
      <alignment horizontal="center" readingOrder="0" vertical="center"/>
    </xf>
    <xf borderId="1" fillId="24" fontId="5" numFmtId="0" xfId="0" applyAlignment="1" applyBorder="1" applyFill="1" applyFont="1">
      <alignment horizontal="center" readingOrder="0"/>
    </xf>
    <xf borderId="2" fillId="2" fontId="5" numFmtId="1" xfId="0" applyAlignment="1" applyBorder="1" applyFill="1" applyFont="1" applyNumberFormat="1">
      <alignment horizontal="left" readingOrder="0" shrinkToFit="0" vertical="center" wrapText="1"/>
    </xf>
    <xf borderId="1" fillId="25" fontId="5" numFmtId="0" xfId="0" applyAlignment="1" applyBorder="1" applyFill="1" applyFont="1">
      <alignment horizontal="left" readingOrder="0" shrinkToFit="0" vertical="top" wrapText="1"/>
    </xf>
    <xf borderId="1" fillId="0" fontId="4" numFmtId="0" xfId="0" applyAlignment="1" applyBorder="1" applyFont="1">
      <alignment horizontal="left" vertical="top"/>
    </xf>
    <xf borderId="1" fillId="12" fontId="4" numFmtId="0" xfId="0" applyAlignment="1" applyBorder="1" applyFill="1" applyFont="1">
      <alignment horizontal="left" readingOrder="0" vertical="top"/>
    </xf>
    <xf borderId="1" fillId="0" fontId="51" numFmtId="0" xfId="0" applyAlignment="1" applyBorder="1" applyFont="1">
      <alignment horizontal="right" readingOrder="0" shrinkToFit="0" vertical="bottom" wrapText="0"/>
    </xf>
    <xf borderId="1" fillId="0" fontId="4" numFmtId="0" xfId="0" applyAlignment="1" applyBorder="1" applyFont="1">
      <alignment horizontal="left" readingOrder="0" vertical="top"/>
    </xf>
    <xf borderId="1" fillId="0" fontId="51" numFmtId="0" xfId="0" applyAlignment="1" applyBorder="1" applyFont="1">
      <alignment readingOrder="0" shrinkToFit="0" vertical="top" wrapText="0"/>
    </xf>
    <xf borderId="1" fillId="12" fontId="4" numFmtId="0" xfId="0" applyAlignment="1" applyBorder="1" applyFill="1" applyFont="1">
      <alignment horizontal="left" vertical="top"/>
    </xf>
    <xf borderId="1" fillId="12" fontId="4" numFmtId="1" xfId="0" applyAlignment="1" applyBorder="1" applyFill="1" applyFont="1" applyNumberFormat="1">
      <alignment horizontal="left" readingOrder="0" vertical="top"/>
    </xf>
    <xf borderId="1" fillId="3" fontId="5" numFmtId="0" xfId="0" applyAlignment="1" applyBorder="1" applyFill="1" applyFont="1">
      <alignment horizontal="center" shrinkToFit="0" vertical="center" wrapText="1"/>
    </xf>
    <xf borderId="1" fillId="12" fontId="5" numFmtId="0" xfId="0" applyAlignment="1" applyBorder="1" applyFill="1" applyFont="1">
      <alignment horizontal="left" vertical="top"/>
    </xf>
    <xf borderId="1" fillId="12" fontId="5" numFmtId="1" xfId="0" applyAlignment="1" applyBorder="1" applyFill="1" applyFont="1" applyNumberFormat="1">
      <alignment horizontal="left" vertical="top"/>
    </xf>
    <xf borderId="1" fillId="3" fontId="5" numFmtId="1" xfId="0" applyAlignment="1" applyBorder="1" applyFill="1" applyFont="1" applyNumberFormat="1">
      <alignment horizontal="center" shrinkToFit="0" vertical="center" wrapText="1"/>
    </xf>
    <xf borderId="1" fillId="26" fontId="5" numFmtId="0" xfId="0" applyAlignment="1" applyBorder="1" applyFill="1" applyFont="1">
      <alignment horizontal="center" readingOrder="0" shrinkToFit="0" vertical="top" wrapText="1"/>
    </xf>
    <xf borderId="1" fillId="26" fontId="5" numFmtId="1" xfId="0" applyAlignment="1" applyBorder="1" applyFill="1" applyFont="1" applyNumberFormat="1">
      <alignment horizontal="left" readingOrder="0" vertical="top"/>
    </xf>
    <xf borderId="1" fillId="15" fontId="5" numFmtId="1" xfId="0" applyAlignment="1" applyBorder="1" applyFill="1" applyFont="1" applyNumberFormat="1">
      <alignment horizontal="center" shrinkToFit="0" vertical="center" wrapText="1"/>
    </xf>
    <xf borderId="1" fillId="5" fontId="86" numFmtId="0" xfId="0" applyAlignment="1" applyBorder="1" applyFill="1" applyFont="1">
      <alignment horizontal="center" readingOrder="0" shrinkToFit="0" vertical="center" wrapText="1"/>
    </xf>
    <xf borderId="1" fillId="15" fontId="4" numFmtId="0" xfId="0" applyAlignment="1" applyBorder="1" applyFill="1" applyFont="1">
      <alignment horizontal="left" readingOrder="0" shrinkToFit="0" vertical="top" wrapText="0"/>
    </xf>
    <xf borderId="1" fillId="0" fontId="51" numFmtId="0" xfId="0" applyAlignment="1" applyBorder="1" applyFont="1">
      <alignment horizontal="left" readingOrder="0" shrinkToFit="0" vertical="top" wrapText="1"/>
    </xf>
    <xf borderId="1" fillId="0" fontId="23" numFmtId="0" xfId="0" applyAlignment="1" applyBorder="1" applyFont="1">
      <alignment horizontal="left" readingOrder="0" shrinkToFit="0" vertical="top" wrapText="1"/>
    </xf>
    <xf borderId="1" fillId="3" fontId="66" numFmtId="0" xfId="0" applyAlignment="1" applyBorder="1" applyFill="1" applyFont="1">
      <alignment horizontal="left" readingOrder="0" shrinkToFit="0" vertical="top" wrapText="1"/>
    </xf>
    <xf borderId="1" fillId="26" fontId="5" numFmtId="0" xfId="0" applyAlignment="1" applyBorder="1" applyFill="1" applyFont="1">
      <alignment horizontal="left" readingOrder="0" shrinkToFit="0" vertical="top" wrapText="1"/>
    </xf>
    <xf borderId="1" fillId="12" fontId="87" numFmtId="0" xfId="0" applyAlignment="1" applyBorder="1" applyFill="1" applyFont="1">
      <alignment horizontal="center" readingOrder="0" shrinkToFit="0" vertical="center" wrapText="1"/>
    </xf>
    <xf borderId="1" fillId="3" fontId="5" numFmtId="0" xfId="0" applyAlignment="1" applyBorder="1" applyFill="1" applyFont="1">
      <alignment horizontal="center" readingOrder="0" shrinkToFit="0" vertical="top" wrapText="1"/>
    </xf>
    <xf borderId="1" fillId="3" fontId="5" numFmtId="1" xfId="0" applyAlignment="1" applyBorder="1" applyFill="1" applyFont="1" applyNumberFormat="1">
      <alignment horizontal="left" shrinkToFit="0" vertical="top" wrapText="1"/>
    </xf>
    <xf borderId="1" fillId="2" fontId="5" numFmtId="0" xfId="0" applyAlignment="1" applyBorder="1" applyFill="1" applyFont="1">
      <alignment horizontal="left" readingOrder="0" shrinkToFit="0" vertical="top" wrapText="1"/>
    </xf>
    <xf borderId="1" fillId="12" fontId="5" numFmtId="1" xfId="0" applyAlignment="1" applyBorder="1" applyFill="1" applyFont="1" applyNumberFormat="1">
      <alignment horizontal="center" shrinkToFit="0" vertical="center" wrapText="1"/>
    </xf>
    <xf borderId="1" fillId="27" fontId="5" numFmtId="3" xfId="0" applyAlignment="1" applyBorder="1" applyFill="1" applyFont="1" applyNumberFormat="1">
      <alignment horizontal="center" readingOrder="0" shrinkToFit="0" wrapText="1"/>
    </xf>
    <xf borderId="1" fillId="0" fontId="7" numFmtId="0" xfId="0" applyAlignment="1" applyBorder="1" applyFont="1">
      <alignment horizontal="right" readingOrder="0"/>
    </xf>
    <xf borderId="1" fillId="0" fontId="88" numFmtId="0" xfId="0" applyAlignment="1" applyBorder="1" applyFont="1">
      <alignment horizontal="left" readingOrder="0" vertical="top"/>
    </xf>
    <xf borderId="1" fillId="12" fontId="4" numFmtId="1" xfId="0" applyAlignment="1" applyBorder="1" applyFill="1" applyFont="1" applyNumberFormat="1">
      <alignment horizontal="right" readingOrder="0" shrinkToFit="0" vertical="center" wrapText="1"/>
    </xf>
    <xf borderId="2" fillId="12" fontId="4" numFmtId="1" xfId="0" applyAlignment="1" applyBorder="1" applyFill="1" applyFont="1" applyNumberFormat="1">
      <alignment horizontal="left" readingOrder="0"/>
    </xf>
    <xf borderId="1" fillId="12" fontId="4" numFmtId="1" xfId="0" applyAlignment="1" applyBorder="1" applyFill="1" applyFont="1" applyNumberFormat="1">
      <alignment horizontal="left" readingOrder="0"/>
    </xf>
    <xf borderId="0" fillId="5" fontId="5" numFmtId="0" xfId="0" applyAlignment="1" applyFill="1" applyFont="1">
      <alignment horizontal="center" shrinkToFit="0" vertical="center" wrapText="1"/>
    </xf>
    <xf borderId="1" fillId="0" fontId="7" numFmtId="0" xfId="0" applyAlignment="1" applyBorder="1" applyFont="1">
      <alignment horizontal="left" readingOrder="0" shrinkToFit="0" vertical="top" wrapText="1"/>
    </xf>
    <xf borderId="1" fillId="0" fontId="14" numFmtId="0" xfId="0" applyAlignment="1" applyBorder="1" applyFont="1">
      <alignment horizontal="left" shrinkToFit="0" vertical="top" wrapText="1"/>
    </xf>
    <xf borderId="1" fillId="9" fontId="5" numFmtId="1" xfId="0" applyAlignment="1" applyBorder="1" applyFill="1" applyFont="1" applyNumberFormat="1">
      <alignment horizontal="left" vertical="top"/>
    </xf>
    <xf borderId="1" fillId="0" fontId="5" numFmtId="0" xfId="0" applyAlignment="1" applyBorder="1" applyFont="1">
      <alignment horizontal="left" vertical="top"/>
    </xf>
    <xf borderId="1" fillId="26" fontId="5" numFmtId="1" xfId="0" applyAlignment="1" applyBorder="1" applyFill="1" applyFont="1" applyNumberFormat="1">
      <alignment horizontal="left" vertical="top"/>
    </xf>
    <xf borderId="1" fillId="0" fontId="89" numFmtId="0" xfId="0" applyAlignment="1" applyBorder="1" applyFont="1">
      <alignment horizontal="center" readingOrder="0"/>
    </xf>
    <xf borderId="1" fillId="0" fontId="90" numFmtId="0" xfId="0" applyAlignment="1" applyBorder="1" applyFont="1">
      <alignment horizontal="center" readingOrder="0"/>
    </xf>
    <xf borderId="1" fillId="0" fontId="16" numFmtId="0" xfId="0" applyAlignment="1" applyBorder="1" applyFont="1">
      <alignment horizontal="center" readingOrder="0"/>
    </xf>
    <xf borderId="1" fillId="0" fontId="16" numFmtId="0" xfId="0" applyAlignment="1" applyBorder="1" applyFont="1">
      <alignment horizontal="left" readingOrder="0"/>
    </xf>
    <xf borderId="0" fillId="3" fontId="5" numFmtId="1" xfId="0" applyAlignment="1" applyFill="1" applyFont="1" applyNumberFormat="1">
      <alignment horizontal="center" shrinkToFit="0" vertical="center" wrapText="1"/>
    </xf>
    <xf borderId="0" fillId="9" fontId="5" numFmtId="1" xfId="0" applyAlignment="1" applyFill="1" applyFont="1" applyNumberFormat="1">
      <alignment horizontal="left" readingOrder="0" vertical="top"/>
    </xf>
    <xf borderId="0" fillId="22" fontId="5" numFmtId="1" xfId="0" applyAlignment="1" applyFill="1" applyFont="1" applyNumberFormat="1">
      <alignment horizontal="left" readingOrder="0" vertical="top"/>
    </xf>
    <xf borderId="1" fillId="22" fontId="5" numFmtId="1" xfId="0" applyAlignment="1" applyBorder="1" applyFill="1" applyFont="1" applyNumberFormat="1">
      <alignment horizontal="left" readingOrder="0" vertical="top"/>
    </xf>
    <xf borderId="1" fillId="24" fontId="5" numFmtId="0" xfId="0" applyAlignment="1" applyBorder="1" applyFill="1" applyFont="1">
      <alignment horizontal="left" readingOrder="0" vertical="top"/>
    </xf>
    <xf borderId="1" fillId="0" fontId="16" numFmtId="0" xfId="0" applyAlignment="1" applyBorder="1" applyFont="1">
      <alignment horizontal="left" readingOrder="0" shrinkToFit="0" wrapText="0"/>
    </xf>
    <xf borderId="0" fillId="12" fontId="5" numFmtId="1" xfId="0" applyAlignment="1" applyFill="1" applyFont="1" applyNumberFormat="1">
      <alignment horizontal="center" shrinkToFit="0" vertical="center" wrapText="1"/>
    </xf>
    <xf borderId="0" fillId="12" fontId="91" numFmtId="1" xfId="0" applyAlignment="1" applyFill="1" applyFont="1" applyNumberFormat="1">
      <alignment horizontal="left" readingOrder="0" vertical="top"/>
    </xf>
    <xf borderId="1" fillId="12" fontId="92" numFmtId="1" xfId="0" applyAlignment="1" applyBorder="1" applyFill="1" applyFont="1" applyNumberFormat="1">
      <alignment horizontal="left" readingOrder="0" vertical="top"/>
    </xf>
    <xf borderId="0" fillId="28" fontId="5" numFmtId="1" xfId="0" applyAlignment="1" applyFill="1" applyFont="1" applyNumberFormat="1">
      <alignment horizontal="center" shrinkToFit="0" vertical="center" wrapText="1"/>
    </xf>
    <xf borderId="0" fillId="28" fontId="5" numFmtId="1" xfId="0" applyAlignment="1" applyFill="1" applyFont="1" applyNumberFormat="1">
      <alignment horizontal="left" readingOrder="0" vertical="top"/>
    </xf>
    <xf borderId="1" fillId="28" fontId="5" numFmtId="1" xfId="0" applyAlignment="1" applyBorder="1" applyFill="1" applyFont="1" applyNumberFormat="1">
      <alignment horizontal="left" readingOrder="0" vertical="top"/>
    </xf>
    <xf borderId="1" fillId="28" fontId="5" numFmtId="0" xfId="0" applyAlignment="1" applyBorder="1" applyFill="1" applyFont="1">
      <alignment horizontal="left" readingOrder="0" shrinkToFit="0" vertical="top" wrapText="1"/>
    </xf>
    <xf borderId="1" fillId="28" fontId="5" numFmtId="0" xfId="0" applyAlignment="1" applyBorder="1" applyFill="1" applyFont="1">
      <alignment horizontal="left" readingOrder="0" vertical="top"/>
    </xf>
    <xf borderId="1" fillId="28" fontId="14" numFmtId="0" xfId="0" applyAlignment="1" applyBorder="1" applyFill="1" applyFont="1">
      <alignment horizontal="left" readingOrder="0" shrinkToFit="0" vertical="top" wrapText="1"/>
    </xf>
    <xf borderId="0" fillId="12" fontId="5" numFmtId="0" xfId="0" applyAlignment="1" applyFill="1" applyFont="1">
      <alignment horizontal="left" readingOrder="0" shrinkToFit="0" vertical="top" wrapText="1"/>
    </xf>
    <xf borderId="1" fillId="0" fontId="51" numFmtId="0" xfId="0" applyAlignment="1" applyBorder="1" applyFont="1">
      <alignment horizontal="left" readingOrder="0" shrinkToFit="0" vertical="top" wrapText="0"/>
    </xf>
    <xf borderId="0" fillId="9" fontId="5" numFmtId="0" xfId="0" applyAlignment="1" applyFill="1" applyFont="1">
      <alignment horizontal="left" readingOrder="0" shrinkToFit="0" vertical="top" wrapText="1"/>
    </xf>
    <xf borderId="1" fillId="5" fontId="93" numFmtId="0" xfId="0" applyAlignment="1" applyBorder="1" applyFill="1" applyFont="1">
      <alignment horizontal="center" readingOrder="0" shrinkToFit="0" vertical="center" wrapText="1"/>
    </xf>
    <xf borderId="1" fillId="0" fontId="16" numFmtId="0" xfId="0" applyAlignment="1" applyBorder="1" applyFont="1">
      <alignment horizontal="left"/>
    </xf>
    <xf borderId="1" fillId="0" fontId="16" numFmtId="0" xfId="0" applyAlignment="1" applyBorder="1" applyFont="1">
      <alignment horizontal="left" readingOrder="0" shrinkToFit="0" vertical="bottom" wrapText="0"/>
    </xf>
    <xf borderId="0" fillId="12" fontId="5" numFmtId="1" xfId="0" applyAlignment="1" applyFill="1" applyFont="1" applyNumberFormat="1">
      <alignment horizontal="left" readingOrder="0" vertical="top"/>
    </xf>
    <xf borderId="1" fillId="2" fontId="5" numFmtId="0" xfId="0" applyAlignment="1" applyBorder="1" applyFill="1" applyFont="1">
      <alignment horizontal="left" readingOrder="0" shrinkToFit="0" vertical="center" wrapText="1"/>
    </xf>
    <xf borderId="1" fillId="2" fontId="5" numFmtId="1" xfId="0" applyAlignment="1" applyBorder="1" applyFill="1" applyFont="1" applyNumberFormat="1">
      <alignment horizontal="right" shrinkToFit="0" vertical="center" wrapText="1"/>
    </xf>
    <xf borderId="0" fillId="2" fontId="5" numFmtId="1" xfId="0" applyAlignment="1" applyFill="1" applyFont="1" applyNumberFormat="1">
      <alignment horizontal="left" readingOrder="0" shrinkToFit="0" vertical="center" wrapText="1"/>
    </xf>
    <xf borderId="1" fillId="2" fontId="4" numFmtId="0" xfId="0" applyAlignment="1" applyBorder="1" applyFill="1" applyFont="1">
      <alignment horizontal="center" shrinkToFit="0" vertical="center" wrapText="1"/>
    </xf>
    <xf borderId="1" fillId="2" fontId="4" numFmtId="3" xfId="0" applyAlignment="1" applyBorder="1" applyFill="1" applyFont="1" applyNumberFormat="1">
      <alignment horizontal="center" readingOrder="0" shrinkToFit="0" vertical="center" wrapText="1"/>
    </xf>
    <xf borderId="1" fillId="5" fontId="5" numFmtId="0" xfId="0" applyAlignment="1" applyBorder="1" applyFill="1" applyFont="1">
      <alignment horizontal="center" readingOrder="0" shrinkToFit="0" vertical="center" wrapText="1"/>
    </xf>
    <xf borderId="1" fillId="26" fontId="5" numFmtId="0" xfId="0" applyAlignment="1" applyBorder="1" applyFill="1" applyFont="1">
      <alignment horizontal="left" readingOrder="0" vertical="top"/>
    </xf>
    <xf borderId="1" fillId="3" fontId="94" numFmtId="0" xfId="0" applyAlignment="1" applyBorder="1" applyFill="1" applyFont="1">
      <alignment horizontal="left" readingOrder="0" shrinkToFit="0" vertical="top" wrapText="1"/>
    </xf>
    <xf borderId="1" fillId="3" fontId="95" numFmtId="0" xfId="0" applyAlignment="1" applyBorder="1" applyFill="1" applyFont="1">
      <alignment horizontal="left" readingOrder="0" shrinkToFit="0" vertical="top" wrapText="1"/>
    </xf>
    <xf borderId="0" fillId="12" fontId="4" numFmtId="1" xfId="0" applyAlignment="1" applyFill="1" applyFont="1" applyNumberFormat="1">
      <alignment horizontal="center" shrinkToFit="0" vertical="center" wrapText="1"/>
    </xf>
    <xf borderId="0" fillId="12" fontId="4" numFmtId="1" xfId="0" applyAlignment="1" applyFill="1" applyFont="1" applyNumberFormat="1">
      <alignment horizontal="left" readingOrder="0" vertical="top"/>
    </xf>
    <xf borderId="1" fillId="0" fontId="16" numFmtId="0" xfId="0" applyAlignment="1" applyBorder="1" applyFont="1">
      <alignment horizontal="left" shrinkToFit="0" vertical="bottom" wrapText="0"/>
    </xf>
    <xf borderId="1" fillId="12" fontId="4" numFmtId="1" xfId="0" applyAlignment="1" applyBorder="1" applyFill="1" applyFont="1" applyNumberFormat="1">
      <alignment horizontal="left" vertical="top"/>
    </xf>
    <xf borderId="1" fillId="12" fontId="23" numFmtId="0" xfId="0" applyAlignment="1" applyBorder="1" applyFill="1" applyFont="1">
      <alignment horizontal="left" readingOrder="0" shrinkToFit="0" vertical="top" wrapText="1"/>
    </xf>
    <xf borderId="1" fillId="3" fontId="5" numFmtId="1" xfId="0" applyAlignment="1" applyBorder="1" applyFill="1" applyFont="1" applyNumberFormat="1">
      <alignment horizontal="left" vertical="top"/>
    </xf>
    <xf borderId="1" fillId="3" fontId="5" numFmtId="0" xfId="0" applyAlignment="1" applyBorder="1" applyFill="1" applyFont="1">
      <alignment horizontal="left" readingOrder="0" shrinkToFit="0" vertical="top" wrapText="1"/>
    </xf>
    <xf borderId="1" fillId="3" fontId="14" numFmtId="0" xfId="0" applyAlignment="1" applyBorder="1" applyFill="1" applyFont="1">
      <alignment horizontal="left" readingOrder="0" shrinkToFit="0" vertical="top" wrapText="1"/>
    </xf>
    <xf borderId="0" fillId="5" fontId="4" numFmtId="1" xfId="0" applyAlignment="1" applyFill="1" applyFont="1" applyNumberFormat="1">
      <alignment horizontal="left" readingOrder="0" shrinkToFit="0" vertical="center" wrapText="1"/>
    </xf>
    <xf borderId="0" fillId="2" fontId="66" numFmtId="0" xfId="0" applyAlignment="1" applyFill="1" applyFont="1">
      <alignment horizontal="left" readingOrder="0" shrinkToFit="0" vertical="top" wrapText="1"/>
    </xf>
    <xf borderId="1" fillId="2" fontId="66" numFmtId="0" xfId="0" applyAlignment="1" applyBorder="1" applyFill="1" applyFont="1">
      <alignment horizontal="left" readingOrder="0" shrinkToFit="0" vertical="top" wrapText="1"/>
    </xf>
    <xf borderId="1" fillId="2" fontId="3" numFmtId="0" xfId="0" applyAlignment="1" applyBorder="1" applyFill="1" applyFont="1">
      <alignment horizontal="left" readingOrder="0" vertical="top"/>
    </xf>
    <xf borderId="1" fillId="2" fontId="5" numFmtId="0" xfId="0" applyAlignment="1" applyBorder="1" applyFill="1" applyFont="1">
      <alignment horizontal="left" readingOrder="0" vertical="top"/>
    </xf>
    <xf borderId="1" fillId="2" fontId="14" numFmtId="0" xfId="0" applyAlignment="1" applyBorder="1" applyFill="1" applyFont="1">
      <alignment horizontal="left" readingOrder="0" vertical="top"/>
    </xf>
    <xf borderId="0" fillId="2" fontId="60" numFmtId="0" xfId="0" applyAlignment="1" applyFill="1" applyFont="1">
      <alignment horizontal="left"/>
    </xf>
    <xf borderId="0" fillId="6" fontId="5" numFmtId="0" xfId="0" applyAlignment="1" applyFill="1" applyFont="1">
      <alignment horizontal="left" vertical="center"/>
    </xf>
    <xf borderId="0" fillId="2" fontId="5" numFmtId="1" xfId="0" applyAlignment="1" applyFill="1" applyFont="1" applyNumberFormat="1">
      <alignment horizontal="left" readingOrder="0" vertical="top"/>
    </xf>
    <xf borderId="1" fillId="16" fontId="5" numFmtId="1" xfId="0" applyAlignment="1" applyBorder="1" applyFill="1" applyFont="1" applyNumberFormat="1">
      <alignment horizontal="right" readingOrder="0" shrinkToFit="0" vertical="center" wrapText="1"/>
    </xf>
    <xf borderId="0" fillId="2" fontId="5" numFmtId="0" xfId="0" applyAlignment="1" applyFill="1" applyFont="1">
      <alignment horizontal="left" vertical="center"/>
    </xf>
    <xf borderId="1" fillId="15" fontId="4" numFmtId="0" xfId="0" applyAlignment="1" applyBorder="1" applyFill="1" applyFont="1">
      <alignment horizontal="right" readingOrder="0" vertical="center"/>
    </xf>
    <xf borderId="4" fillId="15" fontId="4" numFmtId="0" xfId="0" applyAlignment="1" applyBorder="1" applyFill="1" applyFont="1">
      <alignment horizontal="center" readingOrder="0" vertical="center"/>
    </xf>
    <xf borderId="0" fillId="3" fontId="5" numFmtId="1" xfId="0" applyAlignment="1" applyFill="1" applyFont="1" applyNumberFormat="1">
      <alignment horizontal="left" readingOrder="0" vertical="top"/>
    </xf>
    <xf borderId="1" fillId="15" fontId="5" numFmtId="0" xfId="0" applyAlignment="1" applyBorder="1" applyFill="1" applyFont="1">
      <alignment readingOrder="0" vertical="top"/>
    </xf>
    <xf borderId="1" fillId="15" fontId="5" numFmtId="0" xfId="0" applyAlignment="1" applyBorder="1" applyFill="1" applyFont="1">
      <alignment horizontal="center" vertical="top"/>
    </xf>
    <xf borderId="1" fillId="15" fontId="96" numFmtId="0" xfId="0" applyAlignment="1" applyBorder="1" applyFill="1" applyFont="1">
      <alignment horizontal="center" readingOrder="0" shrinkToFit="0" vertical="center" wrapText="1"/>
    </xf>
    <xf borderId="1" fillId="15" fontId="4" numFmtId="3" xfId="0" applyAlignment="1" applyBorder="1" applyFill="1" applyFont="1" applyNumberFormat="1">
      <alignment horizontal="center" shrinkToFit="0" vertical="center" wrapText="1"/>
    </xf>
    <xf borderId="1" fillId="0" fontId="23" numFmtId="0" xfId="0" applyAlignment="1" applyBorder="1" applyFont="1">
      <alignment readingOrder="0" shrinkToFit="0" vertical="top" wrapText="1"/>
    </xf>
    <xf borderId="1" fillId="0" fontId="7" numFmtId="0" xfId="0" applyAlignment="1" applyBorder="1" applyFont="1">
      <alignment horizontal="left" readingOrder="0" vertical="top"/>
    </xf>
    <xf borderId="0" fillId="3" fontId="5" numFmtId="0" xfId="0" applyAlignment="1" applyFill="1" applyFont="1">
      <alignment horizontal="left" readingOrder="0" shrinkToFit="0" vertical="top" wrapText="1"/>
    </xf>
    <xf borderId="1" fillId="12" fontId="4" numFmtId="1" xfId="0" applyAlignment="1" applyBorder="1" applyFill="1" applyFont="1" applyNumberFormat="1">
      <alignment horizontal="center" readingOrder="0" shrinkToFit="0" vertical="center" wrapText="1"/>
    </xf>
    <xf borderId="1" fillId="5" fontId="14" numFmtId="1" xfId="0" applyAlignment="1" applyBorder="1" applyFill="1" applyFont="1" applyNumberFormat="1">
      <alignment horizontal="left" readingOrder="0" shrinkToFit="0" vertical="top" wrapText="1"/>
    </xf>
    <xf borderId="1" fillId="12" fontId="4" numFmtId="0" xfId="0" applyAlignment="1" applyBorder="1" applyFill="1" applyFont="1">
      <alignment horizontal="center" shrinkToFit="0" vertical="center" wrapText="1"/>
    </xf>
    <xf borderId="0" fillId="26" fontId="5" numFmtId="1" xfId="0" applyAlignment="1" applyFill="1" applyFont="1" applyNumberFormat="1">
      <alignment horizontal="center" vertical="top"/>
    </xf>
    <xf borderId="0" fillId="26" fontId="5" numFmtId="1" xfId="0" applyAlignment="1" applyFill="1" applyFont="1" applyNumberFormat="1">
      <alignment horizontal="left" readingOrder="0" vertical="top"/>
    </xf>
    <xf borderId="0" fillId="3" fontId="5" numFmtId="0" xfId="0" applyAlignment="1" applyFill="1" applyFont="1">
      <alignment horizontal="center" readingOrder="0" shrinkToFit="0" vertical="center" wrapText="1"/>
    </xf>
    <xf borderId="1" fillId="3" fontId="4" numFmtId="1" xfId="0" applyAlignment="1" applyBorder="1" applyFill="1" applyFont="1" applyNumberFormat="1">
      <alignment horizontal="left" readingOrder="0" shrinkToFit="0" vertical="bottom" wrapText="0"/>
    </xf>
    <xf borderId="0" fillId="5" fontId="5" numFmtId="1" xfId="0" applyAlignment="1" applyFill="1" applyFont="1" applyNumberFormat="1">
      <alignment horizontal="left" shrinkToFit="0" vertical="center" wrapText="1"/>
    </xf>
    <xf borderId="1" fillId="0" fontId="16" numFmtId="0" xfId="0" applyAlignment="1" applyBorder="1" applyFont="1">
      <alignment horizontal="center"/>
    </xf>
    <xf borderId="1" fillId="0" fontId="16" numFmtId="0" xfId="0" applyBorder="1" applyFont="1"/>
    <xf borderId="0" fillId="3" fontId="5" numFmtId="1" xfId="0" applyAlignment="1" applyFill="1" applyFont="1" applyNumberFormat="1">
      <alignment horizontal="center" vertical="top"/>
    </xf>
    <xf borderId="0" fillId="3" fontId="5" numFmtId="1" xfId="0" applyAlignment="1" applyFill="1" applyFont="1" applyNumberFormat="1">
      <alignment horizontal="left" vertical="top"/>
    </xf>
    <xf borderId="0" fillId="6" fontId="5" numFmtId="0" xfId="0" applyAlignment="1" applyFill="1" applyFont="1">
      <alignment horizontal="right" vertical="center"/>
    </xf>
    <xf borderId="0" fillId="5" fontId="4" numFmtId="4" xfId="0" applyAlignment="1" applyFill="1" applyFont="1" applyNumberFormat="1">
      <alignment horizontal="center" readingOrder="0" shrinkToFit="0" vertical="center" wrapText="1"/>
    </xf>
    <xf borderId="1" fillId="16" fontId="4" numFmtId="0" xfId="0" applyAlignment="1" applyBorder="1" applyFill="1" applyFont="1">
      <alignment horizontal="right" readingOrder="0" vertical="center"/>
    </xf>
    <xf borderId="1" fillId="0" fontId="16" numFmtId="0" xfId="0" applyAlignment="1" applyBorder="1" applyFont="1">
      <alignment horizontal="right"/>
    </xf>
    <xf borderId="0" fillId="3" fontId="5" numFmtId="0" xfId="0" applyAlignment="1" applyFill="1" applyFont="1">
      <alignment horizontal="center" shrinkToFit="0" vertical="center" wrapText="1"/>
    </xf>
    <xf borderId="0" fillId="3" fontId="14" numFmtId="0" xfId="0" applyAlignment="1" applyFill="1" applyFont="1">
      <alignment horizontal="center" shrinkToFit="0" vertical="top" wrapText="1"/>
    </xf>
    <xf borderId="14" fillId="0" fontId="90" numFmtId="0" xfId="0" applyAlignment="1" applyBorder="1" applyFont="1">
      <alignment horizontal="right" readingOrder="0"/>
    </xf>
    <xf borderId="0" fillId="26" fontId="5" numFmtId="1" xfId="0" applyAlignment="1" applyFill="1" applyFont="1" applyNumberFormat="1">
      <alignment horizontal="left" vertical="top"/>
    </xf>
    <xf borderId="14" fillId="0" fontId="97" numFmtId="0" xfId="0" applyBorder="1" applyFont="1"/>
    <xf borderId="2" fillId="0" fontId="97" numFmtId="0" xfId="0" applyBorder="1" applyFont="1"/>
    <xf borderId="1" fillId="0" fontId="90" numFmtId="0" xfId="0" applyAlignment="1" applyBorder="1" applyFont="1">
      <alignment horizontal="right" readingOrder="0"/>
    </xf>
    <xf borderId="0" fillId="0" fontId="16" numFmtId="0" xfId="0" applyAlignment="1" applyFont="1">
      <alignment horizontal="center"/>
    </xf>
    <xf borderId="0" fillId="0" fontId="16" numFmtId="0" xfId="0" applyAlignment="1" applyFont="1">
      <alignment shrinkToFit="0" vertical="bottom" wrapText="0"/>
    </xf>
    <xf borderId="0" fillId="0" fontId="16" numFmtId="0" xfId="0" applyFont="1"/>
    <xf borderId="0" fillId="0" fontId="16" numFmtId="0" xfId="0" applyAlignment="1" applyFont="1">
      <alignment horizontal="left"/>
    </xf>
    <xf borderId="0" fillId="0" fontId="16" numFmtId="0" xfId="0" applyAlignment="1" applyFont="1">
      <alignment horizontal="right"/>
    </xf>
    <xf borderId="1" fillId="0" fontId="4" numFmtId="0" xfId="0" applyAlignment="1" applyBorder="1" applyFont="1">
      <alignment readingOrder="0"/>
    </xf>
    <xf borderId="1" fillId="0" fontId="4" numFmtId="0" xfId="0" applyAlignment="1" applyBorder="1" applyFont="1">
      <alignment horizontal="center" readingOrder="0"/>
    </xf>
    <xf borderId="0" fillId="27" fontId="5" numFmtId="4" xfId="0" applyAlignment="1" applyFill="1" applyFont="1" applyNumberFormat="1">
      <alignment horizontal="center" readingOrder="0" shrinkToFit="0" wrapText="1"/>
    </xf>
    <xf borderId="0" fillId="0" fontId="5" numFmtId="0" xfId="0" applyAlignment="1" applyFont="1">
      <alignment horizontal="center" vertical="bottom"/>
    </xf>
    <xf borderId="1" fillId="2" fontId="5" numFmtId="1" xfId="0" applyAlignment="1" applyBorder="1" applyFill="1" applyFont="1" applyNumberFormat="1">
      <alignment horizontal="right" readingOrder="0" shrinkToFit="0" vertical="center" wrapText="1"/>
    </xf>
    <xf borderId="2" fillId="2" fontId="4" numFmtId="1" xfId="0" applyAlignment="1" applyBorder="1" applyFill="1" applyFont="1" applyNumberFormat="1">
      <alignment horizontal="left" readingOrder="0"/>
    </xf>
    <xf borderId="1" fillId="2" fontId="4" numFmtId="1" xfId="0" applyAlignment="1" applyBorder="1" applyFill="1" applyFont="1" applyNumberFormat="1">
      <alignment horizontal="left" readingOrder="0"/>
    </xf>
    <xf borderId="1" fillId="2" fontId="4" numFmtId="1" xfId="0" applyAlignment="1" applyBorder="1" applyFill="1" applyFont="1" applyNumberFormat="1">
      <alignment horizontal="center" readingOrder="0"/>
    </xf>
    <xf borderId="0" fillId="29" fontId="16" numFmtId="0" xfId="0" applyAlignment="1" applyFill="1" applyFont="1">
      <alignment shrinkToFit="0" vertical="center" wrapText="0"/>
    </xf>
    <xf borderId="1" fillId="2" fontId="4" numFmtId="0" xfId="0" applyAlignment="1" applyBorder="1" applyFill="1" applyFont="1">
      <alignment horizontal="center"/>
    </xf>
    <xf borderId="0" fillId="29" fontId="16" numFmtId="0" xfId="0" applyAlignment="1" applyFill="1" applyFont="1">
      <alignment shrinkToFit="0" vertical="center" wrapText="0"/>
    </xf>
    <xf borderId="0" fillId="0" fontId="16" numFmtId="0" xfId="0" applyAlignment="1" applyFont="1">
      <alignment horizontal="left" shrinkToFit="0" wrapText="0"/>
    </xf>
    <xf borderId="0" fillId="29" fontId="16" numFmtId="168" xfId="0" applyAlignment="1" applyFill="1" applyFont="1" applyNumberFormat="1">
      <alignment horizontal="center" shrinkToFit="0" vertical="center" wrapText="0"/>
    </xf>
    <xf borderId="1" fillId="5" fontId="5" numFmtId="0" xfId="0" applyAlignment="1" applyBorder="1" applyFill="1" applyFont="1">
      <alignment horizontal="center" shrinkToFit="0" vertical="center" wrapText="1"/>
    </xf>
    <xf borderId="3" fillId="29" fontId="19" numFmtId="0" xfId="0" applyAlignment="1" applyBorder="1" applyFill="1" applyFont="1">
      <alignment horizontal="center" readingOrder="0" shrinkToFit="0" vertical="center" wrapText="0"/>
    </xf>
    <xf borderId="2" fillId="3" fontId="98" numFmtId="1" xfId="0" applyAlignment="1" applyBorder="1" applyFill="1" applyFont="1" applyNumberFormat="1">
      <alignment readingOrder="0"/>
    </xf>
    <xf borderId="1" fillId="3" fontId="98" numFmtId="1" xfId="0" applyAlignment="1" applyBorder="1" applyFill="1" applyFont="1" applyNumberFormat="1">
      <alignment readingOrder="0"/>
    </xf>
    <xf borderId="0" fillId="29" fontId="21" numFmtId="0" xfId="0" applyAlignment="1" applyFill="1" applyFont="1">
      <alignment readingOrder="0" shrinkToFit="0" vertical="center" wrapText="0"/>
    </xf>
    <xf borderId="0" fillId="29" fontId="3" numFmtId="1" xfId="0" applyAlignment="1" applyFill="1" applyFont="1" applyNumberFormat="1">
      <alignment readingOrder="0" shrinkToFit="0" vertical="center" wrapText="0"/>
    </xf>
    <xf borderId="0" fillId="29" fontId="23" numFmtId="0" xfId="0" applyAlignment="1" applyFill="1" applyFont="1">
      <alignment shrinkToFit="0" vertical="center" wrapText="0"/>
    </xf>
    <xf borderId="0" fillId="29" fontId="3" numFmtId="0" xfId="0" applyAlignment="1" applyFill="1" applyFont="1">
      <alignment shrinkToFit="0" vertical="center" wrapText="0"/>
    </xf>
    <xf borderId="0" fillId="0" fontId="16" numFmtId="0" xfId="0" applyAlignment="1" applyFont="1">
      <alignment horizontal="left" shrinkToFit="0" vertical="bottom" wrapText="0"/>
    </xf>
    <xf borderId="0" fillId="0" fontId="99" numFmtId="0" xfId="0" applyAlignment="1" applyFont="1">
      <alignment shrinkToFit="0" vertical="bottom" wrapText="0"/>
    </xf>
    <xf borderId="1" fillId="21" fontId="5" numFmtId="1" xfId="0" applyAlignment="1" applyBorder="1" applyFill="1" applyFont="1" applyNumberFormat="1">
      <alignment horizontal="right" readingOrder="0" shrinkToFit="0" vertical="center" wrapText="1"/>
    </xf>
    <xf borderId="4" fillId="21" fontId="5" numFmtId="1" xfId="0" applyAlignment="1" applyBorder="1" applyFill="1" applyFont="1" applyNumberFormat="1">
      <alignment horizontal="center" readingOrder="0" shrinkToFit="0" vertical="center" wrapText="1"/>
    </xf>
    <xf borderId="2" fillId="21" fontId="5" numFmtId="1" xfId="0" applyAlignment="1" applyBorder="1" applyFill="1" applyFont="1" applyNumberFormat="1">
      <alignment horizontal="left" readingOrder="0" shrinkToFit="0" vertical="center" wrapText="1"/>
    </xf>
    <xf borderId="1" fillId="21" fontId="5" numFmtId="1" xfId="0" applyAlignment="1" applyBorder="1" applyFill="1" applyFont="1" applyNumberFormat="1">
      <alignment horizontal="left" readingOrder="0" shrinkToFit="0" vertical="center" wrapText="1"/>
    </xf>
    <xf borderId="1" fillId="21" fontId="5" numFmtId="1" xfId="0" applyAlignment="1" applyBorder="1" applyFill="1" applyFont="1" applyNumberFormat="1">
      <alignment horizontal="center" readingOrder="0" shrinkToFit="0" vertical="center" wrapText="1"/>
    </xf>
    <xf borderId="1" fillId="0" fontId="5" numFmtId="0" xfId="0" applyAlignment="1" applyBorder="1" applyFont="1">
      <alignment horizontal="center" vertical="top"/>
    </xf>
    <xf borderId="1" fillId="18" fontId="5" numFmtId="1" xfId="0" applyAlignment="1" applyBorder="1" applyFill="1" applyFont="1" applyNumberFormat="1">
      <alignment horizontal="right" shrinkToFit="0" vertical="center" wrapText="1"/>
    </xf>
    <xf borderId="2" fillId="5" fontId="5" numFmtId="0" xfId="0" applyAlignment="1" applyBorder="1" applyFill="1" applyFont="1">
      <alignment horizontal="left" shrinkToFit="0" vertical="center" wrapText="1"/>
    </xf>
    <xf borderId="1" fillId="5" fontId="5" numFmtId="0" xfId="0" applyAlignment="1" applyBorder="1" applyFill="1" applyFont="1">
      <alignment horizontal="left" shrinkToFit="0" vertical="center" wrapText="1"/>
    </xf>
    <xf borderId="1" fillId="3" fontId="4" numFmtId="0" xfId="0" applyAlignment="1" applyBorder="1" applyFill="1" applyFont="1">
      <alignment horizontal="center" shrinkToFit="0" vertical="center" wrapText="1"/>
    </xf>
    <xf borderId="1" fillId="3" fontId="4" numFmtId="0" xfId="0" applyAlignment="1" applyBorder="1" applyFill="1" applyFont="1">
      <alignment horizontal="center" shrinkToFit="0" vertical="center" wrapText="1"/>
    </xf>
    <xf borderId="1" fillId="3" fontId="5" numFmtId="0" xfId="0" applyAlignment="1" applyBorder="1" applyFill="1" applyFont="1">
      <alignment horizontal="right" vertical="center"/>
    </xf>
    <xf borderId="4" fillId="3" fontId="5" numFmtId="0" xfId="0" applyAlignment="1" applyBorder="1" applyFill="1" applyFont="1">
      <alignment horizontal="center" vertical="center"/>
    </xf>
    <xf borderId="2" fillId="3" fontId="60" numFmtId="0" xfId="0" applyAlignment="1" applyBorder="1" applyFill="1" applyFont="1">
      <alignment horizontal="left"/>
    </xf>
    <xf borderId="1" fillId="3" fontId="60" numFmtId="0" xfId="0" applyAlignment="1" applyBorder="1" applyFill="1" applyFont="1">
      <alignment horizontal="left"/>
    </xf>
    <xf borderId="1" fillId="3" fontId="5" numFmtId="0" xfId="0" applyAlignment="1" applyBorder="1" applyFill="1" applyFont="1">
      <alignment horizontal="center" vertical="center"/>
    </xf>
    <xf borderId="1" fillId="21" fontId="5" numFmtId="1" xfId="0" applyAlignment="1" applyBorder="1" applyFill="1" applyFont="1" applyNumberFormat="1">
      <alignment horizontal="right" shrinkToFit="0" vertical="center" wrapText="1"/>
    </xf>
    <xf borderId="4" fillId="21" fontId="5" numFmtId="1" xfId="0" applyAlignment="1" applyBorder="1" applyFill="1" applyFont="1" applyNumberFormat="1">
      <alignment horizontal="center" shrinkToFit="0" vertical="center" wrapText="1"/>
    </xf>
    <xf borderId="2" fillId="21" fontId="5" numFmtId="1" xfId="0" applyAlignment="1" applyBorder="1" applyFill="1" applyFont="1" applyNumberFormat="1">
      <alignment horizontal="left" shrinkToFit="0" vertical="center" wrapText="1"/>
    </xf>
    <xf borderId="1" fillId="21" fontId="5" numFmtId="1" xfId="0" applyAlignment="1" applyBorder="1" applyFill="1" applyFont="1" applyNumberFormat="1">
      <alignment horizontal="left" shrinkToFit="0" vertical="center" wrapText="1"/>
    </xf>
    <xf borderId="1" fillId="21" fontId="5" numFmtId="1" xfId="0" applyAlignment="1" applyBorder="1" applyFill="1" applyFont="1" applyNumberFormat="1">
      <alignment horizontal="center" shrinkToFit="0" vertical="center" wrapText="1"/>
    </xf>
    <xf borderId="2" fillId="5" fontId="3" numFmtId="0" xfId="0" applyBorder="1" applyFill="1" applyFont="1"/>
    <xf borderId="1" fillId="5" fontId="3" numFmtId="0" xfId="0" applyBorder="1" applyFill="1" applyFont="1"/>
    <xf borderId="1" fillId="5" fontId="100" numFmtId="0" xfId="0" applyAlignment="1" applyBorder="1" applyFill="1" applyFont="1">
      <alignment horizontal="center" readingOrder="0" shrinkToFit="0" vertical="center" wrapText="1"/>
    </xf>
    <xf borderId="0" fillId="2" fontId="4" numFmtId="0" xfId="0" applyAlignment="1" applyFill="1" applyFont="1">
      <alignment horizontal="left" readingOrder="0" shrinkToFit="0" vertical="center" wrapText="1"/>
    </xf>
    <xf borderId="1" fillId="2" fontId="4" numFmtId="0" xfId="0" applyAlignment="1" applyBorder="1" applyFill="1" applyFont="1">
      <alignment horizontal="center" readingOrder="0"/>
    </xf>
    <xf borderId="1" fillId="2" fontId="5" numFmtId="1" xfId="0" applyAlignment="1" applyBorder="1" applyFill="1" applyFont="1" applyNumberFormat="1">
      <alignment horizontal="left" readingOrder="0" vertical="bottom"/>
    </xf>
    <xf borderId="1" fillId="2" fontId="5" numFmtId="0" xfId="0" applyAlignment="1" applyBorder="1" applyFill="1" applyFont="1">
      <alignment horizontal="center" shrinkToFit="0" vertical="center" wrapText="1"/>
    </xf>
    <xf borderId="4" fillId="2" fontId="5" numFmtId="1" xfId="0" applyAlignment="1" applyBorder="1" applyFill="1" applyFont="1" applyNumberFormat="1">
      <alignment horizontal="center" shrinkToFit="0" vertical="center" wrapText="1"/>
    </xf>
    <xf borderId="2" fillId="2" fontId="5" numFmtId="1" xfId="0" applyAlignment="1" applyBorder="1" applyFill="1" applyFont="1" applyNumberFormat="1">
      <alignment horizontal="left" shrinkToFit="0" vertical="center" wrapText="1"/>
    </xf>
    <xf borderId="1" fillId="2" fontId="5" numFmtId="1" xfId="0" applyAlignment="1" applyBorder="1" applyFill="1" applyFont="1" applyNumberFormat="1">
      <alignment horizontal="left" shrinkToFit="0" vertical="center" wrapText="1"/>
    </xf>
    <xf borderId="1" fillId="2" fontId="4" numFmtId="1" xfId="0" applyAlignment="1" applyBorder="1" applyFill="1" applyFont="1" applyNumberFormat="1">
      <alignment horizontal="left" readingOrder="0" vertical="top"/>
    </xf>
    <xf borderId="0" fillId="3" fontId="3" numFmtId="0" xfId="0" applyFill="1" applyFont="1"/>
    <xf borderId="1" fillId="2" fontId="4" numFmtId="1" xfId="0" applyAlignment="1" applyBorder="1" applyFill="1" applyFont="1" applyNumberFormat="1">
      <alignment horizontal="right"/>
    </xf>
    <xf borderId="4" fillId="2" fontId="4" numFmtId="1" xfId="0" applyAlignment="1" applyBorder="1" applyFill="1" applyFont="1" applyNumberFormat="1">
      <alignment readingOrder="0"/>
    </xf>
    <xf borderId="1" fillId="2" fontId="4" numFmtId="0" xfId="0" applyAlignment="1" applyBorder="1" applyFill="1" applyFont="1">
      <alignment horizontal="center" shrinkToFit="0" vertical="center" wrapText="1"/>
    </xf>
    <xf borderId="1" fillId="2" fontId="101" numFmtId="0" xfId="0" applyAlignment="1" applyBorder="1" applyFill="1" applyFont="1">
      <alignment horizontal="center" readingOrder="0" shrinkToFit="0" vertical="center" wrapText="1"/>
    </xf>
    <xf borderId="1" fillId="3" fontId="5" numFmtId="0" xfId="0" applyAlignment="1" applyBorder="1" applyFill="1" applyFont="1">
      <alignment shrinkToFit="0" vertical="top" wrapText="1"/>
    </xf>
    <xf borderId="1" fillId="3" fontId="102" numFmtId="49" xfId="0" applyAlignment="1" applyBorder="1" applyFill="1" applyFont="1" applyNumberFormat="1">
      <alignment horizontal="left" readingOrder="0" shrinkToFit="0" vertical="top" wrapText="1"/>
    </xf>
    <xf borderId="1" fillId="3" fontId="99" numFmtId="49" xfId="0" applyAlignment="1" applyBorder="1" applyFill="1" applyFont="1" applyNumberFormat="1">
      <alignment horizontal="left" readingOrder="0" shrinkToFit="0" vertical="top" wrapText="1"/>
    </xf>
    <xf borderId="1" fillId="3" fontId="103" numFmtId="0" xfId="0" applyAlignment="1" applyBorder="1" applyFill="1" applyFont="1">
      <alignment horizontal="left" readingOrder="0" shrinkToFit="0" vertical="top" wrapText="1"/>
    </xf>
    <xf borderId="1" fillId="3" fontId="99" numFmtId="0" xfId="0" applyAlignment="1" applyBorder="1" applyFill="1" applyFont="1">
      <alignment horizontal="left" readingOrder="0" shrinkToFit="0" vertical="top" wrapText="1"/>
    </xf>
    <xf borderId="1" fillId="3" fontId="99" numFmtId="1" xfId="0" applyAlignment="1" applyBorder="1" applyFill="1" applyFont="1" applyNumberFormat="1">
      <alignment horizontal="left" readingOrder="0" shrinkToFit="0" vertical="top" wrapText="1"/>
    </xf>
    <xf borderId="1" fillId="3" fontId="104" numFmtId="0" xfId="0" applyAlignment="1" applyBorder="1" applyFill="1" applyFont="1">
      <alignment horizontal="left" readingOrder="0" shrinkToFit="0" vertical="top" wrapText="1"/>
    </xf>
    <xf borderId="1" fillId="2" fontId="105" numFmtId="0" xfId="0" applyAlignment="1" applyBorder="1" applyFill="1" applyFont="1">
      <alignment horizontal="center" readingOrder="0" shrinkToFit="0" vertical="center" wrapText="1"/>
    </xf>
    <xf borderId="1" fillId="3" fontId="106" numFmtId="49" xfId="0" applyAlignment="1" applyBorder="1" applyFill="1" applyFont="1" applyNumberFormat="1">
      <alignment horizontal="left" readingOrder="0" shrinkToFit="0" vertical="top" wrapText="1"/>
    </xf>
    <xf borderId="1" fillId="2" fontId="4" numFmtId="3" xfId="0" applyAlignment="1" applyBorder="1" applyFill="1" applyFont="1" applyNumberFormat="1">
      <alignment horizontal="center" readingOrder="0" shrinkToFit="0" vertical="center" wrapText="1"/>
    </xf>
    <xf borderId="1" fillId="3" fontId="104" numFmtId="0" xfId="0" applyAlignment="1" applyBorder="1" applyFill="1" applyFont="1">
      <alignment horizontal="left" readingOrder="0" shrinkToFit="0" vertical="top" wrapText="1"/>
    </xf>
    <xf borderId="0" fillId="3" fontId="3" numFmtId="0" xfId="0" applyAlignment="1" applyFill="1" applyFont="1">
      <alignment horizontal="left" shrinkToFit="0" vertical="top" wrapText="1"/>
    </xf>
    <xf borderId="1" fillId="3" fontId="107" numFmtId="1" xfId="0" applyAlignment="1" applyBorder="1" applyFill="1" applyFont="1" applyNumberFormat="1">
      <alignment horizontal="left" readingOrder="0" shrinkToFit="0" vertical="top" wrapText="1"/>
    </xf>
    <xf borderId="1" fillId="2" fontId="4" numFmtId="0" xfId="0" applyAlignment="1" applyBorder="1" applyFill="1" applyFont="1">
      <alignment horizontal="right" readingOrder="0" vertical="center"/>
    </xf>
    <xf borderId="1" fillId="3" fontId="107" numFmtId="0" xfId="0" applyAlignment="1" applyBorder="1" applyFill="1" applyFont="1">
      <alignment horizontal="left" readingOrder="0" shrinkToFit="0" vertical="top" wrapText="1"/>
    </xf>
    <xf borderId="4" fillId="2" fontId="4" numFmtId="0" xfId="0" applyAlignment="1" applyBorder="1" applyFill="1" applyFont="1">
      <alignment horizontal="center" readingOrder="0" vertical="center"/>
    </xf>
    <xf borderId="1" fillId="3" fontId="107" numFmtId="169" xfId="0" applyAlignment="1" applyBorder="1" applyFill="1" applyFont="1" applyNumberFormat="1">
      <alignment horizontal="left" shrinkToFit="0" vertical="top" wrapText="1"/>
    </xf>
    <xf borderId="1" fillId="3" fontId="107" numFmtId="0" xfId="0" applyAlignment="1" applyBorder="1" applyFill="1" applyFont="1">
      <alignment horizontal="left" shrinkToFit="0" vertical="top" wrapText="1"/>
    </xf>
    <xf borderId="1" fillId="3" fontId="107" numFmtId="0" xfId="0" applyAlignment="1" applyBorder="1" applyFill="1" applyFont="1">
      <alignment horizontal="left" shrinkToFit="0" vertical="top" wrapText="1"/>
    </xf>
    <xf borderId="1" fillId="3" fontId="6" numFmtId="0" xfId="0" applyAlignment="1" applyBorder="1" applyFill="1" applyFont="1">
      <alignment readingOrder="0" shrinkToFit="0" vertical="bottom" wrapText="1"/>
    </xf>
    <xf borderId="1" fillId="3" fontId="108" numFmtId="0" xfId="0" applyAlignment="1" applyBorder="1" applyFill="1" applyFont="1">
      <alignment horizontal="left" readingOrder="0" shrinkToFit="0" vertical="top" wrapText="1"/>
    </xf>
    <xf borderId="1" fillId="3" fontId="107" numFmtId="1" xfId="0" applyAlignment="1" applyBorder="1" applyFill="1" applyFont="1" applyNumberFormat="1">
      <alignment horizontal="left" shrinkToFit="0" vertical="top" wrapText="1"/>
    </xf>
    <xf borderId="1" fillId="3" fontId="107" numFmtId="0" xfId="0" applyAlignment="1" applyBorder="1" applyFill="1" applyFont="1">
      <alignment horizontal="left" shrinkToFit="0" vertical="top" wrapText="1"/>
    </xf>
    <xf borderId="1" fillId="3" fontId="109" numFmtId="0" xfId="0" applyAlignment="1" applyBorder="1" applyFill="1" applyFont="1">
      <alignment horizontal="left" readingOrder="0" shrinkToFit="0" vertical="top" wrapText="1"/>
    </xf>
    <xf borderId="1" fillId="2" fontId="110" numFmtId="0" xfId="0" applyAlignment="1" applyBorder="1" applyFill="1" applyFont="1">
      <alignment horizontal="center" readingOrder="0" shrinkToFit="0" vertical="center" wrapText="1"/>
    </xf>
    <xf borderId="1" fillId="3" fontId="111" numFmtId="0" xfId="0" applyAlignment="1" applyBorder="1" applyFill="1" applyFont="1">
      <alignment horizontal="left" shrinkToFit="0" vertical="top" wrapText="1"/>
    </xf>
    <xf borderId="1" fillId="3" fontId="7" numFmtId="1" xfId="0" applyAlignment="1" applyBorder="1" applyFill="1" applyFont="1" applyNumberFormat="1">
      <alignment horizontal="left" readingOrder="0" shrinkToFit="0" vertical="top" wrapText="1"/>
    </xf>
    <xf borderId="1" fillId="3" fontId="5" numFmtId="169" xfId="0" applyAlignment="1" applyBorder="1" applyFill="1" applyFont="1" applyNumberFormat="1">
      <alignment horizontal="left" shrinkToFit="0" vertical="top" wrapText="1"/>
    </xf>
    <xf borderId="1" fillId="3" fontId="5" numFmtId="0" xfId="0" applyAlignment="1" applyBorder="1" applyFill="1" applyFont="1">
      <alignment horizontal="left" shrinkToFit="0" vertical="top" wrapText="1"/>
    </xf>
    <xf borderId="1" fillId="3" fontId="5" numFmtId="0" xfId="0" applyAlignment="1" applyBorder="1" applyFill="1" applyFont="1">
      <alignment horizontal="left" shrinkToFit="0" vertical="top" wrapText="1"/>
    </xf>
    <xf borderId="1" fillId="3" fontId="112" numFmtId="0" xfId="0" applyAlignment="1" applyBorder="1" applyFill="1" applyFont="1">
      <alignment horizontal="left" shrinkToFit="0" vertical="top" wrapText="1"/>
    </xf>
    <xf borderId="1" fillId="3" fontId="113" numFmtId="0" xfId="0" applyAlignment="1" applyBorder="1" applyFill="1" applyFont="1">
      <alignment horizontal="left" readingOrder="0" shrinkToFit="0" vertical="top" wrapText="1"/>
    </xf>
    <xf borderId="1" fillId="26" fontId="4" numFmtId="0" xfId="0" applyAlignment="1" applyBorder="1" applyFill="1" applyFont="1">
      <alignment horizontal="center" shrinkToFit="0" vertical="center" wrapText="1"/>
    </xf>
    <xf borderId="1" fillId="3" fontId="114" numFmtId="0" xfId="0" applyAlignment="1" applyBorder="1" applyFill="1" applyFont="1">
      <alignment horizontal="left" readingOrder="0" shrinkToFit="0" vertical="top" wrapText="1"/>
    </xf>
    <xf borderId="1" fillId="0" fontId="5" numFmtId="0" xfId="0" applyAlignment="1" applyBorder="1" applyFont="1">
      <alignment horizontal="center" vertical="bottom"/>
    </xf>
    <xf borderId="1" fillId="3" fontId="115" numFmtId="0" xfId="0" applyAlignment="1" applyBorder="1" applyFill="1" applyFont="1">
      <alignment horizontal="left" readingOrder="0" shrinkToFit="0" vertical="top" wrapText="1"/>
    </xf>
    <xf borderId="1" fillId="2" fontId="4" numFmtId="0" xfId="0" applyAlignment="1" applyBorder="1" applyFill="1" applyFont="1">
      <alignment horizontal="left" readingOrder="0" shrinkToFit="0" wrapText="1"/>
    </xf>
    <xf borderId="1" fillId="3" fontId="7" numFmtId="0" xfId="0" applyAlignment="1" applyBorder="1" applyFill="1" applyFont="1">
      <alignment horizontal="left" shrinkToFit="0" vertical="top" wrapText="1"/>
    </xf>
    <xf borderId="0" fillId="12" fontId="5" numFmtId="1" xfId="0" applyAlignment="1" applyFill="1" applyFont="1" applyNumberFormat="1">
      <alignment horizontal="left" readingOrder="0" shrinkToFit="0" vertical="center" wrapText="1"/>
    </xf>
    <xf borderId="1" fillId="12" fontId="4" numFmtId="0" xfId="0" applyAlignment="1" applyBorder="1" applyFill="1" applyFont="1">
      <alignment readingOrder="0"/>
    </xf>
    <xf borderId="1" fillId="3" fontId="116" numFmtId="0" xfId="0" applyAlignment="1" applyBorder="1" applyFill="1" applyFont="1">
      <alignment horizontal="left" readingOrder="0" shrinkToFit="0" vertical="top" wrapText="1"/>
    </xf>
    <xf borderId="1" fillId="3" fontId="4" numFmtId="1" xfId="0" applyAlignment="1" applyBorder="1" applyFill="1" applyFont="1" applyNumberFormat="1">
      <alignment horizontal="left" readingOrder="0" shrinkToFit="0" vertical="top" wrapText="1"/>
    </xf>
    <xf borderId="1" fillId="3" fontId="4" numFmtId="0" xfId="0" applyAlignment="1" applyBorder="1" applyFill="1" applyFont="1">
      <alignment horizontal="left" readingOrder="0" shrinkToFit="0" vertical="top" wrapText="1"/>
    </xf>
    <xf borderId="1" fillId="3" fontId="115" numFmtId="3" xfId="0" applyAlignment="1" applyBorder="1" applyFill="1" applyFont="1" applyNumberFormat="1">
      <alignment horizontal="left" readingOrder="0" shrinkToFit="0" vertical="top" wrapText="1"/>
    </xf>
    <xf borderId="1" fillId="3" fontId="66" numFmtId="0" xfId="0" applyAlignment="1" applyBorder="1" applyFill="1" applyFont="1">
      <alignment readingOrder="0" shrinkToFit="0" vertical="top" wrapText="1"/>
    </xf>
    <xf borderId="1" fillId="3" fontId="4" numFmtId="0" xfId="0" applyAlignment="1" applyBorder="1" applyFill="1" applyFont="1">
      <alignment horizontal="left" shrinkToFit="0" vertical="top" wrapText="1"/>
    </xf>
    <xf borderId="1" fillId="3" fontId="51" numFmtId="0" xfId="0" applyAlignment="1" applyBorder="1" applyFill="1" applyFont="1">
      <alignment horizontal="left" shrinkToFit="0" vertical="top" wrapText="1"/>
    </xf>
    <xf borderId="1" fillId="2" fontId="5" numFmtId="0" xfId="0" applyAlignment="1" applyBorder="1" applyFill="1" applyFont="1">
      <alignment horizontal="center" vertical="top"/>
    </xf>
    <xf borderId="1" fillId="3" fontId="117" numFmtId="0" xfId="0" applyAlignment="1" applyBorder="1" applyFill="1" applyFont="1">
      <alignment horizontal="left" readingOrder="0" shrinkToFit="0" vertical="top" wrapText="1"/>
    </xf>
    <xf borderId="1" fillId="3" fontId="118" numFmtId="0" xfId="0" applyAlignment="1" applyBorder="1" applyFill="1" applyFont="1">
      <alignment horizontal="center" readingOrder="0" shrinkToFit="0" vertical="center" wrapText="1"/>
    </xf>
    <xf borderId="1" fillId="5" fontId="82" numFmtId="0" xfId="0" applyAlignment="1" applyBorder="1" applyFill="1" applyFont="1">
      <alignment horizontal="center" readingOrder="0" shrinkToFit="0" vertical="center" wrapText="1"/>
    </xf>
    <xf borderId="1" fillId="5" fontId="82" numFmtId="0" xfId="0" applyAlignment="1" applyBorder="1" applyFill="1" applyFont="1">
      <alignment horizontal="center" shrinkToFit="0" vertical="center" wrapText="1"/>
    </xf>
    <xf borderId="0" fillId="3" fontId="5" numFmtId="0" xfId="0" applyAlignment="1" applyFill="1" applyFont="1">
      <alignment horizontal="center" shrinkToFit="0" vertical="center" wrapText="1"/>
    </xf>
    <xf borderId="0" fillId="0" fontId="3" numFmtId="0" xfId="0" applyAlignment="1" applyFont="1">
      <alignment readingOrder="0" shrinkToFit="0" wrapText="1"/>
    </xf>
    <xf borderId="0" fillId="5" fontId="5" numFmtId="0" xfId="0" applyAlignment="1" applyFill="1" applyFont="1">
      <alignment horizontal="left" readingOrder="0" shrinkToFit="0" vertical="top" wrapText="1"/>
    </xf>
    <xf borderId="1" fillId="12" fontId="5" numFmtId="0" xfId="0" applyAlignment="1" applyBorder="1" applyFill="1" applyFont="1">
      <alignment horizontal="left" shrinkToFit="0" vertical="center" wrapText="1"/>
    </xf>
    <xf borderId="1" fillId="3" fontId="5" numFmtId="169" xfId="0" applyAlignment="1" applyBorder="1" applyFill="1" applyFont="1" applyNumberFormat="1">
      <alignment horizontal="left" readingOrder="0" shrinkToFit="0" vertical="top" wrapText="1"/>
    </xf>
    <xf borderId="1" fillId="3" fontId="23" numFmtId="0" xfId="0" applyAlignment="1" applyBorder="1" applyFill="1" applyFont="1">
      <alignment horizontal="left" readingOrder="0" shrinkToFit="0" vertical="top" wrapText="1"/>
    </xf>
    <xf borderId="1" fillId="2" fontId="4" numFmtId="0" xfId="0" applyAlignment="1" applyBorder="1" applyFill="1" applyFont="1">
      <alignment readingOrder="0"/>
    </xf>
    <xf borderId="1" fillId="3" fontId="4" numFmtId="0" xfId="0" applyAlignment="1" applyBorder="1" applyFill="1" applyFont="1">
      <alignment horizontal="center" shrinkToFit="0" vertical="center" wrapText="1"/>
    </xf>
    <xf borderId="1" fillId="3" fontId="7" numFmtId="0" xfId="0" applyAlignment="1" applyBorder="1" applyFill="1" applyFont="1">
      <alignment horizontal="left" shrinkToFit="0" vertical="top" wrapText="1"/>
    </xf>
    <xf borderId="1" fillId="24" fontId="5" numFmtId="0" xfId="0" applyAlignment="1" applyBorder="1" applyFill="1" applyFont="1">
      <alignment horizontal="center" readingOrder="0" vertical="bottom"/>
    </xf>
    <xf borderId="1" fillId="3" fontId="119" numFmtId="0" xfId="0" applyAlignment="1" applyBorder="1" applyFill="1" applyFont="1">
      <alignment horizontal="left" readingOrder="0" shrinkToFit="0" vertical="top" wrapText="1"/>
    </xf>
    <xf borderId="1" fillId="16" fontId="4" numFmtId="1" xfId="0" applyAlignment="1" applyBorder="1" applyFill="1" applyFont="1" applyNumberFormat="1">
      <alignment horizontal="right" readingOrder="0" shrinkToFit="0" vertical="center" wrapText="1"/>
    </xf>
    <xf borderId="1" fillId="5" fontId="4" numFmtId="1" xfId="0" applyAlignment="1" applyBorder="1" applyFill="1" applyFont="1" applyNumberFormat="1">
      <alignment horizontal="right" readingOrder="0" shrinkToFit="0" vertical="center" wrapText="1"/>
    </xf>
    <xf borderId="0" fillId="12" fontId="5" numFmtId="1" xfId="0" applyAlignment="1" applyFill="1" applyFont="1" applyNumberFormat="1">
      <alignment horizontal="left" shrinkToFit="0" vertical="center" wrapText="1"/>
    </xf>
    <xf borderId="1" fillId="2" fontId="5" numFmtId="0" xfId="0" applyAlignment="1" applyBorder="1" applyFill="1" applyFont="1">
      <alignment horizontal="left" vertical="top"/>
    </xf>
    <xf borderId="1" fillId="2" fontId="5" numFmtId="1" xfId="0" applyAlignment="1" applyBorder="1" applyFill="1" applyFont="1" applyNumberFormat="1">
      <alignment horizontal="right" vertical="center"/>
    </xf>
    <xf borderId="1" fillId="2" fontId="5" numFmtId="1" xfId="0" applyAlignment="1" applyBorder="1" applyFill="1" applyFont="1" applyNumberFormat="1">
      <alignment horizontal="center" vertical="center"/>
    </xf>
    <xf borderId="1" fillId="3" fontId="16" numFmtId="0" xfId="0" applyAlignment="1" applyBorder="1" applyFill="1" applyFont="1">
      <alignment horizontal="left" readingOrder="0" shrinkToFit="0" vertical="top" wrapText="1"/>
    </xf>
    <xf borderId="0" fillId="5" fontId="120" numFmtId="0" xfId="0" applyAlignment="1" applyFill="1" applyFont="1">
      <alignment horizontal="center" readingOrder="0" shrinkToFit="0" vertical="center" wrapText="1"/>
    </xf>
    <xf borderId="0" fillId="5" fontId="4" numFmtId="3" xfId="0" applyAlignment="1" applyFill="1" applyFont="1" applyNumberFormat="1">
      <alignment horizontal="center" readingOrder="0" shrinkToFit="0" vertical="center" wrapText="1"/>
    </xf>
    <xf borderId="0" fillId="0" fontId="16" numFmtId="165" xfId="0" applyAlignment="1" applyFont="1" applyNumberFormat="1">
      <alignment horizontal="center" readingOrder="0" shrinkToFit="0" vertical="center" wrapText="0"/>
    </xf>
    <xf borderId="3" fillId="0" fontId="21" numFmtId="0" xfId="0" applyAlignment="1" applyBorder="1" applyFont="1">
      <alignment readingOrder="0" shrinkToFit="0" vertical="center" wrapText="0"/>
    </xf>
    <xf borderId="1" fillId="26" fontId="4" numFmtId="0" xfId="0" applyAlignment="1" applyBorder="1" applyFill="1" applyFont="1">
      <alignment horizontal="center" readingOrder="0" shrinkToFit="0" vertical="center" wrapText="1"/>
    </xf>
    <xf borderId="1" fillId="18" fontId="4" numFmtId="0" xfId="0" applyAlignment="1" applyBorder="1" applyFill="1" applyFont="1">
      <alignment horizontal="right" readingOrder="0" vertical="center"/>
    </xf>
    <xf borderId="1" fillId="3" fontId="5" numFmtId="0" xfId="0" applyAlignment="1" applyBorder="1" applyFill="1" applyFont="1">
      <alignment horizontal="left" shrinkToFit="0" vertical="top" wrapText="1"/>
    </xf>
    <xf borderId="0" fillId="3" fontId="5" numFmtId="0" xfId="0" applyAlignment="1" applyFill="1" applyFont="1">
      <alignment horizontal="center" readingOrder="0"/>
    </xf>
    <xf borderId="1" fillId="3" fontId="115" numFmtId="0" xfId="0" applyAlignment="1" applyBorder="1" applyFill="1" applyFont="1">
      <alignment horizontal="left" shrinkToFit="0" vertical="top" wrapText="1"/>
    </xf>
    <xf borderId="1" fillId="3" fontId="16" numFmtId="0" xfId="0" applyAlignment="1" applyBorder="1" applyFill="1" applyFont="1">
      <alignment horizontal="left" shrinkToFit="0" vertical="top" wrapText="1"/>
    </xf>
    <xf borderId="0" fillId="9" fontId="5" numFmtId="1" xfId="0" applyAlignment="1" applyFill="1" applyFont="1" applyNumberFormat="1">
      <alignment horizontal="left" vertical="top"/>
    </xf>
    <xf borderId="0" fillId="3" fontId="4" numFmtId="0" xfId="0" applyAlignment="1" applyFill="1" applyFont="1">
      <alignment horizontal="center" readingOrder="0" shrinkToFit="0" vertical="center" wrapText="1"/>
    </xf>
    <xf borderId="0" fillId="26" fontId="4" numFmtId="0" xfId="0" applyAlignment="1" applyFill="1" applyFont="1">
      <alignment horizontal="center" readingOrder="0" shrinkToFit="0" vertical="center" wrapText="1"/>
    </xf>
    <xf borderId="0" fillId="0" fontId="5" numFmtId="0" xfId="0" applyAlignment="1" applyFont="1">
      <alignment horizontal="right" readingOrder="0" vertical="center"/>
    </xf>
    <xf borderId="0" fillId="0" fontId="5" numFmtId="0" xfId="0" applyAlignment="1" applyFont="1">
      <alignment horizontal="right" vertical="center"/>
    </xf>
    <xf borderId="0" fillId="0" fontId="5" numFmtId="0" xfId="0" applyAlignment="1" applyFont="1">
      <alignment horizontal="center" readingOrder="0" vertical="center"/>
    </xf>
    <xf borderId="0" fillId="3" fontId="5" numFmtId="1" xfId="0" applyAlignment="1" applyFill="1" applyFont="1" applyNumberFormat="1">
      <alignment horizontal="left" readingOrder="0" shrinkToFit="0" vertical="center" wrapText="1"/>
    </xf>
    <xf borderId="0" fillId="3" fontId="5" numFmtId="1" xfId="0" applyAlignment="1" applyFill="1" applyFont="1" applyNumberFormat="1">
      <alignment horizontal="center" readingOrder="0" shrinkToFit="0" vertical="center" wrapText="1"/>
    </xf>
    <xf borderId="0" fillId="3" fontId="4" numFmtId="0" xfId="0" applyAlignment="1" applyFill="1" applyFont="1">
      <alignment horizontal="center" readingOrder="0" vertical="center"/>
    </xf>
    <xf borderId="0" fillId="5" fontId="4" numFmtId="0" xfId="0" applyAlignment="1" applyFill="1" applyFont="1">
      <alignment horizontal="center" readingOrder="0" shrinkToFit="0" vertical="center" wrapText="1"/>
    </xf>
    <xf borderId="0" fillId="3" fontId="5" numFmtId="0" xfId="0" applyAlignment="1" applyFill="1" applyFont="1">
      <alignment horizontal="left" readingOrder="0"/>
    </xf>
    <xf borderId="0" fillId="30" fontId="16" numFmtId="0" xfId="0" applyAlignment="1" applyFill="1" applyFont="1">
      <alignment shrinkToFit="0" vertical="center" wrapText="0"/>
    </xf>
    <xf borderId="0" fillId="3" fontId="121" numFmtId="0" xfId="0" applyAlignment="1" applyFill="1" applyFont="1">
      <alignment horizontal="center" readingOrder="0" shrinkToFit="0" vertical="center" wrapText="1"/>
    </xf>
    <xf borderId="0" fillId="3" fontId="4" numFmtId="3" xfId="0" applyAlignment="1" applyFill="1" applyFont="1" applyNumberFormat="1">
      <alignment horizontal="center" shrinkToFit="0" vertical="center" wrapText="1"/>
    </xf>
    <xf borderId="0" fillId="2" fontId="5" numFmtId="0" xfId="0" applyAlignment="1" applyFill="1" applyFont="1">
      <alignment horizontal="left" readingOrder="0" shrinkToFit="0" vertical="center" wrapText="1"/>
    </xf>
    <xf borderId="0" fillId="30" fontId="16" numFmtId="0" xfId="0" applyAlignment="1" applyFill="1" applyFont="1">
      <alignment shrinkToFit="0" vertical="center" wrapText="0"/>
    </xf>
    <xf borderId="0" fillId="2" fontId="5" numFmtId="0" xfId="0" applyAlignment="1" applyFill="1" applyFont="1">
      <alignment horizontal="center" shrinkToFit="0" vertical="center" wrapText="1"/>
    </xf>
    <xf borderId="0" fillId="30" fontId="16" numFmtId="165" xfId="0" applyAlignment="1" applyFill="1" applyFont="1" applyNumberFormat="1">
      <alignment horizontal="center" shrinkToFit="0" vertical="center" wrapText="0"/>
    </xf>
    <xf borderId="0" fillId="2" fontId="5" numFmtId="0" xfId="0" applyAlignment="1" applyFill="1" applyFont="1">
      <alignment horizontal="center" readingOrder="0" shrinkToFit="0" vertical="center" wrapText="1"/>
    </xf>
    <xf borderId="0" fillId="2" fontId="5" numFmtId="1" xfId="0" applyAlignment="1" applyFill="1" applyFont="1" applyNumberFormat="1">
      <alignment horizontal="right" shrinkToFit="0" vertical="center" wrapText="1"/>
    </xf>
    <xf borderId="3" fillId="30" fontId="19" numFmtId="0" xfId="0" applyAlignment="1" applyBorder="1" applyFill="1" applyFont="1">
      <alignment horizontal="center" readingOrder="0" shrinkToFit="0" vertical="center" wrapText="0"/>
    </xf>
    <xf borderId="0" fillId="2" fontId="5" numFmtId="1" xfId="0" applyAlignment="1" applyFill="1" applyFont="1" applyNumberFormat="1">
      <alignment horizontal="center" shrinkToFit="0" vertical="center" wrapText="1"/>
    </xf>
    <xf borderId="0" fillId="2" fontId="5" numFmtId="1" xfId="0" applyAlignment="1" applyFill="1" applyFont="1" applyNumberFormat="1">
      <alignment horizontal="left" shrinkToFit="0" vertical="center" wrapText="1"/>
    </xf>
    <xf borderId="1" fillId="2" fontId="5" numFmtId="1" xfId="0" applyAlignment="1" applyBorder="1" applyFill="1" applyFont="1" applyNumberFormat="1">
      <alignment horizontal="center" shrinkToFit="0" vertical="center" wrapText="1"/>
    </xf>
    <xf borderId="0" fillId="30" fontId="21" numFmtId="0" xfId="0" applyAlignment="1" applyFill="1" applyFont="1">
      <alignment readingOrder="0" shrinkToFit="0" vertical="center" wrapText="0"/>
    </xf>
    <xf borderId="0" fillId="2" fontId="4" numFmtId="0" xfId="0" applyAlignment="1" applyFill="1" applyFont="1">
      <alignment horizontal="center" readingOrder="0" shrinkToFit="0" vertical="center" wrapText="1"/>
    </xf>
    <xf borderId="0" fillId="2" fontId="122" numFmtId="0" xfId="0" applyAlignment="1" applyFill="1" applyFont="1">
      <alignment horizontal="center" readingOrder="0" shrinkToFit="0" vertical="center" wrapText="1"/>
    </xf>
    <xf borderId="0" fillId="2" fontId="4" numFmtId="3" xfId="0" applyAlignment="1" applyFill="1" applyFont="1" applyNumberFormat="1">
      <alignment horizontal="center" readingOrder="0" shrinkToFit="0" vertical="center" wrapText="1"/>
    </xf>
    <xf borderId="0" fillId="9" fontId="5" numFmtId="0" xfId="0" applyAlignment="1" applyFill="1" applyFont="1">
      <alignment horizontal="left" readingOrder="0" shrinkToFit="0" vertical="center" wrapText="1"/>
    </xf>
    <xf borderId="0" fillId="30" fontId="3" numFmtId="1" xfId="0" applyAlignment="1" applyFill="1" applyFont="1" applyNumberFormat="1">
      <alignment shrinkToFit="0" vertical="center" wrapText="0"/>
    </xf>
    <xf borderId="0" fillId="30" fontId="23" numFmtId="0" xfId="0" applyAlignment="1" applyFill="1" applyFont="1">
      <alignment shrinkToFit="0" vertical="center" wrapText="0"/>
    </xf>
    <xf borderId="0" fillId="5" fontId="5" numFmtId="1" xfId="0" applyAlignment="1" applyFill="1" applyFont="1" applyNumberFormat="1">
      <alignment horizontal="right" shrinkToFit="0" vertical="center" wrapText="1"/>
    </xf>
    <xf borderId="1" fillId="3" fontId="123" numFmtId="1" xfId="0" applyAlignment="1" applyBorder="1" applyFill="1" applyFont="1" applyNumberFormat="1">
      <alignment horizontal="left" readingOrder="0" shrinkToFit="0" vertical="top" wrapText="1"/>
    </xf>
    <xf borderId="0" fillId="30" fontId="3" numFmtId="0" xfId="0" applyAlignment="1" applyFill="1" applyFont="1">
      <alignment shrinkToFit="0" vertical="center" wrapText="0"/>
    </xf>
    <xf borderId="0" fillId="5" fontId="5" numFmtId="1" xfId="0" applyAlignment="1" applyFill="1" applyFont="1" applyNumberFormat="1">
      <alignment horizontal="center" shrinkToFit="0" vertical="center" wrapText="1"/>
    </xf>
    <xf borderId="0" fillId="30" fontId="3" numFmtId="0" xfId="0" applyAlignment="1" applyFill="1" applyFont="1">
      <alignment readingOrder="0" shrinkToFit="0" vertical="center" wrapText="0"/>
    </xf>
    <xf borderId="0" fillId="5" fontId="5" numFmtId="1" xfId="0" applyAlignment="1" applyFill="1" applyFont="1" applyNumberFormat="1">
      <alignment horizontal="center" readingOrder="0" shrinkToFit="0" vertical="center" wrapText="1"/>
    </xf>
    <xf borderId="0" fillId="5" fontId="124" numFmtId="0" xfId="0" applyAlignment="1" applyFill="1" applyFont="1">
      <alignment horizontal="center" readingOrder="0" shrinkToFit="0" vertical="center" wrapText="1"/>
    </xf>
    <xf borderId="0" fillId="3" fontId="5" numFmtId="0" xfId="0" applyAlignment="1" applyFill="1" applyFont="1">
      <alignment horizontal="left" readingOrder="0" shrinkToFit="0" vertical="center" wrapText="1"/>
    </xf>
    <xf borderId="0" fillId="5" fontId="5" numFmtId="0" xfId="0" applyAlignment="1" applyFill="1" applyFont="1">
      <alignment horizontal="center" shrinkToFit="0" vertical="center" wrapText="1"/>
    </xf>
    <xf borderId="0" fillId="21" fontId="5" numFmtId="1" xfId="0" applyAlignment="1" applyFill="1" applyFont="1" applyNumberFormat="1">
      <alignment horizontal="right" shrinkToFit="0" vertical="center" wrapText="1"/>
    </xf>
    <xf borderId="0" fillId="21" fontId="5" numFmtId="1" xfId="0" applyAlignment="1" applyFill="1" applyFont="1" applyNumberFormat="1">
      <alignment horizontal="center" shrinkToFit="0" vertical="center" wrapText="1"/>
    </xf>
    <xf borderId="0" fillId="5" fontId="4" numFmtId="0" xfId="0" applyAlignment="1" applyFill="1" applyFont="1">
      <alignment horizontal="center" shrinkToFit="0" vertical="center" wrapText="1"/>
    </xf>
    <xf borderId="0" fillId="5" fontId="125" numFmtId="0" xfId="0" applyAlignment="1" applyFill="1" applyFont="1">
      <alignment horizontal="center" shrinkToFit="0" vertical="center" wrapText="1"/>
    </xf>
    <xf borderId="0" fillId="12" fontId="5" numFmtId="0" xfId="0" applyAlignment="1" applyFill="1" applyFont="1">
      <alignment horizontal="left" readingOrder="0" shrinkToFit="0" vertical="center" wrapText="1"/>
    </xf>
    <xf borderId="0" fillId="12" fontId="5" numFmtId="0" xfId="0" applyAlignment="1" applyFill="1" applyFont="1">
      <alignment horizontal="center" readingOrder="0" shrinkToFit="0" vertical="center" wrapText="1"/>
    </xf>
    <xf borderId="0" fillId="12" fontId="5" numFmtId="1" xfId="0" applyAlignment="1" applyFill="1" applyFont="1" applyNumberFormat="1">
      <alignment horizontal="right" readingOrder="0" shrinkToFit="0" vertical="center" wrapText="1"/>
    </xf>
    <xf borderId="0" fillId="12" fontId="5" numFmtId="1" xfId="0" applyAlignment="1" applyFill="1" applyFont="1" applyNumberFormat="1">
      <alignment horizontal="center" readingOrder="0" shrinkToFit="0" vertical="center" wrapText="1"/>
    </xf>
    <xf borderId="0" fillId="12" fontId="4" numFmtId="0" xfId="0" applyAlignment="1" applyFill="1" applyFont="1">
      <alignment horizontal="center" readingOrder="0" shrinkToFit="0" vertical="center" wrapText="1"/>
    </xf>
    <xf borderId="1" fillId="3" fontId="126" numFmtId="0" xfId="0" applyAlignment="1" applyBorder="1" applyFill="1" applyFont="1">
      <alignment horizontal="left" readingOrder="0" shrinkToFit="0" vertical="top" wrapText="1"/>
    </xf>
    <xf borderId="0" fillId="12" fontId="127" numFmtId="0" xfId="0" applyAlignment="1" applyFill="1" applyFont="1">
      <alignment horizontal="center" readingOrder="0" shrinkToFit="0" vertical="center" wrapText="1"/>
    </xf>
    <xf borderId="0" fillId="12" fontId="4" numFmtId="3" xfId="0" applyAlignment="1" applyFill="1" applyFont="1" applyNumberFormat="1">
      <alignment horizontal="center" readingOrder="0" shrinkToFit="0" vertical="center" wrapText="1"/>
    </xf>
    <xf borderId="0" fillId="5" fontId="5" numFmtId="1" xfId="0" applyAlignment="1" applyFill="1" applyFont="1" applyNumberFormat="1">
      <alignment horizontal="right" readingOrder="0" shrinkToFit="0" vertical="center" wrapText="1"/>
    </xf>
    <xf borderId="0" fillId="12" fontId="5" numFmtId="0" xfId="0" applyAlignment="1" applyFill="1" applyFont="1">
      <alignment horizontal="left" shrinkToFit="0" vertical="center" wrapText="1"/>
    </xf>
    <xf borderId="0" fillId="12" fontId="5" numFmtId="1" xfId="0" applyAlignment="1" applyFill="1" applyFont="1" applyNumberFormat="1">
      <alignment horizontal="right" shrinkToFit="0" vertical="center" wrapText="1"/>
    </xf>
    <xf borderId="1" fillId="3" fontId="128" numFmtId="0" xfId="0" applyAlignment="1" applyBorder="1" applyFill="1" applyFont="1">
      <alignment horizontal="left" readingOrder="0" shrinkToFit="0" vertical="top" wrapText="1"/>
    </xf>
    <xf borderId="0" fillId="12" fontId="5" numFmtId="0" xfId="0" applyAlignment="1" applyFill="1" applyFont="1">
      <alignment horizontal="center" shrinkToFit="0" vertical="center" wrapText="1"/>
    </xf>
    <xf borderId="1" fillId="3" fontId="113" numFmtId="0" xfId="0" applyAlignment="1" applyBorder="1" applyFill="1" applyFont="1">
      <alignment horizontal="left" readingOrder="0" shrinkToFit="0" vertical="top" wrapText="1"/>
    </xf>
    <xf borderId="0" fillId="5" fontId="1" numFmtId="0" xfId="0" applyAlignment="1" applyFill="1" applyFont="1">
      <alignment horizontal="left" readingOrder="0" shrinkToFit="0" vertical="center" wrapText="1"/>
    </xf>
    <xf borderId="0" fillId="5" fontId="1" numFmtId="1" xfId="0" applyAlignment="1" applyFill="1" applyFont="1" applyNumberFormat="1">
      <alignment horizontal="center" readingOrder="0" shrinkToFit="0" vertical="center" wrapText="1"/>
    </xf>
    <xf borderId="0" fillId="5" fontId="5" numFmtId="0" xfId="0" applyAlignment="1" applyFill="1" applyFont="1">
      <alignment horizontal="center" shrinkToFit="0" vertical="center" wrapText="1"/>
    </xf>
    <xf borderId="0" fillId="2" fontId="5" numFmtId="0" xfId="0" applyAlignment="1" applyFill="1" applyFont="1">
      <alignment horizontal="left" readingOrder="0"/>
    </xf>
    <xf borderId="0" fillId="2" fontId="5" numFmtId="0" xfId="0" applyAlignment="1" applyFill="1" applyFont="1">
      <alignment horizontal="right" readingOrder="0" vertical="center"/>
    </xf>
    <xf borderId="0" fillId="2" fontId="5" numFmtId="0" xfId="0" applyAlignment="1" applyFill="1" applyFont="1">
      <alignment horizontal="center" readingOrder="0" vertical="center"/>
    </xf>
    <xf borderId="0" fillId="2" fontId="4" numFmtId="0" xfId="0" applyAlignment="1" applyFill="1" applyFont="1">
      <alignment horizontal="left" readingOrder="0"/>
    </xf>
    <xf borderId="0" fillId="2" fontId="5" numFmtId="0" xfId="0" applyAlignment="1" applyFill="1" applyFont="1">
      <alignment horizontal="center" readingOrder="0"/>
    </xf>
    <xf borderId="0" fillId="2" fontId="4" numFmtId="3" xfId="0" applyAlignment="1" applyFill="1" applyFont="1" applyNumberFormat="1">
      <alignment horizontal="center" shrinkToFit="0" vertical="center" wrapText="1"/>
    </xf>
    <xf borderId="0" fillId="2" fontId="4" numFmtId="0" xfId="0" applyAlignment="1" applyFill="1" applyFont="1">
      <alignment horizontal="center" readingOrder="0"/>
    </xf>
    <xf borderId="0" fillId="3" fontId="4" numFmtId="0" xfId="0" applyAlignment="1" applyFill="1" applyFont="1">
      <alignment horizontal="center" shrinkToFit="0" vertical="center" wrapText="1"/>
    </xf>
    <xf borderId="0" fillId="26" fontId="4" numFmtId="0" xfId="0" applyAlignment="1" applyFill="1" applyFont="1">
      <alignment horizontal="center" shrinkToFit="0" vertical="center" wrapText="1"/>
    </xf>
    <xf borderId="0" fillId="6" fontId="5" numFmtId="0" xfId="0" applyAlignment="1" applyFill="1" applyFont="1">
      <alignment horizontal="right" readingOrder="0" vertical="center"/>
    </xf>
    <xf borderId="0" fillId="6" fontId="5" numFmtId="0" xfId="0" applyAlignment="1" applyFill="1" applyFont="1">
      <alignment horizontal="center" readingOrder="0" vertical="center"/>
    </xf>
    <xf borderId="0" fillId="6" fontId="5" numFmtId="0" xfId="0" applyAlignment="1" applyFill="1" applyFont="1">
      <alignment horizontal="left" readingOrder="0" vertical="center"/>
    </xf>
    <xf borderId="0" fillId="3" fontId="4" numFmtId="0" xfId="0" applyAlignment="1" applyFill="1" applyFont="1">
      <alignment horizontal="center" shrinkToFit="0" vertical="center" wrapText="1"/>
    </xf>
    <xf borderId="0" fillId="0" fontId="5" numFmtId="0" xfId="0" applyAlignment="1" applyFont="1">
      <alignment horizontal="left" readingOrder="0" vertical="center"/>
    </xf>
    <xf borderId="0" fillId="3" fontId="5" numFmtId="1" xfId="0" applyAlignment="1" applyFill="1" applyFont="1" applyNumberFormat="1">
      <alignment horizontal="left" shrinkToFit="0" vertical="bottom" wrapText="1"/>
    </xf>
    <xf borderId="0" fillId="0" fontId="5" numFmtId="0" xfId="0" applyAlignment="1" applyFont="1">
      <alignment horizontal="center" vertical="center"/>
    </xf>
    <xf borderId="0" fillId="0" fontId="5" numFmtId="0" xfId="0" applyAlignment="1" applyFont="1">
      <alignment horizontal="left" vertical="center"/>
    </xf>
    <xf borderId="0" fillId="3" fontId="5" numFmtId="0" xfId="0" applyAlignment="1" applyFill="1" applyFont="1">
      <alignment horizontal="left" shrinkToFit="0" vertical="center" wrapText="1"/>
    </xf>
    <xf borderId="1" fillId="3" fontId="129" numFmtId="0" xfId="0" applyAlignment="1" applyBorder="1" applyFill="1" applyFont="1">
      <alignment horizontal="left" readingOrder="0" shrinkToFit="0" vertical="top" wrapText="1"/>
    </xf>
    <xf borderId="0" fillId="2" fontId="5" numFmtId="1" xfId="0" applyAlignment="1" applyFill="1" applyFont="1" applyNumberFormat="1">
      <alignment horizontal="left" vertical="top"/>
    </xf>
    <xf borderId="0" fillId="2" fontId="4" numFmtId="0" xfId="0" applyAlignment="1" applyFill="1" applyFont="1">
      <alignment horizontal="left" shrinkToFit="0" vertical="center" wrapText="1"/>
    </xf>
    <xf borderId="0" fillId="2" fontId="4" numFmtId="0" xfId="0" applyAlignment="1" applyFill="1" applyFont="1">
      <alignment horizontal="left" shrinkToFit="0" vertical="center" wrapText="1"/>
    </xf>
    <xf borderId="0" fillId="2" fontId="5" numFmtId="0" xfId="0" applyAlignment="1" applyFill="1" applyFont="1">
      <alignment horizontal="right" vertical="center"/>
    </xf>
    <xf borderId="0" fillId="2" fontId="5" numFmtId="0" xfId="0" applyAlignment="1" applyFill="1" applyFont="1">
      <alignment horizontal="center" vertical="center"/>
    </xf>
    <xf borderId="0" fillId="2" fontId="4" numFmtId="4" xfId="0" applyAlignment="1" applyFill="1" applyFont="1" applyNumberFormat="1">
      <alignment horizontal="center" readingOrder="0" shrinkToFit="0" vertical="center" wrapText="1"/>
    </xf>
    <xf borderId="1" fillId="3" fontId="113" numFmtId="0" xfId="0" applyAlignment="1" applyBorder="1" applyFill="1" applyFont="1">
      <alignment horizontal="left" shrinkToFit="0" vertical="top" wrapText="1"/>
    </xf>
    <xf borderId="1" fillId="3" fontId="7" numFmtId="1" xfId="0" applyAlignment="1" applyBorder="1" applyFill="1" applyFont="1" applyNumberFormat="1">
      <alignment horizontal="left" shrinkToFit="0" vertical="top" wrapText="1"/>
    </xf>
    <xf borderId="1" fillId="3" fontId="130" numFmtId="0" xfId="0" applyAlignment="1" applyBorder="1" applyFill="1" applyFont="1">
      <alignment horizontal="left" readingOrder="0" shrinkToFit="0" vertical="top" wrapText="1"/>
    </xf>
    <xf borderId="0" fillId="25" fontId="16" numFmtId="0" xfId="0" applyAlignment="1" applyFill="1" applyFont="1">
      <alignment shrinkToFit="0" vertical="center" wrapText="0"/>
    </xf>
    <xf borderId="0" fillId="25" fontId="16" numFmtId="0" xfId="0" applyAlignment="1" applyFill="1" applyFont="1">
      <alignment shrinkToFit="0" vertical="center" wrapText="0"/>
    </xf>
    <xf borderId="0" fillId="25" fontId="16" numFmtId="165" xfId="0" applyAlignment="1" applyFill="1" applyFont="1" applyNumberFormat="1">
      <alignment horizontal="center" shrinkToFit="0" vertical="center" wrapText="0"/>
    </xf>
    <xf borderId="3" fillId="25" fontId="19" numFmtId="0" xfId="0" applyAlignment="1" applyBorder="1" applyFill="1" applyFont="1">
      <alignment horizontal="center" readingOrder="0" shrinkToFit="0" vertical="center" wrapText="0"/>
    </xf>
    <xf borderId="0" fillId="25" fontId="21" numFmtId="0" xfId="0" applyAlignment="1" applyFill="1" applyFont="1">
      <alignment readingOrder="0" shrinkToFit="0" vertical="center" wrapText="0"/>
    </xf>
    <xf borderId="0" fillId="25" fontId="3" numFmtId="1" xfId="0" applyAlignment="1" applyFill="1" applyFont="1" applyNumberFormat="1">
      <alignment shrinkToFit="0" vertical="center" wrapText="0"/>
    </xf>
    <xf borderId="0" fillId="25" fontId="23" numFmtId="0" xfId="0" applyAlignment="1" applyFill="1" applyFont="1">
      <alignment shrinkToFit="0" vertical="center" wrapText="0"/>
    </xf>
    <xf borderId="0" fillId="25" fontId="3" numFmtId="0" xfId="0" applyAlignment="1" applyFill="1" applyFont="1">
      <alignment shrinkToFit="0" vertical="center" wrapText="0"/>
    </xf>
    <xf borderId="0" fillId="25" fontId="3" numFmtId="0" xfId="0" applyAlignment="1" applyFill="1" applyFont="1">
      <alignment readingOrder="0" shrinkToFit="0" vertical="center" wrapText="0"/>
    </xf>
    <xf borderId="0" fillId="2" fontId="5" numFmtId="4" xfId="0" applyAlignment="1" applyFill="1" applyFont="1" applyNumberFormat="1">
      <alignment horizontal="center" readingOrder="0" shrinkToFit="0" wrapText="1"/>
    </xf>
    <xf borderId="3" fillId="30" fontId="19" numFmtId="0" xfId="0" applyAlignment="1" applyBorder="1" applyFill="1" applyFont="1">
      <alignment horizontal="center" shrinkToFit="0" vertical="center" wrapText="0"/>
    </xf>
    <xf borderId="0" fillId="2" fontId="5" numFmtId="0" xfId="0" applyAlignment="1" applyFill="1" applyFont="1">
      <alignment horizontal="center" vertical="bottom"/>
    </xf>
    <xf borderId="0" fillId="30" fontId="16" numFmtId="0" xfId="0" applyAlignment="1" applyFill="1" applyFont="1">
      <alignment horizontal="center" shrinkToFit="0" vertical="center" wrapText="0"/>
    </xf>
    <xf borderId="3" fillId="30" fontId="21" numFmtId="0" xfId="0" applyAlignment="1" applyBorder="1" applyFill="1" applyFont="1">
      <alignment shrinkToFit="0" vertical="center" wrapText="0"/>
    </xf>
    <xf borderId="3" fillId="25" fontId="16" numFmtId="0" xfId="0" applyAlignment="1" applyBorder="1" applyFill="1" applyFont="1">
      <alignment shrinkToFit="0" vertical="center" wrapText="0"/>
    </xf>
    <xf borderId="3" fillId="25" fontId="16" numFmtId="0" xfId="0" applyAlignment="1" applyBorder="1" applyFill="1" applyFont="1">
      <alignment shrinkToFit="0" vertical="center" wrapText="0"/>
    </xf>
    <xf borderId="3" fillId="25" fontId="16" numFmtId="165" xfId="0" applyAlignment="1" applyBorder="1" applyFill="1" applyFont="1" applyNumberFormat="1">
      <alignment horizontal="center" shrinkToFit="0" vertical="center" wrapText="0"/>
    </xf>
    <xf borderId="3" fillId="25" fontId="21" numFmtId="0" xfId="0" applyAlignment="1" applyBorder="1" applyFill="1" applyFont="1">
      <alignment horizontal="center" shrinkToFit="0" vertical="center" wrapText="0"/>
    </xf>
    <xf borderId="3" fillId="25" fontId="16" numFmtId="0" xfId="0" applyAlignment="1" applyBorder="1" applyFill="1" applyFont="1">
      <alignment horizontal="center" shrinkToFit="0" vertical="center" wrapText="0"/>
    </xf>
    <xf borderId="3" fillId="25" fontId="21" numFmtId="0" xfId="0" applyAlignment="1" applyBorder="1" applyFill="1" applyFont="1">
      <alignment shrinkToFit="0" vertical="center" wrapText="0"/>
    </xf>
    <xf borderId="1" fillId="0" fontId="6" numFmtId="1" xfId="0" applyAlignment="1" applyBorder="1" applyFont="1" applyNumberFormat="1">
      <alignment horizontal="right" shrinkToFit="0" vertical="bottom" wrapText="0"/>
    </xf>
    <xf borderId="0" fillId="0" fontId="3" numFmtId="1" xfId="0" applyAlignment="1" applyFont="1" applyNumberFormat="1">
      <alignment readingOrder="0" shrinkToFit="0" vertical="center" wrapText="0"/>
    </xf>
    <xf borderId="1" fillId="3" fontId="131" numFmtId="0" xfId="0" applyAlignment="1" applyBorder="1" applyFill="1" applyFont="1">
      <alignment horizontal="left" readingOrder="0" shrinkToFit="0" vertical="top" wrapText="1"/>
    </xf>
    <xf borderId="0" fillId="3" fontId="6" numFmtId="0" xfId="0" applyAlignment="1" applyFill="1" applyFont="1">
      <alignment horizontal="left" shrinkToFit="0" vertical="top" wrapText="1"/>
    </xf>
    <xf borderId="1" fillId="3" fontId="132" numFmtId="1" xfId="0" applyAlignment="1" applyBorder="1" applyFill="1" applyFont="1" applyNumberFormat="1">
      <alignment horizontal="left" readingOrder="0" shrinkToFit="0" vertical="top" wrapText="1"/>
    </xf>
    <xf borderId="1" fillId="3" fontId="133" numFmtId="0" xfId="0" applyAlignment="1" applyBorder="1" applyFill="1" applyFont="1">
      <alignment horizontal="left" readingOrder="0" shrinkToFit="0" vertical="top" wrapText="1"/>
    </xf>
    <xf borderId="3" fillId="31" fontId="19" numFmtId="0" xfId="0" applyAlignment="1" applyBorder="1" applyFill="1" applyFont="1">
      <alignment horizontal="center" readingOrder="0" shrinkToFit="0" vertical="center" wrapText="0"/>
    </xf>
    <xf borderId="1" fillId="3" fontId="82" numFmtId="0" xfId="0" applyAlignment="1" applyBorder="1" applyFill="1" applyFont="1">
      <alignment horizontal="left" readingOrder="0" shrinkToFit="0" vertical="top" wrapText="1"/>
    </xf>
    <xf borderId="1" fillId="3" fontId="82" numFmtId="0" xfId="0" applyAlignment="1" applyBorder="1" applyFill="1" applyFont="1">
      <alignment horizontal="left" shrinkToFit="0" vertical="top" wrapText="1"/>
    </xf>
    <xf borderId="1" fillId="3" fontId="48" numFmtId="0" xfId="0" applyAlignment="1" applyBorder="1" applyFill="1" applyFont="1">
      <alignment horizontal="left" shrinkToFit="0" vertical="top" wrapText="1"/>
    </xf>
    <xf borderId="1" fillId="3" fontId="4" numFmtId="0" xfId="0" applyAlignment="1" applyBorder="1" applyFill="1" applyFont="1">
      <alignment horizontal="left" shrinkToFit="0" vertical="top" wrapText="1"/>
    </xf>
    <xf borderId="1" fillId="3" fontId="107" numFmtId="0" xfId="0" applyAlignment="1" applyBorder="1" applyFill="1" applyFont="1">
      <alignment horizontal="left" shrinkToFit="0" vertical="top" wrapText="1"/>
    </xf>
    <xf borderId="0" fillId="0" fontId="134" numFmtId="0" xfId="0" applyAlignment="1" applyFont="1">
      <alignment readingOrder="0" shrinkToFit="0" vertical="center" wrapText="0"/>
    </xf>
    <xf borderId="1" fillId="3" fontId="135" numFmtId="0" xfId="0" applyAlignment="1" applyBorder="1" applyFill="1" applyFont="1">
      <alignment horizontal="left" readingOrder="0" shrinkToFit="0" vertical="top" wrapText="1"/>
    </xf>
    <xf borderId="1" fillId="3" fontId="136" numFmtId="0" xfId="0" applyAlignment="1" applyBorder="1" applyFill="1" applyFont="1">
      <alignment horizontal="left" readingOrder="0" shrinkToFit="0" vertical="top" wrapText="1"/>
    </xf>
    <xf borderId="1" fillId="3" fontId="6" numFmtId="0" xfId="0" applyAlignment="1" applyBorder="1" applyFill="1" applyFont="1">
      <alignment horizontal="left" shrinkToFit="0" vertical="top" wrapText="1"/>
    </xf>
    <xf borderId="1" fillId="3" fontId="3" numFmtId="0" xfId="0" applyAlignment="1" applyBorder="1" applyFill="1" applyFont="1">
      <alignment horizontal="left" readingOrder="0" shrinkToFit="0" vertical="top" wrapText="1"/>
    </xf>
    <xf borderId="1" fillId="3" fontId="137" numFmtId="0" xfId="0" applyAlignment="1" applyBorder="1" applyFill="1" applyFont="1">
      <alignment horizontal="left" shrinkToFit="0" vertical="top" wrapText="1"/>
    </xf>
    <xf borderId="1" fillId="3" fontId="138" numFmtId="0" xfId="0" applyAlignment="1" applyBorder="1" applyFill="1" applyFont="1">
      <alignment horizontal="left" readingOrder="0" shrinkToFit="0" vertical="top" wrapText="1"/>
    </xf>
    <xf borderId="1" fillId="3" fontId="130" numFmtId="0" xfId="0" applyAlignment="1" applyBorder="1" applyFill="1" applyFont="1">
      <alignment horizontal="left" shrinkToFit="0" vertical="top" wrapText="1"/>
    </xf>
    <xf borderId="1" fillId="3" fontId="139" numFmtId="0" xfId="0" applyAlignment="1" applyBorder="1" applyFill="1" applyFont="1">
      <alignment horizontal="left" readingOrder="0" shrinkToFit="0" vertical="top" wrapText="1"/>
    </xf>
    <xf borderId="1" fillId="5" fontId="140" numFmtId="0" xfId="0" applyAlignment="1" applyBorder="1" applyFill="1" applyFont="1">
      <alignment horizontal="left" readingOrder="0" shrinkToFit="0" vertical="top" wrapText="1"/>
    </xf>
    <xf borderId="1" fillId="3" fontId="115" numFmtId="0" xfId="0" applyAlignment="1" applyBorder="1" applyFill="1" applyFont="1">
      <alignment horizontal="left" shrinkToFit="0" vertical="top" wrapText="1"/>
    </xf>
    <xf borderId="0" fillId="0" fontId="16" numFmtId="164" xfId="0" applyAlignment="1" applyFont="1" applyNumberFormat="1">
      <alignment horizontal="center" readingOrder="0" shrinkToFit="0" vertical="center" wrapText="0"/>
    </xf>
    <xf borderId="0" fillId="3" fontId="3" numFmtId="0" xfId="0" applyAlignment="1" applyFill="1" applyFont="1">
      <alignment horizontal="left" vertical="top"/>
    </xf>
    <xf borderId="0" fillId="0" fontId="3" numFmtId="0" xfId="0" applyAlignment="1" applyFont="1">
      <alignment horizontal="left" shrinkToFit="0" vertical="top" wrapText="1"/>
    </xf>
    <xf borderId="1" fillId="3" fontId="3" numFmtId="1" xfId="0" applyAlignment="1" applyBorder="1" applyFill="1" applyFont="1" applyNumberFormat="1">
      <alignment horizontal="left" shrinkToFit="0" vertical="top" wrapText="1"/>
    </xf>
    <xf borderId="1" fillId="0" fontId="51" numFmtId="0" xfId="0" applyAlignment="1" applyBorder="1" applyFont="1">
      <alignment horizontal="center" readingOrder="0" shrinkToFit="0" vertical="bottom" wrapText="0"/>
    </xf>
    <xf borderId="1" fillId="3" fontId="141" numFmtId="0" xfId="0" applyAlignment="1" applyBorder="1" applyFill="1" applyFont="1">
      <alignment horizontal="left" readingOrder="0" shrinkToFit="0" vertical="center" wrapText="0"/>
    </xf>
    <xf borderId="0" fillId="0" fontId="142" numFmtId="0" xfId="0" applyAlignment="1" applyFont="1">
      <alignment shrinkToFit="0" vertical="center" wrapText="0"/>
    </xf>
    <xf borderId="1" fillId="3" fontId="107" numFmtId="169" xfId="0" applyAlignment="1" applyBorder="1" applyFill="1" applyFont="1" applyNumberFormat="1">
      <alignment horizontal="left" readingOrder="0" shrinkToFit="0" vertical="top" wrapText="1"/>
    </xf>
    <xf borderId="0" fillId="0" fontId="16" numFmtId="0" xfId="0" applyAlignment="1" applyFont="1">
      <alignment readingOrder="0" shrinkToFit="0" vertical="center" wrapText="0"/>
    </xf>
    <xf borderId="1" fillId="0" fontId="3" numFmtId="0" xfId="0" applyAlignment="1" applyBorder="1" applyFont="1">
      <alignment readingOrder="0" shrinkToFit="0" vertical="center" wrapText="1"/>
    </xf>
    <xf borderId="1" fillId="5" fontId="107" numFmtId="0" xfId="0" applyAlignment="1" applyBorder="1" applyFill="1" applyFont="1">
      <alignment horizontal="left" readingOrder="0" shrinkToFit="0" vertical="top" wrapText="1"/>
    </xf>
    <xf borderId="0" fillId="0" fontId="16" numFmtId="170" xfId="0" applyAlignment="1" applyFont="1" applyNumberFormat="1">
      <alignment horizontal="center" readingOrder="0" shrinkToFit="0" vertical="center" wrapText="0"/>
    </xf>
    <xf borderId="0" fillId="32" fontId="19" numFmtId="0" xfId="0" applyAlignment="1" applyFill="1" applyFont="1">
      <alignment horizontal="center" readingOrder="0" shrinkToFit="0" vertical="center" wrapText="0"/>
    </xf>
    <xf borderId="1" fillId="0" fontId="3" numFmtId="0" xfId="0" applyAlignment="1" applyBorder="1" applyFont="1">
      <alignment readingOrder="0" shrinkToFit="0" vertical="center" wrapText="0"/>
    </xf>
    <xf borderId="0" fillId="13" fontId="21" numFmtId="0" xfId="0" applyAlignment="1" applyFill="1" applyFont="1">
      <alignment readingOrder="0" shrinkToFit="0" vertical="center" wrapText="0"/>
    </xf>
    <xf borderId="0" fillId="0" fontId="3" numFmtId="1" xfId="0" applyAlignment="1" applyFont="1" applyNumberFormat="1">
      <alignment readingOrder="0" shrinkToFit="0" vertical="center" wrapText="0"/>
    </xf>
    <xf borderId="1" fillId="0" fontId="113" numFmtId="0" xfId="0" applyAlignment="1" applyBorder="1" applyFont="1">
      <alignment shrinkToFit="0" vertical="center" wrapText="0"/>
    </xf>
    <xf borderId="0" fillId="29" fontId="16" numFmtId="0" xfId="0" applyAlignment="1" applyFill="1" applyFont="1">
      <alignment readingOrder="0" shrinkToFit="0" vertical="center" wrapText="0"/>
    </xf>
    <xf borderId="0" fillId="29" fontId="16" numFmtId="0" xfId="0" applyAlignment="1" applyFill="1" applyFont="1">
      <alignment readingOrder="0" shrinkToFit="0" vertical="center" wrapText="0"/>
    </xf>
    <xf borderId="0" fillId="29" fontId="16" numFmtId="168" xfId="0" applyAlignment="1" applyFill="1" applyFont="1" applyNumberFormat="1">
      <alignment horizontal="center" readingOrder="0" shrinkToFit="0" vertical="center" wrapText="0"/>
    </xf>
    <xf borderId="0" fillId="29" fontId="21" numFmtId="0" xfId="0" applyAlignment="1" applyFill="1" applyFont="1">
      <alignment readingOrder="0" shrinkToFit="0" vertical="center" wrapText="0"/>
    </xf>
    <xf borderId="0" fillId="29" fontId="3" numFmtId="1" xfId="0" applyAlignment="1" applyFill="1" applyFont="1" applyNumberFormat="1">
      <alignment readingOrder="0" shrinkToFit="0" vertical="center" wrapText="0"/>
    </xf>
    <xf borderId="0" fillId="29" fontId="23" numFmtId="0" xfId="0" applyAlignment="1" applyFill="1" applyFont="1">
      <alignment readingOrder="0" shrinkToFit="0" vertical="center" wrapText="0"/>
    </xf>
    <xf borderId="0" fillId="29" fontId="3" numFmtId="0" xfId="0" applyAlignment="1" applyFill="1" applyFont="1">
      <alignment shrinkToFit="0" vertical="center" wrapText="0"/>
    </xf>
    <xf borderId="0" fillId="29" fontId="3" numFmtId="0" xfId="0" applyAlignment="1" applyFill="1" applyFont="1">
      <alignment readingOrder="0" shrinkToFit="0" vertical="center" wrapText="0"/>
    </xf>
    <xf borderId="1" fillId="0" fontId="7" numFmtId="0" xfId="0" applyAlignment="1" applyBorder="1" applyFont="1">
      <alignment horizontal="left" shrinkToFit="0" vertical="top" wrapText="1"/>
    </xf>
    <xf borderId="1" fillId="0" fontId="7" numFmtId="0" xfId="0" applyAlignment="1" applyBorder="1" applyFont="1">
      <alignment shrinkToFit="0" vertical="top" wrapText="0"/>
    </xf>
    <xf borderId="0" fillId="15" fontId="16" numFmtId="0" xfId="0" applyAlignment="1" applyFill="1" applyFont="1">
      <alignment readingOrder="0" shrinkToFit="0" vertical="center" wrapText="0"/>
    </xf>
    <xf borderId="0" fillId="15" fontId="143" numFmtId="0" xfId="0" applyAlignment="1" applyFill="1" applyFont="1">
      <alignment horizontal="left" readingOrder="0" shrinkToFit="0" vertical="center" wrapText="1"/>
    </xf>
    <xf borderId="0" fillId="15" fontId="16" numFmtId="168" xfId="0" applyAlignment="1" applyFill="1" applyFont="1" applyNumberFormat="1">
      <alignment horizontal="center" readingOrder="0" shrinkToFit="0" vertical="center" wrapText="0"/>
    </xf>
    <xf borderId="0" fillId="16" fontId="21" numFmtId="0" xfId="0" applyAlignment="1" applyFill="1" applyFont="1">
      <alignment readingOrder="0" shrinkToFit="0" vertical="center" wrapText="0"/>
    </xf>
    <xf borderId="1" fillId="15" fontId="51" numFmtId="0" xfId="0" applyAlignment="1" applyBorder="1" applyFill="1" applyFont="1">
      <alignment horizontal="center" readingOrder="0" shrinkToFit="0" vertical="bottom" wrapText="0"/>
    </xf>
    <xf borderId="1" fillId="15" fontId="14" numFmtId="0" xfId="0" applyAlignment="1" applyBorder="1" applyFill="1" applyFont="1">
      <alignment readingOrder="0" shrinkToFit="0" vertical="center" wrapText="0"/>
    </xf>
    <xf borderId="0" fillId="15" fontId="3" numFmtId="0" xfId="0" applyAlignment="1" applyFill="1" applyFont="1">
      <alignment shrinkToFit="0" vertical="center" wrapText="0"/>
    </xf>
    <xf borderId="0" fillId="15" fontId="3" numFmtId="0" xfId="0" applyAlignment="1" applyFill="1" applyFont="1">
      <alignment readingOrder="0" shrinkToFit="0" vertical="center" wrapText="0"/>
    </xf>
    <xf borderId="0" fillId="15" fontId="3" numFmtId="0" xfId="0" applyFill="1" applyFont="1"/>
    <xf borderId="1" fillId="0" fontId="143" numFmtId="0" xfId="0" applyAlignment="1" applyBorder="1" applyFont="1">
      <alignment horizontal="left" readingOrder="0" shrinkToFit="0" vertical="center" wrapText="0"/>
    </xf>
    <xf borderId="1" fillId="6" fontId="7" numFmtId="1" xfId="0" applyAlignment="1" applyBorder="1" applyFill="1" applyFont="1" applyNumberFormat="1">
      <alignment horizontal="center" shrinkToFit="0" vertical="top" wrapText="0"/>
    </xf>
    <xf borderId="0" fillId="0" fontId="16" numFmtId="0" xfId="0" applyAlignment="1" applyFont="1">
      <alignment horizontal="left" readingOrder="0" shrinkToFit="0" vertical="bottom" wrapText="0"/>
    </xf>
    <xf borderId="0" fillId="0" fontId="3" numFmtId="0" xfId="0" applyAlignment="1" applyFont="1">
      <alignment shrinkToFit="0" vertical="center" wrapText="0"/>
    </xf>
    <xf borderId="0" fillId="16" fontId="16" numFmtId="0" xfId="0" applyAlignment="1" applyFill="1" applyFont="1">
      <alignment readingOrder="0" shrinkToFit="0" vertical="center" wrapText="0"/>
    </xf>
    <xf borderId="0" fillId="16" fontId="136" numFmtId="0" xfId="0" applyAlignment="1" applyFill="1" applyFont="1">
      <alignment readingOrder="0" shrinkToFit="0" vertical="bottom" wrapText="0"/>
    </xf>
    <xf borderId="0" fillId="16" fontId="3" numFmtId="0" xfId="0" applyAlignment="1" applyFill="1" applyFont="1">
      <alignment shrinkToFit="0" vertical="center" wrapText="0"/>
    </xf>
    <xf borderId="0" fillId="16" fontId="3" numFmtId="0" xfId="0" applyAlignment="1" applyFill="1" applyFont="1">
      <alignment shrinkToFit="0" vertical="center" wrapText="0"/>
    </xf>
    <xf borderId="0" fillId="16" fontId="141" numFmtId="0" xfId="0" applyAlignment="1" applyFill="1" applyFont="1">
      <alignment horizontal="left" readingOrder="0" shrinkToFit="0" vertical="center" wrapText="0"/>
    </xf>
    <xf borderId="1" fillId="3" fontId="107" numFmtId="0" xfId="0" applyAlignment="1" applyBorder="1" applyFill="1" applyFont="1">
      <alignment horizontal="left" readingOrder="0" shrinkToFit="0" vertical="top" wrapText="1"/>
    </xf>
    <xf borderId="0" fillId="16" fontId="3" numFmtId="0" xfId="0" applyFill="1" applyFont="1"/>
    <xf borderId="0" fillId="0" fontId="136" numFmtId="0" xfId="0" applyAlignment="1" applyFont="1">
      <alignment readingOrder="0" shrinkToFit="0" vertical="bottom" wrapText="0"/>
    </xf>
    <xf borderId="0" fillId="3" fontId="141" numFmtId="0" xfId="0" applyAlignment="1" applyFill="1" applyFont="1">
      <alignment horizontal="left" readingOrder="0" shrinkToFit="0" vertical="center" wrapText="0"/>
    </xf>
    <xf borderId="0" fillId="0" fontId="141" numFmtId="0" xfId="0" applyAlignment="1" applyFont="1">
      <alignment horizontal="left" readingOrder="0" shrinkToFit="0" vertical="center" wrapText="0"/>
    </xf>
    <xf borderId="1" fillId="3" fontId="144" numFmtId="0" xfId="0" applyAlignment="1" applyBorder="1" applyFill="1" applyFont="1">
      <alignment horizontal="left" readingOrder="0" shrinkToFit="0" vertical="top" wrapText="1"/>
    </xf>
    <xf borderId="1" fillId="0" fontId="141" numFmtId="0" xfId="0" applyAlignment="1" applyBorder="1" applyFont="1">
      <alignment horizontal="left" readingOrder="0" shrinkToFit="0" vertical="center" wrapText="0"/>
    </xf>
    <xf borderId="1" fillId="3" fontId="145" numFmtId="0" xfId="0" applyAlignment="1" applyBorder="1" applyFill="1" applyFont="1">
      <alignment horizontal="left" shrinkToFit="0" vertical="top" wrapText="1"/>
    </xf>
    <xf borderId="1" fillId="3" fontId="143" numFmtId="0" xfId="0" applyAlignment="1" applyBorder="1" applyFill="1" applyFont="1">
      <alignment horizontal="left" readingOrder="0" shrinkToFit="0" vertical="center" wrapText="0"/>
    </xf>
    <xf borderId="0" fillId="3" fontId="4" numFmtId="3" xfId="0" applyAlignment="1" applyFill="1" applyFont="1" applyNumberFormat="1">
      <alignment horizontal="left" shrinkToFit="0" vertical="top" wrapText="1"/>
    </xf>
    <xf borderId="0" fillId="3" fontId="5" numFmtId="3" xfId="0" applyAlignment="1" applyFill="1" applyFont="1" applyNumberFormat="1">
      <alignment horizontal="left" shrinkToFit="0" vertical="top" wrapText="1"/>
    </xf>
    <xf borderId="0" fillId="0" fontId="3" numFmtId="0" xfId="0" applyAlignment="1" applyFont="1">
      <alignment readingOrder="0" shrinkToFit="0" vertical="center" wrapText="0"/>
    </xf>
    <xf borderId="0" fillId="25" fontId="16" numFmtId="0" xfId="0" applyAlignment="1" applyFill="1" applyFont="1">
      <alignment readingOrder="0" shrinkToFit="0" vertical="center" wrapText="0"/>
    </xf>
    <xf borderId="0" fillId="25" fontId="146" numFmtId="0" xfId="0" applyAlignment="1" applyFill="1" applyFont="1">
      <alignment readingOrder="0" shrinkToFit="0" vertical="bottom" wrapText="0"/>
    </xf>
    <xf borderId="0" fillId="25" fontId="19" numFmtId="0" xfId="0" applyAlignment="1" applyFill="1" applyFont="1">
      <alignment horizontal="center" readingOrder="0" shrinkToFit="0" vertical="center" wrapText="0"/>
    </xf>
    <xf borderId="0" fillId="25" fontId="3" numFmtId="0" xfId="0" applyAlignment="1" applyFill="1" applyFont="1">
      <alignment shrinkToFit="0" vertical="center" wrapText="0"/>
    </xf>
    <xf borderId="0" fillId="25" fontId="136" numFmtId="0" xfId="0" applyAlignment="1" applyFill="1" applyFont="1">
      <alignment readingOrder="0" shrinkToFit="0" vertical="bottom" wrapText="0"/>
    </xf>
    <xf borderId="1" fillId="25" fontId="141" numFmtId="0" xfId="0" applyAlignment="1" applyBorder="1" applyFill="1" applyFont="1">
      <alignment horizontal="left" readingOrder="0" shrinkToFit="0" vertical="center" wrapText="0"/>
    </xf>
    <xf borderId="0" fillId="3" fontId="107" numFmtId="1" xfId="0" applyAlignment="1" applyFill="1" applyFont="1" applyNumberFormat="1">
      <alignment horizontal="left" readingOrder="0" shrinkToFit="0" vertical="top" wrapText="1"/>
    </xf>
    <xf borderId="0" fillId="25" fontId="3" numFmtId="0" xfId="0" applyFill="1" applyFont="1"/>
    <xf borderId="1" fillId="0" fontId="6" numFmtId="0" xfId="0" applyAlignment="1" applyBorder="1" applyFont="1">
      <alignment horizontal="center" shrinkToFit="0" vertical="bottom" wrapText="0"/>
    </xf>
    <xf borderId="1" fillId="0" fontId="3" numFmtId="0" xfId="0" applyAlignment="1" applyBorder="1" applyFont="1">
      <alignment readingOrder="0" shrinkToFit="0" vertical="center" wrapText="0"/>
    </xf>
    <xf borderId="1" fillId="3" fontId="147" numFmtId="0" xfId="0" applyAlignment="1" applyBorder="1" applyFill="1" applyFont="1">
      <alignment horizontal="left" readingOrder="0" shrinkToFit="0" vertical="top" wrapText="1"/>
    </xf>
    <xf borderId="0" fillId="3" fontId="107" numFmtId="1" xfId="0" applyAlignment="1" applyFill="1" applyFont="1" applyNumberFormat="1">
      <alignment horizontal="left" shrinkToFit="0" vertical="top" wrapText="1"/>
    </xf>
    <xf borderId="1" fillId="0" fontId="7" numFmtId="0" xfId="0" applyAlignment="1" applyBorder="1" applyFont="1">
      <alignment horizontal="left" shrinkToFit="0" vertical="top" wrapText="1"/>
    </xf>
    <xf borderId="1" fillId="6" fontId="7" numFmtId="0" xfId="0" applyAlignment="1" applyBorder="1" applyFill="1" applyFont="1">
      <alignment horizontal="center" shrinkToFit="0" vertical="top" wrapText="0"/>
    </xf>
    <xf borderId="1" fillId="0" fontId="16" numFmtId="0" xfId="0" applyAlignment="1" applyBorder="1" applyFont="1">
      <alignment readingOrder="0" shrinkToFit="0" vertical="bottom" wrapText="0"/>
    </xf>
    <xf borderId="0" fillId="0" fontId="3" numFmtId="0" xfId="0" applyAlignment="1" applyFont="1">
      <alignment readingOrder="0" shrinkToFit="0" vertical="top" wrapText="1"/>
    </xf>
    <xf borderId="0" fillId="3" fontId="107" numFmtId="0" xfId="0" applyAlignment="1" applyFill="1" applyFont="1">
      <alignment horizontal="left" readingOrder="0" shrinkToFit="0" vertical="top" wrapText="1"/>
    </xf>
    <xf borderId="0" fillId="3" fontId="107" numFmtId="169" xfId="0" applyAlignment="1" applyFill="1" applyFont="1" applyNumberFormat="1">
      <alignment horizontal="left" shrinkToFit="0" vertical="top" wrapText="1"/>
    </xf>
    <xf borderId="0" fillId="3" fontId="107" numFmtId="0" xfId="0" applyAlignment="1" applyFill="1" applyFont="1">
      <alignment horizontal="left" shrinkToFit="0" vertical="top" wrapText="1"/>
    </xf>
    <xf borderId="0" fillId="3" fontId="107" numFmtId="0" xfId="0" applyAlignment="1" applyFill="1" applyFont="1">
      <alignment horizontal="left" shrinkToFit="0" vertical="top" wrapText="1"/>
    </xf>
    <xf borderId="0" fillId="3" fontId="107" numFmtId="0" xfId="0" applyAlignment="1" applyFill="1" applyFont="1">
      <alignment horizontal="left" shrinkToFit="0" vertical="top" wrapText="1"/>
    </xf>
    <xf borderId="1" fillId="0" fontId="7" numFmtId="1" xfId="0" applyAlignment="1" applyBorder="1" applyFont="1" applyNumberFormat="1">
      <alignment horizontal="center" shrinkToFit="0" vertical="top" wrapText="0"/>
    </xf>
    <xf borderId="0" fillId="3" fontId="115" numFmtId="0" xfId="0" applyAlignment="1" applyFill="1" applyFont="1">
      <alignment horizontal="left" shrinkToFit="0" vertical="top" wrapText="1"/>
    </xf>
    <xf borderId="1" fillId="0" fontId="7" numFmtId="0" xfId="0" applyAlignment="1" applyBorder="1" applyFont="1">
      <alignment shrinkToFit="0" vertical="top" wrapText="0"/>
    </xf>
    <xf borderId="0" fillId="0" fontId="16" numFmtId="0" xfId="0" applyAlignment="1" applyFont="1">
      <alignment readingOrder="0" shrinkToFit="0" vertical="bottom" wrapText="0"/>
    </xf>
    <xf borderId="1" fillId="0" fontId="6" numFmtId="0" xfId="0" applyAlignment="1" applyBorder="1" applyFont="1">
      <alignment horizontal="center" vertical="bottom"/>
    </xf>
    <xf borderId="0" fillId="0" fontId="3" numFmtId="0" xfId="0" applyFont="1"/>
    <xf borderId="0" fillId="3" fontId="7" numFmtId="1" xfId="0" applyAlignment="1" applyFill="1" applyFont="1" applyNumberFormat="1">
      <alignment horizontal="left" shrinkToFit="0" vertical="top" wrapText="1"/>
    </xf>
    <xf borderId="0" fillId="3" fontId="7" numFmtId="169" xfId="0" applyAlignment="1" applyFill="1" applyFont="1" applyNumberFormat="1">
      <alignment horizontal="left" shrinkToFit="0" vertical="top" wrapText="1"/>
    </xf>
    <xf borderId="0" fillId="3" fontId="7" numFmtId="0" xfId="0" applyAlignment="1" applyFill="1" applyFont="1">
      <alignment horizontal="left" shrinkToFit="0" vertical="top" wrapText="1"/>
    </xf>
    <xf borderId="0" fillId="3" fontId="5" numFmtId="0" xfId="0" applyAlignment="1" applyFill="1" applyFont="1">
      <alignment horizontal="left" shrinkToFit="0" vertical="top" wrapText="1"/>
    </xf>
    <xf borderId="0" fillId="3" fontId="5" numFmtId="0" xfId="0" applyAlignment="1" applyFill="1" applyFont="1">
      <alignment horizontal="left" shrinkToFit="0" vertical="top" wrapText="1"/>
    </xf>
    <xf borderId="0" fillId="3" fontId="7" numFmtId="0" xfId="0" applyAlignment="1" applyFill="1" applyFont="1">
      <alignment horizontal="left" readingOrder="0" shrinkToFit="0" vertical="top" wrapText="1"/>
    </xf>
    <xf borderId="0" fillId="0" fontId="3" numFmtId="0" xfId="0" applyAlignment="1" applyFont="1">
      <alignment readingOrder="0"/>
    </xf>
    <xf borderId="0" fillId="3" fontId="4" numFmtId="0" xfId="0" applyAlignment="1" applyFill="1" applyFont="1">
      <alignment horizontal="left" shrinkToFit="0" vertical="top" wrapText="1"/>
    </xf>
    <xf borderId="0" fillId="3" fontId="113" numFmtId="0" xfId="0" applyAlignment="1" applyFill="1" applyFont="1">
      <alignment horizontal="left" shrinkToFit="0" vertical="top" wrapText="1"/>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5B3F86"/>
          <bgColor rgb="FF5B3F86"/>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B7E1CD"/>
          <bgColor rgb="FFB7E1CD"/>
        </patternFill>
      </fill>
      <border/>
    </dxf>
  </dxfs>
  <tableStyles count="4">
    <tableStyle count="4" pivot="0" name="Sheet2-style">
      <tableStyleElement dxfId="4" type="headerRow"/>
      <tableStyleElement dxfId="2" type="firstRowStripe"/>
      <tableStyleElement dxfId="5" type="secondRowStripe"/>
      <tableStyleElement dxfId="6" size="0" type="wholeTable"/>
    </tableStyle>
    <tableStyle count="4" pivot="0" name="startify3.0-style">
      <tableStyleElement dxfId="1" type="headerRow"/>
      <tableStyleElement dxfId="2" type="firstRowStripe"/>
      <tableStyleElement dxfId="3" type="secondRowStripe"/>
      <tableStyleElement dxfId="6" size="0" type="wholeTable"/>
    </tableStyle>
    <tableStyle count="4" pivot="0" name="IVP amount sanctioned-style">
      <tableStyleElement dxfId="1" type="headerRow"/>
      <tableStyleElement dxfId="2" type="firstRowStripe"/>
      <tableStyleElement dxfId="3" type="secondRowStripe"/>
      <tableStyleElement dxfId="6" size="0" type="wholeTable"/>
    </tableStyle>
    <tableStyle count="2" pivot="0" name="IVP amount sanctioned-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customschemas.google.com/relationships/workbookmetadata" Target="metadata"/><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H1" displayName="Table4" name="Table4"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IVP amount sanctioned-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L18" displayName="Table_1" name="Table_1" id="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IVP amount sanctioned-style 2" showColumnStripes="0" showFirstColumn="1" showLastColumn="1" showRowStripes="1"/>
</table>
</file>

<file path=xl/tables/table3.xml><?xml version="1.0" encoding="utf-8"?>
<table xmlns="http://schemas.openxmlformats.org/spreadsheetml/2006/main" ref="A1:N225" displayName="Table1_2" name="Table1_2" id="3">
  <autoFilter ref="$A$1:$N$225">
    <filterColumn colId="3">
      <filters>
        <filter val="Selected for Finals"/>
        <filter val="Finals - not interested"/>
      </filters>
    </filterColumn>
  </autoFilter>
  <tableColumns count="14">
    <tableColumn name="`" id="1"/>
    <tableColumn name="College name" id="2"/>
    <tableColumn name="Status Date" id="3"/>
    <tableColumn name="Status" id="4"/>
    <tableColumn name="Domain" id="5"/>
    <tableColumn name="Grant" id="6"/>
    <tableColumn name="ivp sno." id="7"/>
    <tableColumn name="PHNO." id="8"/>
    <tableColumn name="TEAMID" id="9"/>
    <tableColumn name="pitch manual" id="10"/>
    <tableColumn name="pitch sub form" id="11"/>
    <tableColumn name="work" id="12"/>
    <tableColumn name="in whatsapp group" id="13"/>
    <tableColumn name="remarks" id="14"/>
  </tableColumns>
  <tableStyleInfo name="startify3.0-style" showColumnStripes="0" showFirstColumn="1" showLastColumn="1" showRowStripes="1"/>
</table>
</file>

<file path=xl/tables/table4.xml><?xml version="1.0" encoding="utf-8"?>
<table xmlns="http://schemas.openxmlformats.org/spreadsheetml/2006/main" ref="A1:G56" displayName="Table2" name="Table2" id="1">
  <tableColumns count="7">
    <tableColumn name="Column 8" id="1"/>
    <tableColumn name="cross verfy start sno." id="2"/>
    <tableColumn name="Team ID" id="3"/>
    <tableColumn name="Primary Contact Name" id="4"/>
    <tableColumn name="Primary contact no." id="5"/>
    <tableColumn name="Primary Email." id="6"/>
    <tableColumn name="Please upload your Pitch presentation" id="7"/>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table" Target="../tables/table2.xml"/><Relationship Id="rId20" Type="http://schemas.openxmlformats.org/officeDocument/2006/relationships/hyperlink" Target="https://drive.google.com/file/d/1iWc68HJJJgFSsLxllZe3TY45JOCKec0Z/view?usp=sharing" TargetMode="External"/><Relationship Id="rId22" Type="http://schemas.openxmlformats.org/officeDocument/2006/relationships/hyperlink" Target="https://www.linkedin.com/school/psg-college-of-technology/" TargetMode="External"/><Relationship Id="rId21" Type="http://schemas.openxmlformats.org/officeDocument/2006/relationships/hyperlink" Target="https://www.linkedin.com/in/akshay--sk?utm_source=share&amp;utm_campaign=share_via&amp;utm_content=profile&amp;utm_medium=ios_app" TargetMode="External"/><Relationship Id="rId24" Type="http://schemas.openxmlformats.org/officeDocument/2006/relationships/hyperlink" Target="https://drive.google.com/file/d/1AFBWvei8iUFsbPvbpVzaLqXAFsFu4jvS/view" TargetMode="External"/><Relationship Id="rId23" Type="http://schemas.openxmlformats.org/officeDocument/2006/relationships/hyperlink" Target="https://docs.google.com/presentation/d/1zZYNJcw9kwJdoQmeNNB9xPR9xS-vA50l/edit?usp=sharing&amp;ouid=104277249549708518105&amp;rtpof=true&amp;sd=true" TargetMode="External"/><Relationship Id="rId1" Type="http://schemas.openxmlformats.org/officeDocument/2006/relationships/hyperlink" Target="http://s.no/" TargetMode="External"/><Relationship Id="rId2" Type="http://schemas.openxmlformats.org/officeDocument/2006/relationships/hyperlink" Target="https://drive.google.com/file/d/1icj55HRkpEE6D2YhMiuNvMZMm4qS83lU/view?usp=sharing" TargetMode="External"/><Relationship Id="rId3" Type="http://schemas.openxmlformats.org/officeDocument/2006/relationships/hyperlink" Target="https://www.linkedin.com/in/aathavanvalan1/overlay/about-this-profile/?lipi=urn%3Ali%3Apage%3Ad_flagship3_profile_view_base%3BriTF2OrHS4OJ7A6z6xWIuQ%3D%3D" TargetMode="External"/><Relationship Id="rId4" Type="http://schemas.openxmlformats.org/officeDocument/2006/relationships/hyperlink" Target="https://www.linkedin.com/school/st.-joseph%27s-college-of-engineering/" TargetMode="External"/><Relationship Id="rId9" Type="http://schemas.openxmlformats.org/officeDocument/2006/relationships/hyperlink" Target="https://www.linkedin.com/in/vijay-krishna-s/" TargetMode="External"/><Relationship Id="rId26" Type="http://schemas.openxmlformats.org/officeDocument/2006/relationships/hyperlink" Target="https://www.linkedin.com/in/saravanan-krishnan-26373b5/" TargetMode="External"/><Relationship Id="rId25" Type="http://schemas.openxmlformats.org/officeDocument/2006/relationships/hyperlink" Target="https://docs.google.com/presentation/d/1b5MrpNXt1nMVPylbe9wylHSNXuDk8qDu/edit?usp=sharing&amp;ouid=104277249549708518105&amp;rtpof=true&amp;sd=true" TargetMode="External"/><Relationship Id="rId28" Type="http://schemas.openxmlformats.org/officeDocument/2006/relationships/hyperlink" Target="https://www.linkedin.com/in/nikarika-ramesh-242842198/" TargetMode="External"/><Relationship Id="rId27" Type="http://schemas.openxmlformats.org/officeDocument/2006/relationships/hyperlink" Target="https://docs.google.com/presentation/d/1UuvB8CG5hK21LYH5-VK1-ElnDGm_z_ck/edit?slide=id.p1" TargetMode="External"/><Relationship Id="rId5" Type="http://schemas.openxmlformats.org/officeDocument/2006/relationships/hyperlink" Target="https://drive.google.com/file/d/1OUSJwH2xDGJqMtzE109n35wkSSxf7pE8/view?usp=sharing" TargetMode="External"/><Relationship Id="rId6" Type="http://schemas.openxmlformats.org/officeDocument/2006/relationships/hyperlink" Target="https://www.linkedin.com/in/deepika-harigovindan-8974a7315/" TargetMode="External"/><Relationship Id="rId29" Type="http://schemas.openxmlformats.org/officeDocument/2006/relationships/hyperlink" Target="https://drive.google.com/file/d/1f0KPgYZmecnbvsrtUrlSgDz0N6apAXyJ/view?usp=drive_link" TargetMode="External"/><Relationship Id="rId7" Type="http://schemas.openxmlformats.org/officeDocument/2006/relationships/hyperlink" Target="https://www.linkedin.com/school/sri-sairam-homoeopathy-medical-college-inst.-code---209-chennai/about/" TargetMode="External"/><Relationship Id="rId8" Type="http://schemas.openxmlformats.org/officeDocument/2006/relationships/hyperlink" Target="https://docs.google.com/presentation/d/1RcoSCW7AzUCA6qeqWWS2U1sE5cu9pSk6/edit?usp=sharing&amp;ouid=104277249549708518105&amp;rtpof=true&amp;sd=true" TargetMode="External"/><Relationship Id="rId31" Type="http://schemas.openxmlformats.org/officeDocument/2006/relationships/hyperlink" Target="https://docs.google.com/presentation/d/1R3kivspd_3Lf6F3BjWMmF6CfZnH8UGnm/edit?usp=drive_link&amp;ouid=104277249549708518105&amp;rtpof=true&amp;sd=true" TargetMode="External"/><Relationship Id="rId30" Type="http://schemas.openxmlformats.org/officeDocument/2006/relationships/hyperlink" Target="https://docs.google.com/presentation/d/1if-EUnplBW5VbKgR7L12TzrIzz_2XseW/edit?usp=sharing&amp;ouid=104277249549708518105&amp;rtpof=true&amp;sd=true" TargetMode="External"/><Relationship Id="rId11" Type="http://schemas.openxmlformats.org/officeDocument/2006/relationships/hyperlink" Target="https://drive.google.com/file/d/1VorSWnUlyM-hZbEwKD3-ydU3amct_rNZ/view?usp=sharing" TargetMode="External"/><Relationship Id="rId33" Type="http://schemas.openxmlformats.org/officeDocument/2006/relationships/hyperlink" Target="https://drive.google.com/file/d/18TKSjzu0XBMIfcvR-TzwQO4eOlv5TP4I/view?usp=sharing" TargetMode="External"/><Relationship Id="rId10" Type="http://schemas.openxmlformats.org/officeDocument/2006/relationships/hyperlink" Target="https://www.linkedin.com/school/college-of-engineering-guindy/posts/?feedView=all" TargetMode="External"/><Relationship Id="rId32" Type="http://schemas.openxmlformats.org/officeDocument/2006/relationships/hyperlink" Target="https://www.linkedin.com/in/prathip-vamsi/" TargetMode="External"/><Relationship Id="rId13" Type="http://schemas.openxmlformats.org/officeDocument/2006/relationships/hyperlink" Target="https://www.linkedin.com/school/r.m.k-engineering-college/" TargetMode="External"/><Relationship Id="rId35" Type="http://schemas.openxmlformats.org/officeDocument/2006/relationships/hyperlink" Target="https://docs.google.com/presentation/d/1EV9T72VDcsImuuEu7YDiejbpGu0Mvy9q/edit?usp=sharing&amp;ouid=104277249549708518105&amp;rtpof=true&amp;sd=true" TargetMode="External"/><Relationship Id="rId12" Type="http://schemas.openxmlformats.org/officeDocument/2006/relationships/hyperlink" Target="https://www.linkedin.com/in/prem-pradeep-s" TargetMode="External"/><Relationship Id="rId34" Type="http://schemas.openxmlformats.org/officeDocument/2006/relationships/hyperlink" Target="https://drive.google.com/file/d/1qUQVHPhnQ3qdrzuMrbhNc2rdmt8eokYp/view?usp=sharing" TargetMode="External"/><Relationship Id="rId15" Type="http://schemas.openxmlformats.org/officeDocument/2006/relationships/hyperlink" Target="https://www.linkedin.com/in/varshaaselva/?utm_source=share&amp;utm_campaign=share_via&amp;utm_content=profile&amp;utm_medium=ios_app" TargetMode="External"/><Relationship Id="rId14" Type="http://schemas.openxmlformats.org/officeDocument/2006/relationships/hyperlink" Target="https://docs.google.com/presentation/d/1r_uJDDSgeSqdewnxUdc17ddlmhNFHjj7/edit?usp=sharing&amp;ouid=104277249549708518105&amp;rtpof=true&amp;sd=true" TargetMode="External"/><Relationship Id="rId36" Type="http://schemas.openxmlformats.org/officeDocument/2006/relationships/drawing" Target="../drawings/drawing1.xml"/><Relationship Id="rId17" Type="http://schemas.openxmlformats.org/officeDocument/2006/relationships/hyperlink" Target="https://docs.google.com/presentation/d/1Jqm6_fP9FgL0YIqrGdUb-tYgGnQ5StAv/edit?usp=sharing&amp;ouid=104277249549708518105&amp;rtpof=true&amp;sd=true" TargetMode="External"/><Relationship Id="rId39" Type="http://schemas.openxmlformats.org/officeDocument/2006/relationships/table" Target="../tables/table1.xml"/><Relationship Id="rId16" Type="http://schemas.openxmlformats.org/officeDocument/2006/relationships/hyperlink" Target="https://www.linkedin.com/school/r.m.k-engineering-college/" TargetMode="External"/><Relationship Id="rId19" Type="http://schemas.openxmlformats.org/officeDocument/2006/relationships/hyperlink" Target="https://www.linkedin.com/school/college-of-engineering-guindy/posts/?feedView=all" TargetMode="External"/><Relationship Id="rId18" Type="http://schemas.openxmlformats.org/officeDocument/2006/relationships/hyperlink" Target="https://www.linkedin.com/in/purushothaman-jayavel-19b121286?utm_source=share&amp;utm_campaign=share_via&amp;utm_content=profile&amp;utm_medium=android_app"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presentation/d/1a1-cslN2_rNuqqxhNwMaXR9GYvG_YwrY/edit?usp=sharing&amp;ouid=104277249549708518105&amp;rtpof=true&amp;sd=true" TargetMode="External"/><Relationship Id="rId42" Type="http://schemas.openxmlformats.org/officeDocument/2006/relationships/hyperlink" Target="https://drive.google.com/file/d/16dmS9BkwYK-znvr3Rkj5DTs7hprWCF1E/view?usp=sharing" TargetMode="External"/><Relationship Id="rId41" Type="http://schemas.openxmlformats.org/officeDocument/2006/relationships/hyperlink" Target="https://docs.google.com/presentation/d/1m8L6g7SZESpUVObADCFChgYbYZngLRPi/edit?usp=sharing&amp;ouid=104277249549708518105&amp;rtpof=true&amp;sd=true" TargetMode="External"/><Relationship Id="rId44" Type="http://schemas.openxmlformats.org/officeDocument/2006/relationships/hyperlink" Target="https://docs.google.com/presentation/d/1afpjyLh9-5tS8BVp6n7kGe_cPta3vbdj/edit?usp=drive_link&amp;ouid=104277249549708518105&amp;rtpof=true&amp;sd=true" TargetMode="External"/><Relationship Id="rId43" Type="http://schemas.openxmlformats.org/officeDocument/2006/relationships/hyperlink" Target="https://docs.google.com/presentation/d/1XuDjadqAkzk4-vE3pLzlhAgVZAATO4Mz/edit?usp=drive_link&amp;ouid=104277249549708518105&amp;rtpof=true&amp;sd=true" TargetMode="External"/><Relationship Id="rId46" Type="http://schemas.openxmlformats.org/officeDocument/2006/relationships/hyperlink" Target="https://drive.google.com/file/d/1MZmmKsUva2j60JwGRRjdJHdHuwsOg9eV/view?usp=drive_link" TargetMode="External"/><Relationship Id="rId45" Type="http://schemas.openxmlformats.org/officeDocument/2006/relationships/hyperlink" Target="https://docs.google.com/presentation/d/1OBy1oQxGUVgRaEYu_WITxGvuiEMEHJjK/edit?usp=drive_link&amp;ouid=104277249549708518105&amp;rtpof=true&amp;sd=true" TargetMode="External"/><Relationship Id="rId107" Type="http://schemas.openxmlformats.org/officeDocument/2006/relationships/hyperlink" Target="https://drive.google.com/file/d/1zvoBHLHzNkEc_Tko9TpmvngKFuliUMRn/view?usp=sharing" TargetMode="External"/><Relationship Id="rId106" Type="http://schemas.openxmlformats.org/officeDocument/2006/relationships/hyperlink" Target="https://drive.google.com/file/d/18TKSjzu0XBMIfcvR-TzwQO4eOlv5TP4I/view?usp=sharing" TargetMode="External"/><Relationship Id="rId105" Type="http://schemas.openxmlformats.org/officeDocument/2006/relationships/hyperlink" Target="https://drive.google.com/file/d/1Ah--a7bYtRmDx9Kk1r_kXVKF3d9aC0Po/view?usp=sharing" TargetMode="External"/><Relationship Id="rId104" Type="http://schemas.openxmlformats.org/officeDocument/2006/relationships/hyperlink" Target="https://drive.google.com/file/d/1HRf_OMTsFfLIgp75MqT6IfnQd187-lg3/view?usp=sharing" TargetMode="External"/><Relationship Id="rId109" Type="http://schemas.openxmlformats.org/officeDocument/2006/relationships/hyperlink" Target="https://docs.google.com/presentation/d/1VWhrxq4im2ROTVEhW3mI93TDMyUbpKfn/edit?usp=sharing&amp;ouid=104277249549708518105&amp;rtpof=true&amp;sd=true" TargetMode="External"/><Relationship Id="rId108" Type="http://schemas.openxmlformats.org/officeDocument/2006/relationships/hyperlink" Target="https://drive.google.com/file/d/1qUQVHPhnQ3qdrzuMrbhNc2rdmt8eokYp/view?usp=sharing" TargetMode="External"/><Relationship Id="rId48" Type="http://schemas.openxmlformats.org/officeDocument/2006/relationships/hyperlink" Target="https://docs.google.com/presentation/d/1d_QPiSCNKK8qPBBvYe2cLPeJl46ZqELP/edit?usp=sharing&amp;ouid=104277249549708518105&amp;rtpof=true&amp;sd=true" TargetMode="External"/><Relationship Id="rId47" Type="http://schemas.openxmlformats.org/officeDocument/2006/relationships/hyperlink" Target="https://drive.google.com/file/d/1UlrxM_AHdk68OEtgluBi7kH5FiObeWnn/view?usp=drive_link" TargetMode="External"/><Relationship Id="rId49" Type="http://schemas.openxmlformats.org/officeDocument/2006/relationships/hyperlink" Target="https://docs.google.com/presentation/d/1WbLTAapfRoC1Jw8AjPoUSNHbaO1Bni6Q/edit?usp=sharing&amp;ouid=104277249549708518105&amp;rtpof=true&amp;sd=true" TargetMode="External"/><Relationship Id="rId103" Type="http://schemas.openxmlformats.org/officeDocument/2006/relationships/hyperlink" Target="https://docs.google.com/presentation/d/1V-32Gir5a5QIm0vNZVAbU7v4XnkamQTt/edit?usp=sharing&amp;ouid=104277249549708518105&amp;rtpof=true&amp;sd=true" TargetMode="External"/><Relationship Id="rId102" Type="http://schemas.openxmlformats.org/officeDocument/2006/relationships/hyperlink" Target="https://docs.google.com/presentation/d/1cBdWM-yx1Et9L-TzJYMXq4fBO_v_P6uC/edit?usp=sharing&amp;ouid=104277249549708518105&amp;rtpof=true&amp;sd=true" TargetMode="External"/><Relationship Id="rId101" Type="http://schemas.openxmlformats.org/officeDocument/2006/relationships/hyperlink" Target="https://docs.google.com/presentation/d/1AGp92K4_64IgcM-2B-4hcOB_R8Gr-GZe/edit?usp=sharing&amp;ouid=104277249549708518105&amp;rtpof=true&amp;sd=true" TargetMode="External"/><Relationship Id="rId100" Type="http://schemas.openxmlformats.org/officeDocument/2006/relationships/hyperlink" Target="https://docs.google.com/presentation/d/1gLfAukoaWD809mJN3VkgMBqPAbsYgBjv/edit?usp=sharing&amp;ouid=104277249549708518105&amp;rtpof=true&amp;sd=true" TargetMode="External"/><Relationship Id="rId31" Type="http://schemas.openxmlformats.org/officeDocument/2006/relationships/hyperlink" Target="https://docs.google.com/presentation/d/1mFOPCn7ZHKzvNicJaWvacJD6nFsAMFeD/edit?usp=sharing&amp;ouid=104277249549708518105&amp;rtpof=true&amp;sd=true" TargetMode="External"/><Relationship Id="rId30" Type="http://schemas.openxmlformats.org/officeDocument/2006/relationships/hyperlink" Target="https://drive.google.com/file/d/1Jpe5V4pSn5lJy2WIv8hH5IrXrD21Dcd2/view?usp=sharing" TargetMode="External"/><Relationship Id="rId33" Type="http://schemas.openxmlformats.org/officeDocument/2006/relationships/hyperlink" Target="https://drive.google.com/file/d/1zwrG0J_pCo6yZG42LAl7d5Jx_zdp-LZ_/view?usp=sharing" TargetMode="External"/><Relationship Id="rId32" Type="http://schemas.openxmlformats.org/officeDocument/2006/relationships/hyperlink" Target="https://drive.google.com/file/d/1ghr4wKJHaB9cM-p8gmva4wiN-FUH3Mmg/view?usp=sharing" TargetMode="External"/><Relationship Id="rId35" Type="http://schemas.openxmlformats.org/officeDocument/2006/relationships/hyperlink" Target="https://docs.google.com/presentation/d/17jQg9XR0LqRPj3eRC3a4YTSCC34bS2xC/edit?usp=sharing&amp;ouid=104277249549708518105&amp;rtpof=true&amp;sd=true" TargetMode="External"/><Relationship Id="rId34" Type="http://schemas.openxmlformats.org/officeDocument/2006/relationships/hyperlink" Target="https://drive.google.com/file/d/1uDPKPYE5yjMZJlz_KH9e1FA4BpniXAqV/view?usp=sharing" TargetMode="External"/><Relationship Id="rId37" Type="http://schemas.openxmlformats.org/officeDocument/2006/relationships/hyperlink" Target="https://docs.google.com/presentation/d/1q6DSpwV1hx2Rm-kzFBpcLePgyMdtoYN8/edit?usp=drive_link&amp;ouid=104277249549708518105&amp;rtpof=true&amp;sd=true" TargetMode="External"/><Relationship Id="rId36" Type="http://schemas.openxmlformats.org/officeDocument/2006/relationships/hyperlink" Target="https://docs.google.com/presentation/d/1oFUOmIKNt2GIY5MFtUsV5wWWwNS22Cvx/edit?usp=drive_link&amp;ouid=104277249549708518105&amp;rtpof=true&amp;sd=true" TargetMode="External"/><Relationship Id="rId39" Type="http://schemas.openxmlformats.org/officeDocument/2006/relationships/hyperlink" Target="https://docs.google.com/presentation/d/12LN-QBBpvWc6tcuxKPHLibN5bA6aTuD1/edit?usp=sharing&amp;ouid=104277249549708518105&amp;rtpof=true&amp;sd=true" TargetMode="External"/><Relationship Id="rId38" Type="http://schemas.openxmlformats.org/officeDocument/2006/relationships/hyperlink" Target="https://drive.google.com/file/d/1DlTjyBNXXg7rvTQiMFflasG6_1AsoxPH/view?usp=drive_link" TargetMode="External"/><Relationship Id="rId20" Type="http://schemas.openxmlformats.org/officeDocument/2006/relationships/hyperlink" Target="https://docs.google.com/presentation/d/1svlsWidPE9Mo4IunAUtMRWoX6-3FELRG/edit?usp=sharing&amp;ouid=104277249549708518105&amp;rtpof=true&amp;sd=true" TargetMode="External"/><Relationship Id="rId22" Type="http://schemas.openxmlformats.org/officeDocument/2006/relationships/hyperlink" Target="https://docs.google.com/presentation/d/1d8-jiX9yr-sMsCczAoqAxNddaCFgD9Lb/edit?usp=sharing&amp;ouid=104277249549708518105&amp;rtpof=true&amp;sd=true" TargetMode="External"/><Relationship Id="rId21" Type="http://schemas.openxmlformats.org/officeDocument/2006/relationships/hyperlink" Target="https://docs.google.com/presentation/d/1R3kivspd_3Lf6F3BjWMmF6CfZnH8UGnm/edit?usp=drive_link&amp;ouid=104277249549708518105&amp;rtpof=true&amp;sd=true" TargetMode="External"/><Relationship Id="rId24" Type="http://schemas.openxmlformats.org/officeDocument/2006/relationships/hyperlink" Target="https://drive.google.com/file/d/1TQHqyQdolrHhxhMYy4F0qSG_uUNK2Vpv/view?usp=sharing" TargetMode="External"/><Relationship Id="rId23" Type="http://schemas.openxmlformats.org/officeDocument/2006/relationships/hyperlink" Target="https://docs.google.com/presentation/d/1FXIGWLrifrRMQscDpQMdcN-VyYJj8lRY/edit?usp=sharing&amp;ouid=104277249549708518105&amp;rtpof=true&amp;sd=true" TargetMode="External"/><Relationship Id="rId129" Type="http://schemas.openxmlformats.org/officeDocument/2006/relationships/hyperlink" Target="https://drive.google.com/file/d/14vFE5wfabqJc8fVR0TmOnN5rBoOLq0F9/view?usp=sharing" TargetMode="External"/><Relationship Id="rId128" Type="http://schemas.openxmlformats.org/officeDocument/2006/relationships/hyperlink" Target="https://drive.google.com/file/d/1iNwwr51csQl5L2HxqfHq3mcSrEpifNmI/view?usp=sharing" TargetMode="External"/><Relationship Id="rId127" Type="http://schemas.openxmlformats.org/officeDocument/2006/relationships/hyperlink" Target="https://docs.google.com/presentation/d/175HtfDzRpsYzA33iIXRw_akLqNQCY8sF/edit?usp=sharing&amp;ouid=104277249549708518105&amp;rtpof=true&amp;sd=true" TargetMode="External"/><Relationship Id="rId126" Type="http://schemas.openxmlformats.org/officeDocument/2006/relationships/hyperlink" Target="https://docs.google.com/presentation/d/1ydjWJIArLgff7w189FF0XTyw-wB4x8qz/edit?usp=sharing&amp;ouid=104277249549708518105&amp;rtpof=true&amp;sd=true" TargetMode="External"/><Relationship Id="rId26" Type="http://schemas.openxmlformats.org/officeDocument/2006/relationships/hyperlink" Target="https://docs.google.com/presentation/d/1gXlydx6GGyjViK9BH2DExwsitvhYxcTC/edit?usp=sharing&amp;ouid=104277249549708518105&amp;rtpof=true&amp;sd=true" TargetMode="External"/><Relationship Id="rId121" Type="http://schemas.openxmlformats.org/officeDocument/2006/relationships/hyperlink" Target="https://docs.google.com/presentation/d/1DrL3w6tkh8WgbEy3HjkfwRQ93uZiQ4Wz/edit?usp=sharing&amp;ouid=104277249549708518105&amp;rtpof=true&amp;sd=true" TargetMode="External"/><Relationship Id="rId25" Type="http://schemas.openxmlformats.org/officeDocument/2006/relationships/hyperlink" Target="https://docs.google.com/presentation/d/1F6UprY1Bo46MyZFlV5jxGpMy8RoiGBv4/edit?usp=sharing&amp;ouid=104277249549708518105&amp;rtpof=true&amp;sd=true" TargetMode="External"/><Relationship Id="rId120" Type="http://schemas.openxmlformats.org/officeDocument/2006/relationships/hyperlink" Target="https://docs.google.com/presentation/d/1k_R53bveQiXpAf_kiNbuGUvDcY5O-ZEo/edit?usp=sharing&amp;ouid=104277249549708518105&amp;rtpof=true&amp;sd=true" TargetMode="External"/><Relationship Id="rId28" Type="http://schemas.openxmlformats.org/officeDocument/2006/relationships/hyperlink" Target="https://docs.google.com/presentation/d/1vvNjk_1_mJJVLriLTt7MFXxwPhGuccHt/edit?usp=sharing&amp;ouid=104277249549708518105&amp;rtpof=true&amp;sd=true" TargetMode="External"/><Relationship Id="rId27" Type="http://schemas.openxmlformats.org/officeDocument/2006/relationships/hyperlink" Target="https://docs.google.com/presentation/d/1YFjs7wBOE-FwqPCIpm92exmo75IKjAZU/edit?usp=sharing&amp;ouid=104277249549708518105&amp;rtpof=true&amp;sd=true" TargetMode="External"/><Relationship Id="rId125" Type="http://schemas.openxmlformats.org/officeDocument/2006/relationships/hyperlink" Target="https://docs.google.com/presentation/d/1sCHM3Kb7v7kxVo4SstRbvSKduMOcYCBP/edit?usp=sharing&amp;ouid=104277249549708518105&amp;rtpof=true&amp;sd=true" TargetMode="External"/><Relationship Id="rId29" Type="http://schemas.openxmlformats.org/officeDocument/2006/relationships/hyperlink" Target="https://drive.google.com/file/d/1iMYV5dCGbdlUDh24yHlB6oced5JQ3Bc2/view?usp=sharing" TargetMode="External"/><Relationship Id="rId124" Type="http://schemas.openxmlformats.org/officeDocument/2006/relationships/hyperlink" Target="https://docs.google.com/presentation/d/1HWkvsPywVuKWK1mq7ysa0ILsvgQxadQx/edit?usp=sharing&amp;ouid=104277249549708518105&amp;rtpof=true&amp;sd=true" TargetMode="External"/><Relationship Id="rId123" Type="http://schemas.openxmlformats.org/officeDocument/2006/relationships/hyperlink" Target="https://drive.google.com/file/d/1awm9MVqtyTkxmRySzpoln5Jidbh6KYqQ/view?usp=sharing" TargetMode="External"/><Relationship Id="rId122" Type="http://schemas.openxmlformats.org/officeDocument/2006/relationships/hyperlink" Target="https://drive.google.com/file/d/1Ut3XYaHh13bLRoFmhbJoREBB6yk05q2M/view?usp=sharing" TargetMode="External"/><Relationship Id="rId95" Type="http://schemas.openxmlformats.org/officeDocument/2006/relationships/hyperlink" Target="https://docs.google.com/presentation/d/1FXfUyGDlWBSVSWdlR8txzdfGM1uWDNfg/edit?usp=sharing&amp;ouid=104277249549708518105&amp;rtpof=true&amp;sd=true" TargetMode="External"/><Relationship Id="rId94" Type="http://schemas.openxmlformats.org/officeDocument/2006/relationships/hyperlink" Target="https://docs.google.com/presentation/d/1uK1jvNK5uZzUPeWETKPYgSroJ5mXheZM/edit?usp=sharing&amp;ouid=104277249549708518105&amp;rtpof=true&amp;sd=true" TargetMode="External"/><Relationship Id="rId97" Type="http://schemas.openxmlformats.org/officeDocument/2006/relationships/hyperlink" Target="https://docs.google.com/presentation/d/10FTUyZ_zpXB2nndcBXQlWcBMXfMK0yVj/edit?usp=sharing&amp;ouid=104277249549708518105&amp;rtpof=true&amp;sd=true" TargetMode="External"/><Relationship Id="rId96" Type="http://schemas.openxmlformats.org/officeDocument/2006/relationships/hyperlink" Target="https://drive.google.com/file/d/1IJyIhDc_nJsknIBpWAK5dpREEs4y2Jtp/view?usp=sharing" TargetMode="External"/><Relationship Id="rId11" Type="http://schemas.openxmlformats.org/officeDocument/2006/relationships/hyperlink" Target="https://docs.google.com/presentation/d/1GpS3lq2AUHyhjevALarZz2JiP0aXoCf6/edit?usp=sharing&amp;ouid=104277249549708518105&amp;rtpof=true&amp;sd=true" TargetMode="External"/><Relationship Id="rId99" Type="http://schemas.openxmlformats.org/officeDocument/2006/relationships/hyperlink" Target="https://drive.google.com/file/d/15VC3YOTSvBp5zx_f2_UnedEDj7sMRjGc/view?usp=sharing" TargetMode="External"/><Relationship Id="rId10" Type="http://schemas.openxmlformats.org/officeDocument/2006/relationships/hyperlink" Target="https://docs.google.com/presentation/d/1PSNb4KAfoToZb3vJ3ZDzvwtjMzaZ7y4H/edit?usp=sharing&amp;ouid=104277249549708518105&amp;rtpof=true&amp;sd=true" TargetMode="External"/><Relationship Id="rId98" Type="http://schemas.openxmlformats.org/officeDocument/2006/relationships/hyperlink" Target="https://drive.google.com/file/d/16ki4JOqN7ZPYPneTQ1mW-roDP89_Q7B8/view?usp=sharing" TargetMode="External"/><Relationship Id="rId13" Type="http://schemas.openxmlformats.org/officeDocument/2006/relationships/hyperlink" Target="https://drive.google.com/file/d/1Em_cP1ecMnwQxTbmcsLeqcczsvVaZdln/view?usp=sharing" TargetMode="External"/><Relationship Id="rId12" Type="http://schemas.openxmlformats.org/officeDocument/2006/relationships/hyperlink" Target="https://drive.google.com/file/d/1sFC4pPdrt2TlqHFgBbsQ0UUPSKQ--6He/view?usp=sharing" TargetMode="External"/><Relationship Id="rId91" Type="http://schemas.openxmlformats.org/officeDocument/2006/relationships/hyperlink" Target="https://drive.google.com/file/d/1qjD-GcXz1UuBFOMudOdluGNs9fC7t9JA/view?usp=sharing" TargetMode="External"/><Relationship Id="rId90" Type="http://schemas.openxmlformats.org/officeDocument/2006/relationships/hyperlink" Target="https://docs.google.com/presentation/d/1xilADa_we21eyupqg43BdOhiGZY8F1wV/edit?usp=sharing&amp;ouid=104277249549708518105&amp;rtpof=true&amp;sd=true" TargetMode="External"/><Relationship Id="rId93" Type="http://schemas.openxmlformats.org/officeDocument/2006/relationships/hyperlink" Target="https://docs.google.com/presentation/d/1J48yzTB4_Zx3WazHZzagoKl9RPujXHf-/edit?usp=sharing&amp;ouid=104277249549708518105&amp;rtpof=true&amp;sd=true" TargetMode="External"/><Relationship Id="rId92" Type="http://schemas.openxmlformats.org/officeDocument/2006/relationships/hyperlink" Target="https://drive.google.com/file/d/1fzGMOVP8oCSnj7eaLmstMJs_p2Kp5jbl/view?usp=sharing" TargetMode="External"/><Relationship Id="rId118" Type="http://schemas.openxmlformats.org/officeDocument/2006/relationships/hyperlink" Target="https://docs.google.com/presentation/d/1nHZJs4i8lSAPFeGmnNbmIfUuscVuCEPM/edit?usp=sharing&amp;ouid=104277249549708518105&amp;rtpof=true&amp;sd=true" TargetMode="External"/><Relationship Id="rId117" Type="http://schemas.openxmlformats.org/officeDocument/2006/relationships/hyperlink" Target="https://docs.google.com/presentation/d/1UuvB8CG5hK21LYH5-VK1-ElnDGm_z_ck/edit?usp=drive_link&amp;ouid=104277249549708518105&amp;rtpof=true&amp;sd=true" TargetMode="External"/><Relationship Id="rId116" Type="http://schemas.openxmlformats.org/officeDocument/2006/relationships/hyperlink" Target="https://docs.google.com/presentation/d/1wggAGBMSMlgdD-zX_qRXkmL0vKLyx013/edit?usp=sharing&amp;ouid=104277249549708518105&amp;rtpof=true&amp;sd=true" TargetMode="External"/><Relationship Id="rId115" Type="http://schemas.openxmlformats.org/officeDocument/2006/relationships/hyperlink" Target="https://docs.google.com/presentation/d/1LMmAzIeobpm2hgAhDJPW5aVOUNjQZPdS/edit?usp=sharing&amp;ouid=104277249549708518105&amp;rtpof=true&amp;sd=true" TargetMode="External"/><Relationship Id="rId119" Type="http://schemas.openxmlformats.org/officeDocument/2006/relationships/hyperlink" Target="https://docs.google.com/presentation/d/1EY4tKzCIaQBfbR5vLwYbW2vf_P4rABJO/edit?usp=sharing&amp;ouid=104277249549708518105&amp;rtpof=true&amp;sd=true" TargetMode="External"/><Relationship Id="rId15" Type="http://schemas.openxmlformats.org/officeDocument/2006/relationships/hyperlink" Target="https://docs.google.com/presentation/d/1prMqTR-f9CdW-27PIrxhheLFhTq5VHGk/edit?usp=sharing&amp;ouid=104277249549708518105&amp;rtpof=true&amp;sd=true" TargetMode="External"/><Relationship Id="rId110" Type="http://schemas.openxmlformats.org/officeDocument/2006/relationships/hyperlink" Target="https://docs.google.com/presentation/d/1qyALgLmfBGwRQZVtXpNxFVOCOLST_2BK/edit?usp=sharing&amp;ouid=104277249549708518105&amp;rtpof=true&amp;sd=true" TargetMode="External"/><Relationship Id="rId14" Type="http://schemas.openxmlformats.org/officeDocument/2006/relationships/hyperlink" Target="https://docs.google.com/presentation/d/1WTC753AOBmjf_nBHKMzSdm2saxshkMHi/edit?usp=sharing&amp;ouid=104277249549708518105&amp;rtpof=true&amp;sd=true" TargetMode="External"/><Relationship Id="rId17" Type="http://schemas.openxmlformats.org/officeDocument/2006/relationships/hyperlink" Target="https://docs.google.com/presentation/d/1zZYNJcw9kwJdoQmeNNB9xPR9xS-vA50l/edit?usp=sharing&amp;ouid=104277249549708518105&amp;rtpof=true&amp;sd=true" TargetMode="External"/><Relationship Id="rId16" Type="http://schemas.openxmlformats.org/officeDocument/2006/relationships/hyperlink" Target="https://drive.google.com/file/d/1AFBWvei8iUFsbPvbpVzaLqXAFsFu4jvS/view?usp=drive_link" TargetMode="External"/><Relationship Id="rId19" Type="http://schemas.openxmlformats.org/officeDocument/2006/relationships/hyperlink" Target="https://drive.google.com/file/d/1icj55HRkpEE6D2YhMiuNvMZMm4qS83lU/view?usp=sharing" TargetMode="External"/><Relationship Id="rId114" Type="http://schemas.openxmlformats.org/officeDocument/2006/relationships/hyperlink" Target="https://docs.google.com/presentation/d/1j0u6rTzUBFBf7-jCFUsqyiQ-ftfNRYpJ/edit?usp=sharing&amp;ouid=104277249549708518105&amp;rtpof=true&amp;sd=true" TargetMode="External"/><Relationship Id="rId18" Type="http://schemas.openxmlformats.org/officeDocument/2006/relationships/hyperlink" Target="https://docs.google.com/presentation/d/19KDfehkfiMjlVS4MmIh7c7SpujP0fHpK/edit?usp=sharing&amp;ouid=104277249549708518105&amp;rtpof=true&amp;sd=true" TargetMode="External"/><Relationship Id="rId113" Type="http://schemas.openxmlformats.org/officeDocument/2006/relationships/hyperlink" Target="https://drive.google.com/file/d/1xq7J9KAZck44UQZR2L1-9K3gje5SnQ5O/view?usp=sharing" TargetMode="External"/><Relationship Id="rId112" Type="http://schemas.openxmlformats.org/officeDocument/2006/relationships/hyperlink" Target="https://docs.google.com/presentation/d/12RsdTu1tH7jx2uQYyNA2C3v1dFMkZU0H/edit?usp=sharing&amp;ouid=104277249549708518105&amp;rtpof=true&amp;sd=true" TargetMode="External"/><Relationship Id="rId111" Type="http://schemas.openxmlformats.org/officeDocument/2006/relationships/hyperlink" Target="https://docs.google.com/presentation/d/1b5MrpNXt1nMVPylbe9wylHSNXuDk8qDu/edit?usp=sharing&amp;ouid=104277249549708518105&amp;rtpof=true&amp;sd=true" TargetMode="External"/><Relationship Id="rId84" Type="http://schemas.openxmlformats.org/officeDocument/2006/relationships/hyperlink" Target="https://drive.google.com/file/d/1t-3FllaryXk9o1WXlTHlMYQUTJL9S79N/view?usp=sharing" TargetMode="External"/><Relationship Id="rId83" Type="http://schemas.openxmlformats.org/officeDocument/2006/relationships/hyperlink" Target="https://drive.google.com/file/d/1OUSJwH2xDGJqMtzE109n35wkSSxf7pE8/view?usp=sharing" TargetMode="External"/><Relationship Id="rId86" Type="http://schemas.openxmlformats.org/officeDocument/2006/relationships/hyperlink" Target="https://docs.google.com/presentation/d/1uaQshK-D_57QpLN85tltdCO-_hdPOfkC/edit?usp=sharing&amp;ouid=104277249549708518105&amp;rtpof=true&amp;sd=true" TargetMode="External"/><Relationship Id="rId85" Type="http://schemas.openxmlformats.org/officeDocument/2006/relationships/hyperlink" Target="https://drive.google.com/file/d/1X28ckk2B2gna7Ohu1co1xCtOLuMRGGAP/view?usp=sharing" TargetMode="External"/><Relationship Id="rId88" Type="http://schemas.openxmlformats.org/officeDocument/2006/relationships/hyperlink" Target="https://drive.google.com/open?id=1AKxv-vEykgim5SRlL5e67fYOaca71-EL" TargetMode="External"/><Relationship Id="rId87" Type="http://schemas.openxmlformats.org/officeDocument/2006/relationships/hyperlink" Target="https://docs.google.com/presentation/d/1ENBbWjMrus_c-pGMptggJFsm1nLYauzS/edit?usp=sharing&amp;ouid=104277249549708518105&amp;rtpof=true&amp;sd=true" TargetMode="External"/><Relationship Id="rId89" Type="http://schemas.openxmlformats.org/officeDocument/2006/relationships/hyperlink" Target="https://docs.google.com/presentation/d/17wdKIj5f9f7Im3Onqxb8JBSWlOHmnusB/edit?usp=sharing&amp;ouid=104277249549708518105&amp;rtpof=true&amp;sd=true" TargetMode="External"/><Relationship Id="rId80" Type="http://schemas.openxmlformats.org/officeDocument/2006/relationships/hyperlink" Target="https://docs.google.com/presentation/d/1Rbchip-rj68Va3SjmYraQyLPBDxUK_cI/edit?usp=sharing&amp;ouid=104277249549708518105&amp;rtpof=true&amp;sd=true" TargetMode="External"/><Relationship Id="rId82" Type="http://schemas.openxmlformats.org/officeDocument/2006/relationships/hyperlink" Target="https://drive.google.com/file/d/1YWnN75jWtxNAdKR8L3b7q3YvrpJshX1-/view?usp=sharing" TargetMode="External"/><Relationship Id="rId81" Type="http://schemas.openxmlformats.org/officeDocument/2006/relationships/hyperlink" Target="https://docs.google.com/presentation/d/149HppxiF5fWSdC5NDButuJX_m6yEKHIP/edit?usp=sharing&amp;ouid=104277249549708518105&amp;rtpof=true&amp;sd=true" TargetMode="External"/><Relationship Id="rId1" Type="http://schemas.openxmlformats.org/officeDocument/2006/relationships/hyperlink" Target="https://docs.google.com/presentation/d/11pbQZHDGUguVuSuwEOLjm3MfecqFhYTM/edit?usp=sharing&amp;ouid=104277249549708518105&amp;rtpof=true&amp;sd=true" TargetMode="External"/><Relationship Id="rId2" Type="http://schemas.openxmlformats.org/officeDocument/2006/relationships/hyperlink" Target="https://drive.google.com/file/d/1nMe76mTFPVo5XOKaU2FZJ_icdnBYZdPt/view?usp=sharing" TargetMode="External"/><Relationship Id="rId3" Type="http://schemas.openxmlformats.org/officeDocument/2006/relationships/hyperlink" Target="https://drive.google.com/file/d/1n3xy0kOxO2Yp2Z-7V4fJMq_x4C118BzN/view?usp=sharing" TargetMode="External"/><Relationship Id="rId4" Type="http://schemas.openxmlformats.org/officeDocument/2006/relationships/hyperlink" Target="https://docs.google.com/presentation/d/1Ntxw63M7DcsoxOIi704XmNM8A5r7ezz0/edit?usp=sharing&amp;ouid=104277249549708518105&amp;rtpof=true&amp;sd=true" TargetMode="External"/><Relationship Id="rId9" Type="http://schemas.openxmlformats.org/officeDocument/2006/relationships/hyperlink" Target="https://docs.google.com/presentation/d/16s3ed2pzozhPf-uAvWKXGMnci6USeI9O/edit?usp=sharing&amp;ouid=104277249549708518105&amp;rtpof=true&amp;sd=true" TargetMode="External"/><Relationship Id="rId141" Type="http://schemas.openxmlformats.org/officeDocument/2006/relationships/drawing" Target="../drawings/drawing2.xml"/><Relationship Id="rId140" Type="http://schemas.openxmlformats.org/officeDocument/2006/relationships/hyperlink" Target="https://docs.google.com/presentation/d/1WQXGrjy_NqQZ3WFJry6WxrY7dAXz0xkb/edit?usp=sharing&amp;ouid=104277249549708518105&amp;rtpof=true&amp;sd=true" TargetMode="External"/><Relationship Id="rId5" Type="http://schemas.openxmlformats.org/officeDocument/2006/relationships/hyperlink" Target="mailto:mrgokkul@gmail.com" TargetMode="External"/><Relationship Id="rId6" Type="http://schemas.openxmlformats.org/officeDocument/2006/relationships/hyperlink" Target="https://drive.google.com/file/d/1p4i1zajYvfSaNqnNbQ1cEiLOuEYvjDSJ/view?usp=sharing" TargetMode="External"/><Relationship Id="rId7" Type="http://schemas.openxmlformats.org/officeDocument/2006/relationships/hyperlink" Target="https://docs.google.com/presentation/d/14q8HVWXmbsPywVvXUfo8vnvagpaozDFv/edit?usp=sharing&amp;ouid=104277249549708518105&amp;rtpof=true&amp;sd=true" TargetMode="External"/><Relationship Id="rId8" Type="http://schemas.openxmlformats.org/officeDocument/2006/relationships/hyperlink" Target="https://docs.google.com/presentation/d/1L7eTzNmLVNQ7B7omSBjUOMv_Fo6yEUuj/edit?usp=sharing&amp;ouid=104277249549708518105&amp;rtpof=true&amp;sd=true" TargetMode="External"/><Relationship Id="rId73" Type="http://schemas.openxmlformats.org/officeDocument/2006/relationships/hyperlink" Target="https://docs.google.com/presentation/d/17d-7F8ya_H6PxxxxcwOvvTarwPgPOlaN/edit?usp=sharing&amp;ouid=104277249549708518105&amp;rtpof=true&amp;sd=true" TargetMode="External"/><Relationship Id="rId72" Type="http://schemas.openxmlformats.org/officeDocument/2006/relationships/hyperlink" Target="https://drive.google.com/file/d/1TD6Zr_t4dP2amdmHB97iyp7MVXGAWrPM/view?usp=sharing" TargetMode="External"/><Relationship Id="rId75" Type="http://schemas.openxmlformats.org/officeDocument/2006/relationships/hyperlink" Target="https://docs.google.com/presentation/d/1qNVBk6gBUF6C_R1PZ17tOFm6axKc1L5C/edit?usp=sharing&amp;ouid=104277249549708518105&amp;rtpof=true&amp;sd=true" TargetMode="External"/><Relationship Id="rId74" Type="http://schemas.openxmlformats.org/officeDocument/2006/relationships/hyperlink" Target="https://docs.google.com/presentation/d/100spzmnKXgcVCDW56dtZMhsgCfTyMSe0/edit?slide=id.p8" TargetMode="External"/><Relationship Id="rId77" Type="http://schemas.openxmlformats.org/officeDocument/2006/relationships/hyperlink" Target="https://docs.google.com/presentation/d/1XXOdoM72D_hhdWkD5i29TjW9-amrFpOE/edit?usp=sharing&amp;ouid=104277249549708518105&amp;rtpof=true&amp;sd=true" TargetMode="External"/><Relationship Id="rId76" Type="http://schemas.openxmlformats.org/officeDocument/2006/relationships/hyperlink" Target="https://drive.google.com/file/d/18ecch_ekv7-0S81KDJHkIjivGZFfbeRh/view?usp=sharing" TargetMode="External"/><Relationship Id="rId79" Type="http://schemas.openxmlformats.org/officeDocument/2006/relationships/hyperlink" Target="https://drive.google.com/file/d/1bMxYQQlYbDWHO1PCj8LZZ1BTe0fOzbXE/view?usp=sharing" TargetMode="External"/><Relationship Id="rId78" Type="http://schemas.openxmlformats.org/officeDocument/2006/relationships/hyperlink" Target="https://docs.google.com/presentation/d/1K0_8ixw9xLF8lSGKb6GeRqHY8DvkBBNV/edit?usp=sharing&amp;ouid=104277249549708518105&amp;rtpof=true&amp;sd=true" TargetMode="External"/><Relationship Id="rId71" Type="http://schemas.openxmlformats.org/officeDocument/2006/relationships/hyperlink" Target="https://drive.google.com/file/d/1-yznzjE283jjx-b3vDiIbIwsga68hIlk/view?usp=sharing" TargetMode="External"/><Relationship Id="rId70" Type="http://schemas.openxmlformats.org/officeDocument/2006/relationships/hyperlink" Target="https://drive.google.com/file/d/1JpesebGrTQRjlE59-oIm47tqykoWEbXQ/view?usp=sharing" TargetMode="External"/><Relationship Id="rId139" Type="http://schemas.openxmlformats.org/officeDocument/2006/relationships/hyperlink" Target="https://docs.google.com/presentation/d/1nvuV836cuAtoqqwk6DGd9OgNoqPvCf6Z/edit?usp=sharing&amp;ouid=104277249549708518105&amp;rtpof=true&amp;sd=true" TargetMode="External"/><Relationship Id="rId138" Type="http://schemas.openxmlformats.org/officeDocument/2006/relationships/hyperlink" Target="https://docs.google.com/presentation/d/1Tj9hcJg78Kfgp5-s1rqG-Ao1ByvAKk-C/edit?usp=sharing&amp;ouid=104277249549708518105&amp;rtpof=true&amp;sd=true" TargetMode="External"/><Relationship Id="rId137" Type="http://schemas.openxmlformats.org/officeDocument/2006/relationships/hyperlink" Target="https://docs.google.com/presentation/d/1g4-TPeuc1Ma7P0pBfXTI7XqP7vHwDnP6/edit?usp=sharing&amp;ouid=104277249549708518105&amp;rtpof=true&amp;sd=true" TargetMode="External"/><Relationship Id="rId132" Type="http://schemas.openxmlformats.org/officeDocument/2006/relationships/hyperlink" Target="https://drive.google.com/file/d/1ZTekSFYEKDNZI7T30N0Kmx-9Wxd1xtYC/view?usp=sharing" TargetMode="External"/><Relationship Id="rId131" Type="http://schemas.openxmlformats.org/officeDocument/2006/relationships/hyperlink" Target="https://drive.google.com/file/d/16L1EekCBLUWcJ2222051da0cnQvXCEjA/view?usp=sharing" TargetMode="External"/><Relationship Id="rId130" Type="http://schemas.openxmlformats.org/officeDocument/2006/relationships/hyperlink" Target="https://docs.google.com/presentation/d/1RaSKcvZtyuFxCyemLEnoqYmV2Y58scdO/edit?usp=sharing&amp;ouid=104277249549708518105&amp;rtpof=true&amp;sd=true" TargetMode="External"/><Relationship Id="rId136" Type="http://schemas.openxmlformats.org/officeDocument/2006/relationships/hyperlink" Target="mailto:karthikb070605@gmail.com" TargetMode="External"/><Relationship Id="rId135" Type="http://schemas.openxmlformats.org/officeDocument/2006/relationships/hyperlink" Target="https://docs.google.com/presentation/d/18z-76Mx5ICtmDs3BWvgoQi21dn9ekcDy/edit?usp=sharing&amp;ouid=104277249549708518105&amp;rtpof=true&amp;sd=true" TargetMode="External"/><Relationship Id="rId134" Type="http://schemas.openxmlformats.org/officeDocument/2006/relationships/hyperlink" Target="https://docs.google.com/presentation/d/1fiE9q_IVrPmYQ3YaT2hKpCfJKvOUE2OG/edit?usp=sharing&amp;ouid=104277249549708518105&amp;rtpof=true&amp;sd=true" TargetMode="External"/><Relationship Id="rId133" Type="http://schemas.openxmlformats.org/officeDocument/2006/relationships/hyperlink" Target="https://drive.google.com/file/d/12jx3TEGH4NE1c_zk_vY7Hlkp-BXrhUBu/view?usp=sharing" TargetMode="External"/><Relationship Id="rId62" Type="http://schemas.openxmlformats.org/officeDocument/2006/relationships/hyperlink" Target="https://drive.google.com/file/d/1tQYpjd0ys7bIEyfdKiGLxZMGevfiyhZ-/view?usp=sharing" TargetMode="External"/><Relationship Id="rId61" Type="http://schemas.openxmlformats.org/officeDocument/2006/relationships/hyperlink" Target="https://docs.google.com/presentation/d/1EV9T72VDcsImuuEu7YDiejbpGu0Mvy9q/edit?usp=drive_link&amp;ouid=104277249549708518105&amp;rtpof=true&amp;sd=true" TargetMode="External"/><Relationship Id="rId64" Type="http://schemas.openxmlformats.org/officeDocument/2006/relationships/hyperlink" Target="https://drive.google.com/file/d/1_oyvkYV9seEqEx0ZpV2wRqZi6JqcpK3a/view?usp=sharing" TargetMode="External"/><Relationship Id="rId63" Type="http://schemas.openxmlformats.org/officeDocument/2006/relationships/hyperlink" Target="https://docs.google.com/presentation/d/1RcoSCW7AzUCA6qeqWWS2U1sE5cu9pSk6/edit?usp=sharing&amp;ouid=104277249549708518105&amp;rtpof=true&amp;sd=true" TargetMode="External"/><Relationship Id="rId66" Type="http://schemas.openxmlformats.org/officeDocument/2006/relationships/hyperlink" Target="https://drive.google.com/file/d/1VorSWnUlyM-hZbEwKD3-ydU3amct_rNZ/view?usp=sharing" TargetMode="External"/><Relationship Id="rId65" Type="http://schemas.openxmlformats.org/officeDocument/2006/relationships/hyperlink" Target="https://docs.google.com/presentation/d/16iZHJVd8g9Vuf773Dx3vQinjIncBZeZc/edit?usp=sharing&amp;ouid=104277249549708518105&amp;rtpof=true&amp;sd=true" TargetMode="External"/><Relationship Id="rId68" Type="http://schemas.openxmlformats.org/officeDocument/2006/relationships/hyperlink" Target="https://docs.google.com/presentation/d/1zH7oPcHBU2ypBkNZMJ-UzIHydcevpHCz/edit?usp=sharing&amp;ouid=104277249549708518105&amp;rtpof=true&amp;sd=true" TargetMode="External"/><Relationship Id="rId67" Type="http://schemas.openxmlformats.org/officeDocument/2006/relationships/hyperlink" Target="https://docs.google.com/presentation/d/1GTUuQ193iH8aPr4qTGOjSh7oj8tF1aN7/edit?usp=sharing&amp;ouid=104277249549708518105&amp;rtpof=true&amp;sd=true" TargetMode="External"/><Relationship Id="rId60" Type="http://schemas.openxmlformats.org/officeDocument/2006/relationships/hyperlink" Target="https://docs.google.com/presentation/d/17APXum_6v75puPYL7bfg9TQt7yJJxsxX/edit?usp=sharing&amp;ouid=104277249549708518105&amp;rtpof=true&amp;sd=true" TargetMode="External"/><Relationship Id="rId69" Type="http://schemas.openxmlformats.org/officeDocument/2006/relationships/hyperlink" Target="https://docs.google.com/presentation/d/1g09SgWmRT8I0jsBBRlc4ZMBRmQxHlpzhdG2wl8bLoEM/edit?usp=sharing" TargetMode="External"/><Relationship Id="rId51" Type="http://schemas.openxmlformats.org/officeDocument/2006/relationships/hyperlink" Target="https://drive.google.com/file/d/1f0KPgYZmecnbvsrtUrlSgDz0N6apAXyJ/view?usp=drive_link" TargetMode="External"/><Relationship Id="rId50" Type="http://schemas.openxmlformats.org/officeDocument/2006/relationships/hyperlink" Target="https://docs.google.com/presentation/d/1R62ldDA80PBjNGZCWUlo8ednBrIS-Aq_/edit?usp=sharing&amp;ouid=104277249549708518105&amp;rtpof=true&amp;sd=true" TargetMode="External"/><Relationship Id="rId53" Type="http://schemas.openxmlformats.org/officeDocument/2006/relationships/hyperlink" Target="https://drive.google.com/file/d/1P71FvYpItc1HA5flnMDZjHqgEnahKtvC/view?usp=sharing" TargetMode="External"/><Relationship Id="rId52" Type="http://schemas.openxmlformats.org/officeDocument/2006/relationships/hyperlink" Target="https://docs.google.com/presentation/d/15MGrNRcJXUSMXUaCjctPr49PzbioluZx/edit?usp=sharing&amp;ouid=104277249549708518105&amp;rtpof=true&amp;sd=true" TargetMode="External"/><Relationship Id="rId55" Type="http://schemas.openxmlformats.org/officeDocument/2006/relationships/hyperlink" Target="https://docs.google.com/presentation/d/1O-4Y-K-HaEKILeDFo5VeCQkQP8ahl1TS/edit?usp=sharing&amp;ouid=104277249549708518105&amp;rtpof=true&amp;sd=true" TargetMode="External"/><Relationship Id="rId54" Type="http://schemas.openxmlformats.org/officeDocument/2006/relationships/hyperlink" Target="https://docs.google.com/presentation/d/160cPo5CjhoTEcnbUqeoL4E6ufPBT0gxj/edit?usp=sharing&amp;ouid=104277249549708518105&amp;rtpof=true&amp;sd=true" TargetMode="External"/><Relationship Id="rId57" Type="http://schemas.openxmlformats.org/officeDocument/2006/relationships/hyperlink" Target="https://docs.google.com/presentation/d/1Jqm6_fP9FgL0YIqrGdUb-tYgGnQ5StAv/edit?usp=sharing&amp;ouid=104277249549708518105&amp;rtpof=true&amp;sd=true" TargetMode="External"/><Relationship Id="rId56" Type="http://schemas.openxmlformats.org/officeDocument/2006/relationships/hyperlink" Target="https://drive.google.com/file/d/1iWc68HJJJgFSsLxllZe3TY45JOCKec0Z/view?usp=sharing" TargetMode="External"/><Relationship Id="rId59" Type="http://schemas.openxmlformats.org/officeDocument/2006/relationships/hyperlink" Target="https://docs.google.com/presentation/d/1MuQWS_G1HplPIFw5TjucIqjiErc1qDXv/edit?usp=sharing&amp;ouid=104277249549708518105&amp;rtpof=true&amp;sd=true" TargetMode="External"/><Relationship Id="rId58" Type="http://schemas.openxmlformats.org/officeDocument/2006/relationships/hyperlink" Target="https://docs.google.com/presentation/d/1if-EUnplBW5VbKgR7L12TzrIzz_2XseW/edit?usp=sharing&amp;ouid=104277249549708518105&amp;rtpof=true&amp;sd=tru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presentation/d/100spzmnKXgcVCDW56dtZMhsgCfTyMSe0/edit?usp=drive_link&amp;ouid=104277249549708518105&amp;rtpof=true&amp;sd=true" TargetMode="External"/><Relationship Id="rId2" Type="http://schemas.openxmlformats.org/officeDocument/2006/relationships/drawing" Target="../drawings/drawing3.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open?id=1X3kRolb3adDdEW7REfueac7cptP6jieD" TargetMode="External"/><Relationship Id="rId42" Type="http://schemas.openxmlformats.org/officeDocument/2006/relationships/hyperlink" Target="https://drive.google.com/open?id=1-9Wakw9eAXg6Our-F86qHsC68NeKtp7A" TargetMode="External"/><Relationship Id="rId41" Type="http://schemas.openxmlformats.org/officeDocument/2006/relationships/hyperlink" Target="https://drive.google.com/open?id=1GAqH5JxSXmL3C4pwAagePaHXNQi8oC4Q" TargetMode="External"/><Relationship Id="rId44" Type="http://schemas.openxmlformats.org/officeDocument/2006/relationships/hyperlink" Target="https://drive.google.com/open?id=1DrL3w6tkh8WgbEy3HjkfwRQ93uZiQ4Wz" TargetMode="External"/><Relationship Id="rId43" Type="http://schemas.openxmlformats.org/officeDocument/2006/relationships/hyperlink" Target="https://drive.google.com/open?id=1rXboz4oinUQKfJU2LXEYklFrMaftxRG-" TargetMode="External"/><Relationship Id="rId46" Type="http://schemas.openxmlformats.org/officeDocument/2006/relationships/hyperlink" Target="https://drive.google.com/open?id=1tWJh1aNqjYXJaB4xffewaxs0cTIYca-r" TargetMode="External"/><Relationship Id="rId45" Type="http://schemas.openxmlformats.org/officeDocument/2006/relationships/hyperlink" Target="https://drive.google.com/open?id=175HtfDzRpsYzA33iIXRw_akLqNQCY8sF" TargetMode="External"/><Relationship Id="rId48" Type="http://schemas.openxmlformats.org/officeDocument/2006/relationships/hyperlink" Target="https://drive.google.com/open?id=1nOtcqzNxnN1cVZZNgYC7O4pMceJ1vuq4" TargetMode="External"/><Relationship Id="rId47" Type="http://schemas.openxmlformats.org/officeDocument/2006/relationships/hyperlink" Target="https://drive.google.com/open?id=1b4go98skQmw_jcdiLt8kXyKtdRkgpWCV" TargetMode="External"/><Relationship Id="rId49" Type="http://schemas.openxmlformats.org/officeDocument/2006/relationships/hyperlink" Target="https://docs.google.com/presentation/d/1r_uJDDSgeSqdewnxUdc17ddlmhNFHjj7/edit?usp=sharing&amp;ouid=104277249549708518105&amp;rtpof=true&amp;sd=true" TargetMode="External"/><Relationship Id="rId31" Type="http://schemas.openxmlformats.org/officeDocument/2006/relationships/hyperlink" Target="https://drive.google.com/open?id=1Kkw_iTDBFZV0hwN1-vITM_lwyEMhi6Dw" TargetMode="External"/><Relationship Id="rId30" Type="http://schemas.openxmlformats.org/officeDocument/2006/relationships/hyperlink" Target="https://drive.google.com/open?id=1V-32Gir5a5QIm0vNZVAbU7v4XnkamQTt" TargetMode="External"/><Relationship Id="rId33" Type="http://schemas.openxmlformats.org/officeDocument/2006/relationships/hyperlink" Target="https://drive.google.com/open?id=11pbQZHDGUguVuSuwEOLjm3MfecqFhYTM" TargetMode="External"/><Relationship Id="rId32" Type="http://schemas.openxmlformats.org/officeDocument/2006/relationships/hyperlink" Target="https://drive.google.com/open?id=1AHZg48MqudezXNp1_6WBgna8gprHtxmo" TargetMode="External"/><Relationship Id="rId35" Type="http://schemas.openxmlformats.org/officeDocument/2006/relationships/hyperlink" Target="https://drive.google.com/open?id=1VWhrxq4im2ROTVEhW3mI93TDMyUbpKfn" TargetMode="External"/><Relationship Id="rId34" Type="http://schemas.openxmlformats.org/officeDocument/2006/relationships/hyperlink" Target="https://drive.google.com/open?id=1LB6DGTZ3ddGWtphg2oztcjwijHiSMvJD" TargetMode="External"/><Relationship Id="rId37" Type="http://schemas.openxmlformats.org/officeDocument/2006/relationships/hyperlink" Target="https://drive.google.com/open?id=1qyALgLmfBGwRQZVtXpNxFVOCOLST_2BK" TargetMode="External"/><Relationship Id="rId36" Type="http://schemas.openxmlformats.org/officeDocument/2006/relationships/hyperlink" Target="https://drive.google.com/open?id=1BTOx2EJcVCm4KsEBVzT3_P2bLZlD7fok" TargetMode="External"/><Relationship Id="rId39" Type="http://schemas.openxmlformats.org/officeDocument/2006/relationships/hyperlink" Target="https://drive.google.com/open?id=12RsdTu1tH7jx2uQYyNA2C3v1dFMkZU0H" TargetMode="External"/><Relationship Id="rId38" Type="http://schemas.openxmlformats.org/officeDocument/2006/relationships/hyperlink" Target="https://drive.google.com/open?id=1nHZJs4i8lSAPFeGmnNbmIfUuscVuCEPM" TargetMode="External"/><Relationship Id="rId20" Type="http://schemas.openxmlformats.org/officeDocument/2006/relationships/hyperlink" Target="https://drive.google.com/open?id=1VorSWnUlyM-hZbEwKD3-ydU3amct_rNZ" TargetMode="External"/><Relationship Id="rId22" Type="http://schemas.openxmlformats.org/officeDocument/2006/relationships/hyperlink" Target="https://drive.google.com/open?id=1AKxv-vEykgim5SRlL5e67fYOaca71-EL" TargetMode="External"/><Relationship Id="rId21" Type="http://schemas.openxmlformats.org/officeDocument/2006/relationships/hyperlink" Target="https://drive.google.com/open?id=1ENBbWjMrus_c-pGMptggJFsm1nLYauzS" TargetMode="External"/><Relationship Id="rId24" Type="http://schemas.openxmlformats.org/officeDocument/2006/relationships/hyperlink" Target="https://drive.google.com/open?id=1NXq1MT1nOZOwoEwzjtHP8wfEw4HrFKUH" TargetMode="External"/><Relationship Id="rId23" Type="http://schemas.openxmlformats.org/officeDocument/2006/relationships/hyperlink" Target="https://drive.google.com/open?id=1Qy4bFXYACWScXWuGrRJ2SjJqvZ5p6CgW" TargetMode="External"/><Relationship Id="rId26" Type="http://schemas.openxmlformats.org/officeDocument/2006/relationships/hyperlink" Target="https://drive.google.com/open?id=1OLvPZ68ByXNy7YfpMPQm7yBxDzWSn8pt" TargetMode="External"/><Relationship Id="rId25" Type="http://schemas.openxmlformats.org/officeDocument/2006/relationships/hyperlink" Target="https://drive.google.com/open?id=1qUQVHPhnQ3qdrzuMrbhNc2rdmt8eokYp" TargetMode="External"/><Relationship Id="rId28" Type="http://schemas.openxmlformats.org/officeDocument/2006/relationships/hyperlink" Target="https://drive.google.com/open?id=1cLQg3qoEPu5AXEckhDn3oepEgP6QvwIN" TargetMode="External"/><Relationship Id="rId27" Type="http://schemas.openxmlformats.org/officeDocument/2006/relationships/hyperlink" Target="https://drive.google.com/open?id=1AGp92K4_64IgcM-2B-4hcOB_R8Gr-GZe" TargetMode="External"/><Relationship Id="rId29" Type="http://schemas.openxmlformats.org/officeDocument/2006/relationships/hyperlink" Target="https://drive.google.com/open?id=1oVGXQB851bH8GxkM8Q2Ul1WD3_NojREl" TargetMode="External"/><Relationship Id="rId11" Type="http://schemas.openxmlformats.org/officeDocument/2006/relationships/hyperlink" Target="https://drive.google.com/open?id=1MfHI_NNqr7AkbgYK9KOLmgUp_0weURL_" TargetMode="External"/><Relationship Id="rId10" Type="http://schemas.openxmlformats.org/officeDocument/2006/relationships/hyperlink" Target="https://drive.google.com/open?id=1UJbWZgyLzAlkh7J9SHcaH0BMVLJ5RJMx" TargetMode="External"/><Relationship Id="rId13" Type="http://schemas.openxmlformats.org/officeDocument/2006/relationships/hyperlink" Target="https://drive.google.com/open?id=1L7eTzNmLVNQ7B7omSBjUOMv_Fo6yEUuj" TargetMode="External"/><Relationship Id="rId12" Type="http://schemas.openxmlformats.org/officeDocument/2006/relationships/hyperlink" Target="https://drive.google.com/open?id=1uK1jvNK5uZzUPeWETKPYgSroJ5mXheZM" TargetMode="External"/><Relationship Id="rId15" Type="http://schemas.openxmlformats.org/officeDocument/2006/relationships/hyperlink" Target="https://drive.google.com/open?id=149HppxiF5fWSdC5NDButuJX_m6yEKHIP" TargetMode="External"/><Relationship Id="rId14" Type="http://schemas.openxmlformats.org/officeDocument/2006/relationships/hyperlink" Target="https://drive.google.com/open?id=1Rbchip-rj68Va3SjmYraQyLPBDxUK_cI" TargetMode="External"/><Relationship Id="rId17" Type="http://schemas.openxmlformats.org/officeDocument/2006/relationships/hyperlink" Target="https://drive.google.com/open?id=1yhwdGyqyQaxxCpTdhazJmfT0qeGAy4je" TargetMode="External"/><Relationship Id="rId16" Type="http://schemas.openxmlformats.org/officeDocument/2006/relationships/hyperlink" Target="https://drive.google.com/open?id=14RsQA1eVb85QE9odrA6BXVDLlBtJTkru" TargetMode="External"/><Relationship Id="rId19" Type="http://schemas.openxmlformats.org/officeDocument/2006/relationships/hyperlink" Target="https://drive.google.com/open?id=1xdZR6PVuIhORvbO3UsCrFV3Vdziv_z8D" TargetMode="External"/><Relationship Id="rId18" Type="http://schemas.openxmlformats.org/officeDocument/2006/relationships/hyperlink" Target="https://drive.google.com/open?id=1eSK4TMygEDUwydtw3Bz8FhlF3MQxJlQy" TargetMode="External"/><Relationship Id="rId1" Type="http://schemas.openxmlformats.org/officeDocument/2006/relationships/hyperlink" Target="https://drive.google.com/open?id=1Ntxw63M7DcsoxOIi704XmNM8A5r7ezz0" TargetMode="External"/><Relationship Id="rId2" Type="http://schemas.openxmlformats.org/officeDocument/2006/relationships/hyperlink" Target="https://drive.google.com/open?id=16s3ed2pzozhPf-uAvWKXGMnci6USeI9O" TargetMode="External"/><Relationship Id="rId3" Type="http://schemas.openxmlformats.org/officeDocument/2006/relationships/hyperlink" Target="https://drive.google.com/open?id=1b5MrpNXt1nMVPylbe9wylHSNXuDk8qDu" TargetMode="External"/><Relationship Id="rId4" Type="http://schemas.openxmlformats.org/officeDocument/2006/relationships/hyperlink" Target="https://drive.google.com/open?id=1RaSKcvZtyuFxCyemLEnoqYmV2Y58scdO" TargetMode="External"/><Relationship Id="rId9" Type="http://schemas.openxmlformats.org/officeDocument/2006/relationships/hyperlink" Target="https://drive.google.com/open?id=1h9tBZeIaTYj8Em_ZR4Zz4Hh5uaf9SDvU" TargetMode="External"/><Relationship Id="rId5" Type="http://schemas.openxmlformats.org/officeDocument/2006/relationships/hyperlink" Target="https://drive.google.com/open?id=1kkTkDVzx7IcjWyCseEaZRkQ-xYIfc6PJ" TargetMode="External"/><Relationship Id="rId6" Type="http://schemas.openxmlformats.org/officeDocument/2006/relationships/hyperlink" Target="https://drive.google.com/open?id=1zZYNJcw9kwJdoQmeNNB9xPR9xS-vA50l" TargetMode="External"/><Relationship Id="rId7" Type="http://schemas.openxmlformats.org/officeDocument/2006/relationships/hyperlink" Target="https://drive.google.com/open?id=1GTUuQ193iH8aPr4qTGOjSh7oj8tF1aN7" TargetMode="External"/><Relationship Id="rId8" Type="http://schemas.openxmlformats.org/officeDocument/2006/relationships/hyperlink" Target="https://drive.google.com/open?id=1zH7oPcHBU2ypBkNZMJ-UzIHydcevpHCz" TargetMode="External"/><Relationship Id="rId51" Type="http://schemas.openxmlformats.org/officeDocument/2006/relationships/hyperlink" Target="https://drive.google.com/open?id=1oAPlJm8ZridCkNxy4LMZBTkvv34l8ZQJ" TargetMode="External"/><Relationship Id="rId50" Type="http://schemas.openxmlformats.org/officeDocument/2006/relationships/hyperlink" Target="https://drive.google.com/open?id=18z-76Mx5ICtmDs3BWvgoQi21dn9ekcDy" TargetMode="External"/><Relationship Id="rId53" Type="http://schemas.openxmlformats.org/officeDocument/2006/relationships/hyperlink" Target="https://drive.google.com/open?id=1Tj9hcJg78Kfgp5-s1rqG-Ao1ByvAKk-C" TargetMode="External"/><Relationship Id="rId52" Type="http://schemas.openxmlformats.org/officeDocument/2006/relationships/hyperlink" Target="https://drive.google.com/open?id=1g09SgWmRT8I0jsBBRlc4ZMBRmQxHlpzhdG2wl8bLoEM" TargetMode="External"/><Relationship Id="rId55" Type="http://schemas.openxmlformats.org/officeDocument/2006/relationships/hyperlink" Target="https://drive.google.com/open?id=1GgAzrhaWcpBPQsW6zHRD2g3L7XVQbRBh" TargetMode="External"/><Relationship Id="rId54" Type="http://schemas.openxmlformats.org/officeDocument/2006/relationships/hyperlink" Target="https://drive.google.com/open?id=1VJFo9SEViswHG__iQf9BE6MaCaSJ1Fwl" TargetMode="External"/><Relationship Id="rId56" Type="http://schemas.openxmlformats.org/officeDocument/2006/relationships/drawing" Target="../drawings/drawing4.xml"/><Relationship Id="rId58"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pickmyseat.ai" TargetMode="External"/><Relationship Id="rId2" Type="http://schemas.openxmlformats.org/officeDocument/2006/relationships/hyperlink" Target="http://resourceindia.co/"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docs.google.com/presentation/d/1FXfUyGDlWBSVSWdlR8txzdfGM1uWDNfg/edit?usp=sharing&amp;ouid=104277249549708518105&amp;rtpof=true&amp;sd=true" TargetMode="External"/><Relationship Id="rId42" Type="http://schemas.openxmlformats.org/officeDocument/2006/relationships/hyperlink" Target="https://docs.google.com/presentation/d/1EV9T72VDcsImuuEu7YDiejbpGu0Mvy9q/edit?usp=drive_link&amp;ouid=104277249549708518105&amp;rtpof=true&amp;sd=true" TargetMode="External"/><Relationship Id="rId41" Type="http://schemas.openxmlformats.org/officeDocument/2006/relationships/hyperlink" Target="https://docs.google.com/presentation/d/15MGrNRcJXUSMXUaCjctPr49PzbioluZx/edit?usp=sharing&amp;ouid=104277249549708518105&amp;rtpof=true&amp;sd=true" TargetMode="External"/><Relationship Id="rId44" Type="http://schemas.openxmlformats.org/officeDocument/2006/relationships/hyperlink" Target="https://docs.google.com/presentation/d/1YFjs7wBOE-FwqPCIpm92exmo75IKjAZU/edit?usp=sharing&amp;ouid=104277249549708518105&amp;rtpof=true&amp;sd=true" TargetMode="External"/><Relationship Id="rId43" Type="http://schemas.openxmlformats.org/officeDocument/2006/relationships/hyperlink" Target="https://docs.google.com/presentation/d/149HppxiF5fWSdC5NDButuJX_m6yEKHIP/edit?usp=sharing&amp;ouid=104277249549708518105&amp;rtpof=true&amp;sd=true" TargetMode="External"/><Relationship Id="rId46" Type="http://schemas.openxmlformats.org/officeDocument/2006/relationships/hyperlink" Target="https://docs.google.com/presentation/d/1K0_8ixw9xLF8lSGKb6GeRqHY8DvkBBNV/edit?usp=sharing&amp;ouid=104277249549708518105&amp;rtpof=true&amp;sd=true" TargetMode="External"/><Relationship Id="rId45" Type="http://schemas.openxmlformats.org/officeDocument/2006/relationships/hyperlink" Target="https://docs.google.com/presentation/d/1fiE9q_IVrPmYQ3YaT2hKpCfJKvOUE2OG/edit?usp=sharing&amp;ouid=104277249549708518105&amp;rtpof=true&amp;sd=true" TargetMode="External"/><Relationship Id="rId107" Type="http://schemas.openxmlformats.org/officeDocument/2006/relationships/hyperlink" Target="https://drive.google.com/file/d/1iMYV5dCGbdlUDh24yHlB6oced5JQ3Bc2/view?usp=sharing" TargetMode="External"/><Relationship Id="rId106" Type="http://schemas.openxmlformats.org/officeDocument/2006/relationships/hyperlink" Target="https://docs.google.com/presentation/d/1zZYNJcw9kwJdoQmeNNB9xPR9xS-vA50l/edit?usp=sharing&amp;ouid=104277249549708518105&amp;rtpof=true&amp;sd=true" TargetMode="External"/><Relationship Id="rId105" Type="http://schemas.openxmlformats.org/officeDocument/2006/relationships/hyperlink" Target="https://docs.google.com/presentation/d/1WTC753AOBmjf_nBHKMzSdm2saxshkMHi/edit?usp=sharing&amp;ouid=104277249549708518105&amp;rtpof=true&amp;sd=true" TargetMode="External"/><Relationship Id="rId104" Type="http://schemas.openxmlformats.org/officeDocument/2006/relationships/hyperlink" Target="https://drive.google.com/file/d/1IJyIhDc_nJsknIBpWAK5dpREEs4y2Jtp/view?usp=sharing" TargetMode="External"/><Relationship Id="rId109" Type="http://schemas.openxmlformats.org/officeDocument/2006/relationships/hyperlink" Target="https://drive.google.com/file/d/1qUQVHPhnQ3qdrzuMrbhNc2rdmt8eokYp/view?usp=sharing" TargetMode="External"/><Relationship Id="rId108" Type="http://schemas.openxmlformats.org/officeDocument/2006/relationships/hyperlink" Target="https://docs.google.com/presentation/d/1HWkvsPywVuKWK1mq7ysa0ILsvgQxadQx/edit?usp=sharing&amp;ouid=104277249549708518105&amp;rtpof=true&amp;sd=true" TargetMode="External"/><Relationship Id="rId48" Type="http://schemas.openxmlformats.org/officeDocument/2006/relationships/hyperlink" Target="https://drive.google.com/file/d/1_oyvkYV9seEqEx0ZpV2wRqZi6JqcpK3a/view?usp=sharing" TargetMode="External"/><Relationship Id="rId47" Type="http://schemas.openxmlformats.org/officeDocument/2006/relationships/hyperlink" Target="https://drive.google.com/file/d/1n3xy0kOxO2Yp2Z-7V4fJMq_x4C118BzN/view?usp=sharing" TargetMode="External"/><Relationship Id="rId49" Type="http://schemas.openxmlformats.org/officeDocument/2006/relationships/hyperlink" Target="https://drive.google.com/file/d/18TKSjzu0XBMIfcvR-TzwQO4eOlv5TP4I/view?usp=sharing" TargetMode="External"/><Relationship Id="rId103" Type="http://schemas.openxmlformats.org/officeDocument/2006/relationships/hyperlink" Target="https://drive.google.com/file/d/1awm9MVqtyTkxmRySzpoln5Jidbh6KYqQ/view?usp=sharing" TargetMode="External"/><Relationship Id="rId102" Type="http://schemas.openxmlformats.org/officeDocument/2006/relationships/hyperlink" Target="https://drive.google.com/file/d/1-yznzjE283jjx-b3vDiIbIwsga68hIlk/view?usp=sharing" TargetMode="External"/><Relationship Id="rId101" Type="http://schemas.openxmlformats.org/officeDocument/2006/relationships/hyperlink" Target="https://docs.google.com/presentation/d/17wdKIj5f9f7Im3Onqxb8JBSWlOHmnusB/edit?usp=sharing&amp;ouid=104277249549708518105&amp;rtpof=true&amp;sd=true" TargetMode="External"/><Relationship Id="rId100" Type="http://schemas.openxmlformats.org/officeDocument/2006/relationships/hyperlink" Target="https://drive.google.com/file/d/1nMe76mTFPVo5XOKaU2FZJ_icdnBYZdPt/view?usp=sharing" TargetMode="External"/><Relationship Id="rId31" Type="http://schemas.openxmlformats.org/officeDocument/2006/relationships/hyperlink" Target="https://docs.google.com/presentation/d/1RaSKcvZtyuFxCyemLEnoqYmV2Y58scdO/edit?usp=sharing&amp;ouid=104277249549708518105&amp;rtpof=true&amp;sd=true" TargetMode="External"/><Relationship Id="rId30" Type="http://schemas.openxmlformats.org/officeDocument/2006/relationships/hyperlink" Target="https://docs.google.com/presentation/d/1FXIGWLrifrRMQscDpQMdcN-VyYJj8lRY/edit?usp=sharing&amp;ouid=104277249549708518105&amp;rtpof=true&amp;sd=true" TargetMode="External"/><Relationship Id="rId33" Type="http://schemas.openxmlformats.org/officeDocument/2006/relationships/hyperlink" Target="https://docs.google.com/presentation/d/100spzmnKXgcVCDW56dtZMhsgCfTyMSe0/edit?slide=id.p8" TargetMode="External"/><Relationship Id="rId32" Type="http://schemas.openxmlformats.org/officeDocument/2006/relationships/hyperlink" Target="https://drive.google.com/file/d/1p4i1zajYvfSaNqnNbQ1cEiLOuEYvjDSJ/view?usp=sharing" TargetMode="External"/><Relationship Id="rId35" Type="http://schemas.openxmlformats.org/officeDocument/2006/relationships/hyperlink" Target="https://drive.google.com/file/d/1Jpe5V4pSn5lJy2WIv8hH5IrXrD21Dcd2/view?usp=sharing" TargetMode="External"/><Relationship Id="rId34" Type="http://schemas.openxmlformats.org/officeDocument/2006/relationships/hyperlink" Target="https://docs.google.com/presentation/d/1WQXGrjy_NqQZ3WFJry6WxrY7dAXz0xkb/edit?usp=sharing&amp;ouid=104277249549708518105&amp;rtpof=true&amp;sd=true" TargetMode="External"/><Relationship Id="rId37" Type="http://schemas.openxmlformats.org/officeDocument/2006/relationships/hyperlink" Target="https://drive.google.com/file/d/1qjD-GcXz1UuBFOMudOdluGNs9fC7t9JA/view?usp=sharing" TargetMode="External"/><Relationship Id="rId36" Type="http://schemas.openxmlformats.org/officeDocument/2006/relationships/hyperlink" Target="https://docs.google.com/presentation/d/1V-32Gir5a5QIm0vNZVAbU7v4XnkamQTt/edit?usp=sharing&amp;ouid=104277249549708518105&amp;rtpof=true&amp;sd=true" TargetMode="External"/><Relationship Id="rId39" Type="http://schemas.openxmlformats.org/officeDocument/2006/relationships/hyperlink" Target="https://drive.google.com/file/d/1f0KPgYZmecnbvsrtUrlSgDz0N6apAXyJ/view?usp=drive_link" TargetMode="External"/><Relationship Id="rId38" Type="http://schemas.openxmlformats.org/officeDocument/2006/relationships/hyperlink" Target="https://docs.google.com/presentation/d/1DrL3w6tkh8WgbEy3HjkfwRQ93uZiQ4Wz/edit?usp=sharing&amp;ouid=104277249549708518105&amp;rtpof=true&amp;sd=true" TargetMode="External"/><Relationship Id="rId20" Type="http://schemas.openxmlformats.org/officeDocument/2006/relationships/hyperlink" Target="https://drive.google.com/file/d/1Ah--a7bYtRmDx9Kk1r_kXVKF3d9aC0Po/view?usp=sharing" TargetMode="External"/><Relationship Id="rId22" Type="http://schemas.openxmlformats.org/officeDocument/2006/relationships/hyperlink" Target="https://drive.google.com/file/d/1DlTjyBNXXg7rvTQiMFflasG6_1AsoxPH/view?usp=drive_link" TargetMode="External"/><Relationship Id="rId21" Type="http://schemas.openxmlformats.org/officeDocument/2006/relationships/hyperlink" Target="https://drive.google.com/file/d/1xq7J9KAZck44UQZR2L1-9K3gje5SnQ5O/view?usp=sharing" TargetMode="External"/><Relationship Id="rId24" Type="http://schemas.openxmlformats.org/officeDocument/2006/relationships/hyperlink" Target="https://drive.google.com/open?id=1AKxv-vEykgim5SRlL5e67fYOaca71-EL" TargetMode="External"/><Relationship Id="rId23" Type="http://schemas.openxmlformats.org/officeDocument/2006/relationships/hyperlink" Target="https://drive.google.com/file/d/1OUSJwH2xDGJqMtzE109n35wkSSxf7pE8/view?usp=sharing" TargetMode="External"/><Relationship Id="rId129" Type="http://schemas.openxmlformats.org/officeDocument/2006/relationships/hyperlink" Target="https://drive.google.com/file/d/16dmS9BkwYK-znvr3Rkj5DTs7hprWCF1E/view?usp=sharing" TargetMode="External"/><Relationship Id="rId128" Type="http://schemas.openxmlformats.org/officeDocument/2006/relationships/hyperlink" Target="https://docs.google.com/presentation/d/12LN-QBBpvWc6tcuxKPHLibN5bA6aTuD1/edit?usp=sharing&amp;ouid=104277249549708518105&amp;rtpof=true&amp;sd=true" TargetMode="External"/><Relationship Id="rId127" Type="http://schemas.openxmlformats.org/officeDocument/2006/relationships/hyperlink" Target="https://docs.google.com/presentation/d/1a1-cslN2_rNuqqxhNwMaXR9GYvG_YwrY/edit?usp=sharing&amp;ouid=104277249549708518105&amp;rtpof=true&amp;sd=true" TargetMode="External"/><Relationship Id="rId126" Type="http://schemas.openxmlformats.org/officeDocument/2006/relationships/hyperlink" Target="https://docs.google.com/presentation/d/1m8L6g7SZESpUVObADCFChgYbYZngLRPi/edit?usp=sharing&amp;ouid=104277249549708518105&amp;rtpof=true&amp;sd=true" TargetMode="External"/><Relationship Id="rId26" Type="http://schemas.openxmlformats.org/officeDocument/2006/relationships/hyperlink" Target="https://drive.google.com/file/d/1Em_cP1ecMnwQxTbmcsLeqcczsvVaZdln/view?usp=sharing" TargetMode="External"/><Relationship Id="rId121" Type="http://schemas.openxmlformats.org/officeDocument/2006/relationships/hyperlink" Target="https://docs.google.com/presentation/d/16s3ed2pzozhPf-uAvWKXGMnci6USeI9O/edit?usp=sharing&amp;ouid=104277249549708518105&amp;rtpof=true&amp;sd=true" TargetMode="External"/><Relationship Id="rId25" Type="http://schemas.openxmlformats.org/officeDocument/2006/relationships/hyperlink" Target="https://docs.google.com/presentation/d/1wggAGBMSMlgdD-zX_qRXkmL0vKLyx013/edit?usp=sharing&amp;ouid=104277249549708518105&amp;rtpof=true&amp;sd=true" TargetMode="External"/><Relationship Id="rId120" Type="http://schemas.openxmlformats.org/officeDocument/2006/relationships/hyperlink" Target="https://docs.google.com/presentation/d/1RcoSCW7AzUCA6qeqWWS2U1sE5cu9pSk6/edit?usp=sharing&amp;ouid=104277249549708518105&amp;rtpof=true&amp;sd=true" TargetMode="External"/><Relationship Id="rId28" Type="http://schemas.openxmlformats.org/officeDocument/2006/relationships/hyperlink" Target="https://docs.google.com/presentation/d/1MuQWS_G1HplPIFw5TjucIqjiErc1qDXv/edit?usp=sharing&amp;ouid=104277249549708518105&amp;rtpof=true&amp;sd=true" TargetMode="External"/><Relationship Id="rId27" Type="http://schemas.openxmlformats.org/officeDocument/2006/relationships/hyperlink" Target="https://docs.google.com/presentation/d/19KDfehkfiMjlVS4MmIh7c7SpujP0fHpK/edit?usp=sharing&amp;ouid=104277249549708518105&amp;rtpof=true&amp;sd=true" TargetMode="External"/><Relationship Id="rId125" Type="http://schemas.openxmlformats.org/officeDocument/2006/relationships/hyperlink" Target="https://docs.google.com/presentation/d/17jQg9XR0LqRPj3eRC3a4YTSCC34bS2xC/edit?usp=sharing&amp;ouid=104277249549708518105&amp;rtpof=true&amp;sd=true" TargetMode="External"/><Relationship Id="rId29" Type="http://schemas.openxmlformats.org/officeDocument/2006/relationships/hyperlink" Target="https://docs.google.com/presentation/d/18z-76Mx5ICtmDs3BWvgoQi21dn9ekcDy/edit?usp=sharing&amp;ouid=104277249549708518105&amp;rtpof=true&amp;sd=true" TargetMode="External"/><Relationship Id="rId124" Type="http://schemas.openxmlformats.org/officeDocument/2006/relationships/hyperlink" Target="https://drive.google.com/file/d/1uDPKPYE5yjMZJlz_KH9e1FA4BpniXAqV/view?usp=sharing" TargetMode="External"/><Relationship Id="rId123" Type="http://schemas.openxmlformats.org/officeDocument/2006/relationships/hyperlink" Target="https://docs.google.com/presentation/d/1uaQshK-D_57QpLN85tltdCO-_hdPOfkC/edit?usp=sharing&amp;ouid=104277249549708518105&amp;rtpof=true&amp;sd=true" TargetMode="External"/><Relationship Id="rId122" Type="http://schemas.openxmlformats.org/officeDocument/2006/relationships/hyperlink" Target="https://docs.google.com/presentation/d/1g09SgWmRT8I0jsBBRlc4ZMBRmQxHlpzhdG2wl8bLoEM/edit?usp=sharing" TargetMode="External"/><Relationship Id="rId95" Type="http://schemas.openxmlformats.org/officeDocument/2006/relationships/hyperlink" Target="https://docs.google.com/presentation/d/1EY4tKzCIaQBfbR5vLwYbW2vf_P4rABJO/edit?usp=sharing&amp;ouid=104277249549708518105&amp;rtpof=true&amp;sd=true" TargetMode="External"/><Relationship Id="rId94" Type="http://schemas.openxmlformats.org/officeDocument/2006/relationships/hyperlink" Target="https://docs.google.com/presentation/d/1b5MrpNXt1nMVPylbe9wylHSNXuDk8qDu/edit?usp=sharing&amp;ouid=104277249549708518105&amp;rtpof=true&amp;sd=true" TargetMode="External"/><Relationship Id="rId97" Type="http://schemas.openxmlformats.org/officeDocument/2006/relationships/hyperlink" Target="https://drive.google.com/file/d/1AFBWvei8iUFsbPvbpVzaLqXAFsFu4jvS/view?usp=drive_link" TargetMode="External"/><Relationship Id="rId96" Type="http://schemas.openxmlformats.org/officeDocument/2006/relationships/hyperlink" Target="https://docs.google.com/presentation/d/160cPo5CjhoTEcnbUqeoL4E6ufPBT0gxj/edit?usp=sharing&amp;ouid=104277249549708518105&amp;rtpof=true&amp;sd=true" TargetMode="External"/><Relationship Id="rId11" Type="http://schemas.openxmlformats.org/officeDocument/2006/relationships/hyperlink" Target="https://docs.google.com/presentation/d/1qyALgLmfBGwRQZVtXpNxFVOCOLST_2BK/edit?usp=sharing&amp;ouid=104277249549708518105&amp;rtpof=true&amp;sd=true" TargetMode="External"/><Relationship Id="rId99" Type="http://schemas.openxmlformats.org/officeDocument/2006/relationships/hyperlink" Target="https://docs.google.com/presentation/d/1AGp92K4_64IgcM-2B-4hcOB_R8Gr-GZe/edit?usp=sharing&amp;ouid=104277249549708518105&amp;rtpof=true&amp;sd=true" TargetMode="External"/><Relationship Id="rId10" Type="http://schemas.openxmlformats.org/officeDocument/2006/relationships/hyperlink" Target="https://drive.google.com/file/d/1zwrG0J_pCo6yZG42LAl7d5Jx_zdp-LZ_/view?usp=sharing" TargetMode="External"/><Relationship Id="rId98" Type="http://schemas.openxmlformats.org/officeDocument/2006/relationships/hyperlink" Target="https://docs.google.com/presentation/d/1L7eTzNmLVNQ7B7omSBjUOMv_Fo6yEUuj/edit?usp=sharing&amp;ouid=104277249549708518105&amp;rtpof=true&amp;sd=true" TargetMode="External"/><Relationship Id="rId13" Type="http://schemas.openxmlformats.org/officeDocument/2006/relationships/hyperlink" Target="https://docs.google.com/presentation/d/1GTUuQ193iH8aPr4qTGOjSh7oj8tF1aN7/edit?usp=sharing&amp;ouid=104277249549708518105&amp;rtpof=true&amp;sd=true" TargetMode="External"/><Relationship Id="rId12" Type="http://schemas.openxmlformats.org/officeDocument/2006/relationships/hyperlink" Target="https://drive.google.com/file/d/1YWnN75jWtxNAdKR8L3b7q3YvrpJshX1-/view?usp=sharing" TargetMode="External"/><Relationship Id="rId91" Type="http://schemas.openxmlformats.org/officeDocument/2006/relationships/hyperlink" Target="https://docs.google.com/presentation/d/11pbQZHDGUguVuSuwEOLjm3MfecqFhYTM/edit?usp=sharing&amp;ouid=104277249549708518105&amp;rtpof=true&amp;sd=true" TargetMode="External"/><Relationship Id="rId90" Type="http://schemas.openxmlformats.org/officeDocument/2006/relationships/hyperlink" Target="https://docs.google.com/presentation/d/1nHZJs4i8lSAPFeGmnNbmIfUuscVuCEPM/edit?usp=sharing&amp;ouid=104277249549708518105&amp;rtpof=true&amp;sd=true" TargetMode="External"/><Relationship Id="rId93" Type="http://schemas.openxmlformats.org/officeDocument/2006/relationships/hyperlink" Target="https://docs.google.com/presentation/d/175HtfDzRpsYzA33iIXRw_akLqNQCY8sF/edit?usp=sharing&amp;ouid=104277249549708518105&amp;rtpof=true&amp;sd=true" TargetMode="External"/><Relationship Id="rId92" Type="http://schemas.openxmlformats.org/officeDocument/2006/relationships/hyperlink" Target="https://docs.google.com/presentation/d/1Tj9hcJg78Kfgp5-s1rqG-Ao1ByvAKk-C/edit?usp=sharing&amp;ouid=104277249549708518105&amp;rtpof=true&amp;sd=true" TargetMode="External"/><Relationship Id="rId118" Type="http://schemas.openxmlformats.org/officeDocument/2006/relationships/hyperlink" Target="https://drive.google.com/file/d/1iNwwr51csQl5L2HxqfHq3mcSrEpifNmI/view?usp=sharing" TargetMode="External"/><Relationship Id="rId117" Type="http://schemas.openxmlformats.org/officeDocument/2006/relationships/hyperlink" Target="https://drive.google.com/file/d/1tQYpjd0ys7bIEyfdKiGLxZMGevfiyhZ-/view?usp=sharing" TargetMode="External"/><Relationship Id="rId116" Type="http://schemas.openxmlformats.org/officeDocument/2006/relationships/hyperlink" Target="https://drive.google.com/file/d/16ki4JOqN7ZPYPneTQ1mW-roDP89_Q7B8/view?usp=sharing" TargetMode="External"/><Relationship Id="rId115" Type="http://schemas.openxmlformats.org/officeDocument/2006/relationships/hyperlink" Target="https://docs.google.com/presentation/d/1sCHM3Kb7v7kxVo4SstRbvSKduMOcYCBP/edit?usp=sharing&amp;ouid=104277249549708518105&amp;rtpof=true&amp;sd=true" TargetMode="External"/><Relationship Id="rId119" Type="http://schemas.openxmlformats.org/officeDocument/2006/relationships/hyperlink" Target="https://drive.google.com/file/d/1bMxYQQlYbDWHO1PCj8LZZ1BTe0fOzbXE/view?usp=sharing" TargetMode="External"/><Relationship Id="rId15" Type="http://schemas.openxmlformats.org/officeDocument/2006/relationships/hyperlink" Target="https://docs.google.com/presentation/d/1J48yzTB4_Zx3WazHZzagoKl9RPujXHf-/edit?usp=sharing&amp;ouid=104277249549708518105&amp;rtpof=true&amp;sd=true" TargetMode="External"/><Relationship Id="rId110" Type="http://schemas.openxmlformats.org/officeDocument/2006/relationships/hyperlink" Target="https://docs.google.com/presentation/d/1zH7oPcHBU2ypBkNZMJ-UzIHydcevpHCz/edit?usp=sharing&amp;ouid=104277249549708518105&amp;rtpof=true&amp;sd=true" TargetMode="External"/><Relationship Id="rId14" Type="http://schemas.openxmlformats.org/officeDocument/2006/relationships/hyperlink" Target="https://drive.google.com/file/d/1ghr4wKJHaB9cM-p8gmva4wiN-FUH3Mmg/view?usp=sharing" TargetMode="External"/><Relationship Id="rId17" Type="http://schemas.openxmlformats.org/officeDocument/2006/relationships/hyperlink" Target="https://docs.google.com/presentation/d/1cBdWM-yx1Et9L-TzJYMXq4fBO_v_P6uC/edit?usp=sharing&amp;ouid=104277249549708518105&amp;rtpof=true&amp;sd=true" TargetMode="External"/><Relationship Id="rId16" Type="http://schemas.openxmlformats.org/officeDocument/2006/relationships/hyperlink" Target="https://drive.google.com/file/d/16L1EekCBLUWcJ2222051da0cnQvXCEjA/view?usp=sharing" TargetMode="External"/><Relationship Id="rId19" Type="http://schemas.openxmlformats.org/officeDocument/2006/relationships/hyperlink" Target="https://drive.google.com/file/d/1TQHqyQdolrHhxhMYy4F0qSG_uUNK2Vpv/view?usp=sharing" TargetMode="External"/><Relationship Id="rId114" Type="http://schemas.openxmlformats.org/officeDocument/2006/relationships/hyperlink" Target="https://docs.google.com/presentation/d/1F6UprY1Bo46MyZFlV5jxGpMy8RoiGBv4/edit?usp=sharing&amp;ouid=104277249549708518105&amp;rtpof=true&amp;sd=true" TargetMode="External"/><Relationship Id="rId18" Type="http://schemas.openxmlformats.org/officeDocument/2006/relationships/hyperlink" Target="https://docs.google.com/presentation/d/17APXum_6v75puPYL7bfg9TQt7yJJxsxX/edit?usp=sharing&amp;ouid=104277249549708518105&amp;rtpof=true&amp;sd=true" TargetMode="External"/><Relationship Id="rId113" Type="http://schemas.openxmlformats.org/officeDocument/2006/relationships/hyperlink" Target="https://docs.google.com/presentation/d/1nvuV836cuAtoqqwk6DGd9OgNoqPvCf6Z/edit?usp=sharing&amp;ouid=104277249549708518105&amp;rtpof=true&amp;sd=true" TargetMode="External"/><Relationship Id="rId112" Type="http://schemas.openxmlformats.org/officeDocument/2006/relationships/hyperlink" Target="https://docs.google.com/presentation/d/1GpS3lq2AUHyhjevALarZz2JiP0aXoCf6/edit?usp=sharing&amp;ouid=104277249549708518105&amp;rtpof=true&amp;sd=true" TargetMode="External"/><Relationship Id="rId111" Type="http://schemas.openxmlformats.org/officeDocument/2006/relationships/hyperlink" Target="https://docs.google.com/presentation/d/1Rbchip-rj68Va3SjmYraQyLPBDxUK_cI/edit?usp=sharing&amp;ouid=104277249549708518105&amp;rtpof=true&amp;sd=true" TargetMode="External"/><Relationship Id="rId84" Type="http://schemas.openxmlformats.org/officeDocument/2006/relationships/hyperlink" Target="https://docs.google.com/presentation/d/1r_uJDDSgeSqdewnxUdc17ddlmhNFHjj7/edit?usp=sharing&amp;ouid=104277249549708518105&amp;rtpof=true&amp;sd=true" TargetMode="External"/><Relationship Id="rId83" Type="http://schemas.openxmlformats.org/officeDocument/2006/relationships/hyperlink" Target="https://docs.google.com/presentation/d/1O-4Y-K-HaEKILeDFo5VeCQkQP8ahl1TS/edit?usp=sharing&amp;ouid=104277249549708518105&amp;rtpof=true&amp;sd=true" TargetMode="External"/><Relationship Id="rId86" Type="http://schemas.openxmlformats.org/officeDocument/2006/relationships/hyperlink" Target="https://drive.google.com/file/d/1P71FvYpItc1HA5flnMDZjHqgEnahKtvC/view?usp=sharing" TargetMode="External"/><Relationship Id="rId85" Type="http://schemas.openxmlformats.org/officeDocument/2006/relationships/hyperlink" Target="https://drive.google.com/file/d/1HRf_OMTsFfLIgp75MqT6IfnQd187-lg3/view?usp=sharing" TargetMode="External"/><Relationship Id="rId88" Type="http://schemas.openxmlformats.org/officeDocument/2006/relationships/hyperlink" Target="https://docs.google.com/presentation/d/1ENBbWjMrus_c-pGMptggJFsm1nLYauzS/edit?usp=sharing&amp;ouid=104277249549708518105&amp;rtpof=true&amp;sd=true" TargetMode="External"/><Relationship Id="rId87" Type="http://schemas.openxmlformats.org/officeDocument/2006/relationships/hyperlink" Target="https://docs.google.com/presentation/d/12RsdTu1tH7jx2uQYyNA2C3v1dFMkZU0H/edit?usp=sharing&amp;ouid=104277249549708518105&amp;rtpof=true&amp;sd=true" TargetMode="External"/><Relationship Id="rId89" Type="http://schemas.openxmlformats.org/officeDocument/2006/relationships/hyperlink" Target="https://docs.google.com/presentation/d/1PSNb4KAfoToZb3vJ3ZDzvwtjMzaZ7y4H/edit?usp=sharing&amp;ouid=104277249549708518105&amp;rtpof=true&amp;sd=true" TargetMode="External"/><Relationship Id="rId80" Type="http://schemas.openxmlformats.org/officeDocument/2006/relationships/hyperlink" Target="https://drive.google.com/file/d/14vFE5wfabqJc8fVR0TmOnN5rBoOLq0F9/view?usp=sharing" TargetMode="External"/><Relationship Id="rId82" Type="http://schemas.openxmlformats.org/officeDocument/2006/relationships/hyperlink" Target="https://docs.google.com/presentation/d/16iZHJVd8g9Vuf773Dx3vQinjIncBZeZc/edit?usp=sharing&amp;ouid=104277249549708518105&amp;rtpof=true&amp;sd=true" TargetMode="External"/><Relationship Id="rId81" Type="http://schemas.openxmlformats.org/officeDocument/2006/relationships/hyperlink" Target="https://docs.google.com/presentation/d/1xilADa_we21eyupqg43BdOhiGZY8F1wV/edit?usp=sharing&amp;ouid=104277249549708518105&amp;rtpof=true&amp;sd=true" TargetMode="External"/><Relationship Id="rId1" Type="http://schemas.openxmlformats.org/officeDocument/2006/relationships/hyperlink" Target="http://si.no/" TargetMode="External"/><Relationship Id="rId2" Type="http://schemas.openxmlformats.org/officeDocument/2006/relationships/hyperlink" Target="https://drive.google.com/file/d/1fzGMOVP8oCSnj7eaLmstMJs_p2Kp5jbl/view?usp=sharing" TargetMode="External"/><Relationship Id="rId3" Type="http://schemas.openxmlformats.org/officeDocument/2006/relationships/hyperlink" Target="https://drive.google.com/file/d/1icj55HRkpEE6D2YhMiuNvMZMm4qS83lU/view?usp=sharing" TargetMode="External"/><Relationship Id="rId4" Type="http://schemas.openxmlformats.org/officeDocument/2006/relationships/hyperlink" Target="https://docs.google.com/presentation/d/1mFOPCn7ZHKzvNicJaWvacJD6nFsAMFeD/edit?usp=sharing&amp;ouid=104277249549708518105&amp;rtpof=true&amp;sd=true" TargetMode="External"/><Relationship Id="rId9" Type="http://schemas.openxmlformats.org/officeDocument/2006/relationships/hyperlink" Target="https://drive.google.com/file/d/1Ut3XYaHh13bLRoFmhbJoREBB6yk05q2M/view?usp=sharing" TargetMode="External"/><Relationship Id="rId5" Type="http://schemas.openxmlformats.org/officeDocument/2006/relationships/hyperlink" Target="https://drive.google.com/file/d/15VC3YOTSvBp5zx_f2_UnedEDj7sMRjGc/view?usp=sharing" TargetMode="External"/><Relationship Id="rId6" Type="http://schemas.openxmlformats.org/officeDocument/2006/relationships/hyperlink" Target="https://docs.google.com/presentation/d/1vvNjk_1_mJJVLriLTt7MFXxwPhGuccHt/edit?usp=sharing&amp;ouid=104277249549708518105&amp;rtpof=true&amp;sd=true" TargetMode="External"/><Relationship Id="rId7" Type="http://schemas.openxmlformats.org/officeDocument/2006/relationships/hyperlink" Target="https://docs.google.com/presentation/d/1WbLTAapfRoC1Jw8AjPoUSNHbaO1Bni6Q/edit?usp=sharing&amp;ouid=104277249549708518105&amp;rtpof=true&amp;sd=true" TargetMode="External"/><Relationship Id="rId8" Type="http://schemas.openxmlformats.org/officeDocument/2006/relationships/hyperlink" Target="https://drive.google.com/file/d/1iWc68HJJJgFSsLxllZe3TY45JOCKec0Z/view?usp=sharing" TargetMode="External"/><Relationship Id="rId73" Type="http://schemas.openxmlformats.org/officeDocument/2006/relationships/hyperlink" Target="https://docs.google.com/presentation/d/1ydjWJIArLgff7w189FF0XTyw-wB4x8qz/edit?usp=sharing&amp;ouid=104277249549708518105&amp;rtpof=true&amp;sd=true" TargetMode="External"/><Relationship Id="rId72" Type="http://schemas.openxmlformats.org/officeDocument/2006/relationships/hyperlink" Target="https://drive.google.com/file/d/1VorSWnUlyM-hZbEwKD3-ydU3amct_rNZ/view?usp=sharing" TargetMode="External"/><Relationship Id="rId75" Type="http://schemas.openxmlformats.org/officeDocument/2006/relationships/hyperlink" Target="https://docs.google.com/presentation/d/1d_QPiSCNKK8qPBBvYe2cLPeJl46ZqELP/edit?usp=sharing&amp;ouid=104277249549708518105&amp;rtpof=true&amp;sd=true" TargetMode="External"/><Relationship Id="rId74" Type="http://schemas.openxmlformats.org/officeDocument/2006/relationships/hyperlink" Target="https://docs.google.com/presentation/d/1Jqm6_fP9FgL0YIqrGdUb-tYgGnQ5StAv/edit?usp=sharing&amp;ouid=104277249549708518105&amp;rtpof=true&amp;sd=true" TargetMode="External"/><Relationship Id="rId77" Type="http://schemas.openxmlformats.org/officeDocument/2006/relationships/hyperlink" Target="https://docs.google.com/presentation/d/1if-EUnplBW5VbKgR7L12TzrIzz_2XseW/edit?usp=sharing&amp;ouid=104277249549708518105&amp;rtpof=true&amp;sd=true" TargetMode="External"/><Relationship Id="rId76" Type="http://schemas.openxmlformats.org/officeDocument/2006/relationships/hyperlink" Target="https://drive.google.com/file/d/18ecch_ekv7-0S81KDJHkIjivGZFfbeRh/view?usp=sharing" TargetMode="External"/><Relationship Id="rId79" Type="http://schemas.openxmlformats.org/officeDocument/2006/relationships/hyperlink" Target="https://docs.google.com/presentation/d/1k_R53bveQiXpAf_kiNbuGUvDcY5O-ZEo/edit?usp=sharing&amp;ouid=104277249549708518105&amp;rtpof=true&amp;sd=true" TargetMode="External"/><Relationship Id="rId78" Type="http://schemas.openxmlformats.org/officeDocument/2006/relationships/hyperlink" Target="https://docs.google.com/presentation/d/1Ntxw63M7DcsoxOIi704XmNM8A5r7ezz0/edit?usp=sharing&amp;ouid=104277249549708518105&amp;rtpof=true&amp;sd=true" TargetMode="External"/><Relationship Id="rId71" Type="http://schemas.openxmlformats.org/officeDocument/2006/relationships/hyperlink" Target="https://docs.google.com/presentation/d/14q8HVWXmbsPywVvXUfo8vnvagpaozDFv/edit?usp=sharing&amp;ouid=104277249549708518105&amp;rtpof=true&amp;sd=true" TargetMode="External"/><Relationship Id="rId70" Type="http://schemas.openxmlformats.org/officeDocument/2006/relationships/hyperlink" Target="https://drive.google.com/file/d/1ZTekSFYEKDNZI7T30N0Kmx-9Wxd1xtYC/view?usp=sharing" TargetMode="External"/><Relationship Id="rId132" Type="http://schemas.openxmlformats.org/officeDocument/2006/relationships/hyperlink" Target="https://docs.google.com/presentation/d/1q6DSpwV1hx2Rm-kzFBpcLePgyMdtoYN8/edit?usp=drive_link&amp;ouid=104277249549708518105&amp;rtpof=true&amp;sd=true" TargetMode="External"/><Relationship Id="rId131" Type="http://schemas.openxmlformats.org/officeDocument/2006/relationships/hyperlink" Target="https://docs.google.com/presentation/d/1oFUOmIKNt2GIY5MFtUsV5wWWwNS22Cvx/edit?usp=drive_link&amp;ouid=104277249549708518105&amp;rtpof=true&amp;sd=true" TargetMode="External"/><Relationship Id="rId130" Type="http://schemas.openxmlformats.org/officeDocument/2006/relationships/hyperlink" Target="https://docs.google.com/presentation/d/1prMqTR-f9CdW-27PIrxhheLFhTq5VHGk/edit?usp=sharing&amp;ouid=104277249549708518105&amp;rtpof=true&amp;sd=true" TargetMode="External"/><Relationship Id="rId136" Type="http://schemas.openxmlformats.org/officeDocument/2006/relationships/drawing" Target="../drawings/drawing7.xml"/><Relationship Id="rId135" Type="http://schemas.openxmlformats.org/officeDocument/2006/relationships/hyperlink" Target="https://drive.google.com/file/d/1UlrxM_AHdk68OEtgluBi7kH5FiObeWnn/view?usp=drive_link" TargetMode="External"/><Relationship Id="rId134" Type="http://schemas.openxmlformats.org/officeDocument/2006/relationships/hyperlink" Target="https://drive.google.com/file/d/1MZmmKsUva2j60JwGRRjdJHdHuwsOg9eV/view?usp=drive_link" TargetMode="External"/><Relationship Id="rId133" Type="http://schemas.openxmlformats.org/officeDocument/2006/relationships/hyperlink" Target="https://docs.google.com/presentation/d/1XuDjadqAkzk4-vE3pLzlhAgVZAATO4Mz/edit?usp=drive_link&amp;ouid=104277249549708518105&amp;rtpof=true&amp;sd=true" TargetMode="External"/><Relationship Id="rId62" Type="http://schemas.openxmlformats.org/officeDocument/2006/relationships/hyperlink" Target="https://docs.google.com/presentation/d/1j0u6rTzUBFBf7-jCFUsqyiQ-ftfNRYpJ/edit?usp=sharing&amp;ouid=104277249549708518105&amp;rtpof=true&amp;sd=true" TargetMode="External"/><Relationship Id="rId61" Type="http://schemas.openxmlformats.org/officeDocument/2006/relationships/hyperlink" Target="https://docs.google.com/presentation/d/1gXlydx6GGyjViK9BH2DExwsitvhYxcTC/edit?usp=sharing&amp;ouid=104277249549708518105&amp;rtpof=true&amp;sd=true" TargetMode="External"/><Relationship Id="rId64" Type="http://schemas.openxmlformats.org/officeDocument/2006/relationships/hyperlink" Target="https://drive.google.com/file/d/12jx3TEGH4NE1c_zk_vY7Hlkp-BXrhUBu/view?usp=sharing" TargetMode="External"/><Relationship Id="rId63" Type="http://schemas.openxmlformats.org/officeDocument/2006/relationships/hyperlink" Target="https://drive.google.com/file/d/1TD6Zr_t4dP2amdmHB97iyp7MVXGAWrPM/view?usp=sharing" TargetMode="External"/><Relationship Id="rId66" Type="http://schemas.openxmlformats.org/officeDocument/2006/relationships/hyperlink" Target="https://docs.google.com/presentation/d/1svlsWidPE9Mo4IunAUtMRWoX6-3FELRG/edit?usp=sharing&amp;ouid=104277249549708518105&amp;rtpof=true&amp;sd=true" TargetMode="External"/><Relationship Id="rId65" Type="http://schemas.openxmlformats.org/officeDocument/2006/relationships/hyperlink" Target="https://docs.google.com/presentation/d/1d8-jiX9yr-sMsCczAoqAxNddaCFgD9Lb/edit?usp=sharing&amp;ouid=104277249549708518105&amp;rtpof=true&amp;sd=true" TargetMode="External"/><Relationship Id="rId68" Type="http://schemas.openxmlformats.org/officeDocument/2006/relationships/hyperlink" Target="https://docs.google.com/presentation/d/1R62ldDA80PBjNGZCWUlo8ednBrIS-Aq_/edit?usp=sharing&amp;ouid=104277249549708518105&amp;rtpof=true&amp;sd=true" TargetMode="External"/><Relationship Id="rId67" Type="http://schemas.openxmlformats.org/officeDocument/2006/relationships/hyperlink" Target="https://docs.google.com/presentation/d/1UuvB8CG5hK21LYH5-VK1-ElnDGm_z_ck/edit?usp=drive_link&amp;ouid=104277249549708518105&amp;rtpof=true&amp;sd=true" TargetMode="External"/><Relationship Id="rId60" Type="http://schemas.openxmlformats.org/officeDocument/2006/relationships/hyperlink" Target="https://drive.google.com/file/d/1X28ckk2B2gna7Ohu1co1xCtOLuMRGGAP/view?usp=sharing" TargetMode="External"/><Relationship Id="rId69" Type="http://schemas.openxmlformats.org/officeDocument/2006/relationships/hyperlink" Target="https://docs.google.com/presentation/d/1R3kivspd_3Lf6F3BjWMmF6CfZnH8UGnm/edit?usp=drive_link&amp;ouid=104277249549708518105&amp;rtpof=true&amp;sd=true" TargetMode="External"/><Relationship Id="rId51" Type="http://schemas.openxmlformats.org/officeDocument/2006/relationships/hyperlink" Target="https://drive.google.com/file/d/1zvoBHLHzNkEc_Tko9TpmvngKFuliUMRn/view?usp=sharing" TargetMode="External"/><Relationship Id="rId50" Type="http://schemas.openxmlformats.org/officeDocument/2006/relationships/hyperlink" Target="https://docs.google.com/presentation/d/1g4-TPeuc1Ma7P0pBfXTI7XqP7vHwDnP6/edit?usp=sharing&amp;ouid=104277249549708518105&amp;rtpof=true&amp;sd=true" TargetMode="External"/><Relationship Id="rId53" Type="http://schemas.openxmlformats.org/officeDocument/2006/relationships/hyperlink" Target="https://drive.google.com/file/d/1JpesebGrTQRjlE59-oIm47tqykoWEbXQ/view?usp=sharing" TargetMode="External"/><Relationship Id="rId52" Type="http://schemas.openxmlformats.org/officeDocument/2006/relationships/hyperlink" Target="https://docs.google.com/presentation/d/1qNVBk6gBUF6C_R1PZ17tOFm6axKc1L5C/edit?usp=sharing&amp;ouid=104277249549708518105&amp;rtpof=true&amp;sd=true" TargetMode="External"/><Relationship Id="rId55" Type="http://schemas.openxmlformats.org/officeDocument/2006/relationships/hyperlink" Target="https://docs.google.com/presentation/d/1VWhrxq4im2ROTVEhW3mI93TDMyUbpKfn/edit?usp=sharing&amp;ouid=104277249549708518105&amp;rtpof=true&amp;sd=true" TargetMode="External"/><Relationship Id="rId54" Type="http://schemas.openxmlformats.org/officeDocument/2006/relationships/hyperlink" Target="https://docs.google.com/presentation/d/1LMmAzIeobpm2hgAhDJPW5aVOUNjQZPdS/edit?usp=sharing&amp;ouid=104277249549708518105&amp;rtpof=true&amp;sd=true" TargetMode="External"/><Relationship Id="rId57" Type="http://schemas.openxmlformats.org/officeDocument/2006/relationships/hyperlink" Target="https://drive.google.com/file/d/1sFC4pPdrt2TlqHFgBbsQ0UUPSKQ--6He/view?usp=sharing" TargetMode="External"/><Relationship Id="rId56" Type="http://schemas.openxmlformats.org/officeDocument/2006/relationships/hyperlink" Target="https://docs.google.com/presentation/d/1XXOdoM72D_hhdWkD5i29TjW9-amrFpOE/edit?usp=sharing&amp;ouid=104277249549708518105&amp;rtpof=true&amp;sd=true" TargetMode="External"/><Relationship Id="rId59" Type="http://schemas.openxmlformats.org/officeDocument/2006/relationships/hyperlink" Target="https://docs.google.com/presentation/d/1uK1jvNK5uZzUPeWETKPYgSroJ5mXheZM/edit?usp=sharing&amp;ouid=104277249549708518105&amp;rtpof=true&amp;sd=true" TargetMode="External"/><Relationship Id="rId58" Type="http://schemas.openxmlformats.org/officeDocument/2006/relationships/hyperlink" Target="https://docs.google.com/presentation/d/10FTUyZ_zpXB2nndcBXQlWcBMXfMK0yVj/edit?usp=sharing&amp;ouid=104277249549708518105&amp;rtpof=true&amp;sd=tru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6" max="6" width="53.88"/>
    <col customWidth="1" min="7" max="7" width="38.38"/>
    <col customWidth="1" min="8" max="8" width="39.75"/>
  </cols>
  <sheetData>
    <row r="1" ht="12.0" customHeight="1">
      <c r="A1" s="24" t="s">
        <v>30</v>
      </c>
      <c r="B1" s="26" t="s">
        <v>35</v>
      </c>
      <c r="C1" s="26" t="s">
        <v>38</v>
      </c>
      <c r="D1" s="29" t="s">
        <v>8</v>
      </c>
      <c r="E1" s="26" t="s">
        <v>21</v>
      </c>
      <c r="F1" s="31" t="s">
        <v>23</v>
      </c>
      <c r="G1" s="34" t="s">
        <v>43</v>
      </c>
      <c r="H1" s="35" t="s">
        <v>46</v>
      </c>
    </row>
    <row r="2">
      <c r="A2" s="36">
        <v>1.0</v>
      </c>
      <c r="B2" s="37" t="s">
        <v>49</v>
      </c>
      <c r="C2" s="42" t="s">
        <v>32</v>
      </c>
      <c r="D2" s="44">
        <v>9.342049639E9</v>
      </c>
      <c r="E2" s="46" t="s">
        <v>59</v>
      </c>
      <c r="F2" s="50" t="s">
        <v>61</v>
      </c>
      <c r="G2" s="60" t="s">
        <v>65</v>
      </c>
      <c r="H2" s="60" t="s">
        <v>72</v>
      </c>
      <c r="I2" s="67"/>
      <c r="J2" s="67"/>
      <c r="K2" s="67"/>
      <c r="L2" s="67"/>
    </row>
    <row r="3">
      <c r="A3" s="36">
        <v>2.0</v>
      </c>
      <c r="B3" s="42" t="s">
        <v>82</v>
      </c>
      <c r="C3" s="42" t="s">
        <v>32</v>
      </c>
      <c r="D3" s="44">
        <v>7.395956159E9</v>
      </c>
      <c r="E3" s="46" t="s">
        <v>83</v>
      </c>
      <c r="F3" s="74" t="s">
        <v>84</v>
      </c>
      <c r="G3" s="74" t="s">
        <v>94</v>
      </c>
      <c r="H3" s="74" t="s">
        <v>96</v>
      </c>
      <c r="I3" s="77"/>
      <c r="J3" s="77"/>
      <c r="K3" s="77"/>
      <c r="L3" s="77"/>
    </row>
    <row r="4">
      <c r="A4" s="36">
        <v>3.0</v>
      </c>
      <c r="B4" s="80" t="s">
        <v>103</v>
      </c>
      <c r="C4" s="81" t="s">
        <v>32</v>
      </c>
      <c r="D4" s="44">
        <v>7.30549974E9</v>
      </c>
      <c r="E4" s="80" t="s">
        <v>108</v>
      </c>
      <c r="F4" s="50" t="s">
        <v>111</v>
      </c>
      <c r="G4" s="60" t="s">
        <v>113</v>
      </c>
      <c r="H4" s="60" t="s">
        <v>116</v>
      </c>
      <c r="I4" s="67"/>
      <c r="J4" s="67"/>
      <c r="K4" s="67"/>
      <c r="L4" s="67"/>
    </row>
    <row r="5">
      <c r="A5" s="36">
        <v>4.0</v>
      </c>
      <c r="B5" s="80" t="s">
        <v>124</v>
      </c>
      <c r="C5" s="81" t="s">
        <v>32</v>
      </c>
      <c r="D5" s="44">
        <v>7.708365986E9</v>
      </c>
      <c r="E5" s="80" t="s">
        <v>126</v>
      </c>
      <c r="F5" s="92" t="s">
        <v>127</v>
      </c>
      <c r="G5" s="74" t="s">
        <v>134</v>
      </c>
      <c r="H5" s="74" t="s">
        <v>138</v>
      </c>
      <c r="I5" s="77"/>
      <c r="J5" s="77"/>
      <c r="K5" s="77"/>
      <c r="L5" s="77"/>
    </row>
    <row r="6">
      <c r="A6" s="36">
        <v>5.0</v>
      </c>
      <c r="B6" s="80" t="s">
        <v>141</v>
      </c>
      <c r="C6" s="81" t="s">
        <v>32</v>
      </c>
      <c r="D6" s="44">
        <v>9.952048318E9</v>
      </c>
      <c r="E6" s="80" t="s">
        <v>144</v>
      </c>
      <c r="F6" s="97" t="s">
        <v>145</v>
      </c>
      <c r="G6" s="98" t="s">
        <v>150</v>
      </c>
      <c r="H6" s="98" t="s">
        <v>138</v>
      </c>
      <c r="I6" s="99"/>
      <c r="J6" s="99"/>
      <c r="K6" s="99"/>
      <c r="L6" s="99"/>
    </row>
    <row r="7">
      <c r="A7" s="36">
        <v>6.0</v>
      </c>
      <c r="B7" s="80" t="s">
        <v>160</v>
      </c>
      <c r="C7" s="81" t="s">
        <v>32</v>
      </c>
      <c r="D7" s="44">
        <v>9.176435615E9</v>
      </c>
      <c r="E7" s="101" t="s">
        <v>161</v>
      </c>
      <c r="F7" s="103" t="s">
        <v>162</v>
      </c>
      <c r="G7" s="104" t="s">
        <v>167</v>
      </c>
      <c r="H7" s="104" t="s">
        <v>116</v>
      </c>
      <c r="I7" s="105"/>
      <c r="J7" s="105"/>
      <c r="K7" s="105"/>
      <c r="L7" s="105"/>
    </row>
    <row r="8">
      <c r="A8" s="36">
        <v>7.0</v>
      </c>
      <c r="B8" s="80" t="s">
        <v>174</v>
      </c>
      <c r="C8" s="81" t="s">
        <v>32</v>
      </c>
      <c r="D8" s="44">
        <v>9.150452331E9</v>
      </c>
      <c r="E8" s="80" t="s">
        <v>178</v>
      </c>
      <c r="F8" s="108" t="s">
        <v>179</v>
      </c>
      <c r="G8" s="111" t="s">
        <v>185</v>
      </c>
      <c r="H8" s="111" t="s">
        <v>191</v>
      </c>
      <c r="I8" s="115"/>
      <c r="J8" s="115"/>
      <c r="K8" s="115"/>
      <c r="L8" s="115"/>
    </row>
    <row r="9">
      <c r="A9" s="36">
        <v>8.0</v>
      </c>
      <c r="B9" s="37" t="s">
        <v>203</v>
      </c>
      <c r="C9" s="42" t="s">
        <v>32</v>
      </c>
      <c r="D9" s="44">
        <v>7.397252915E9</v>
      </c>
      <c r="E9" s="80" t="s">
        <v>151</v>
      </c>
      <c r="F9" s="120" t="s">
        <v>204</v>
      </c>
      <c r="G9" s="121"/>
      <c r="H9" s="121"/>
      <c r="I9" s="122"/>
      <c r="J9" s="122"/>
      <c r="K9" s="122"/>
      <c r="L9" s="122"/>
    </row>
    <row r="10">
      <c r="A10" s="36">
        <v>9.0</v>
      </c>
      <c r="B10" s="37" t="s">
        <v>219</v>
      </c>
      <c r="C10" s="42" t="s">
        <v>32</v>
      </c>
      <c r="D10" s="44">
        <v>9.176529116E9</v>
      </c>
      <c r="E10" s="81" t="s">
        <v>220</v>
      </c>
      <c r="F10" s="125" t="s">
        <v>221</v>
      </c>
      <c r="G10" s="127"/>
      <c r="H10" s="127"/>
      <c r="I10" s="77"/>
      <c r="J10" s="77"/>
      <c r="K10" s="77"/>
      <c r="L10" s="77"/>
    </row>
    <row r="11">
      <c r="A11" s="36">
        <v>10.0</v>
      </c>
      <c r="B11" s="37" t="s">
        <v>232</v>
      </c>
      <c r="C11" s="42" t="s">
        <v>32</v>
      </c>
      <c r="D11" s="44">
        <v>9.791005395E9</v>
      </c>
      <c r="E11" s="80" t="s">
        <v>235</v>
      </c>
      <c r="F11" s="137" t="s">
        <v>236</v>
      </c>
      <c r="G11" s="139" t="s">
        <v>244</v>
      </c>
      <c r="H11" s="141"/>
      <c r="I11" s="142"/>
      <c r="J11" s="142"/>
      <c r="K11" s="142"/>
      <c r="L11" s="142"/>
    </row>
    <row r="12">
      <c r="A12" s="36">
        <v>11.0</v>
      </c>
      <c r="B12" s="143" t="s">
        <v>254</v>
      </c>
      <c r="C12" s="42" t="s">
        <v>32</v>
      </c>
      <c r="D12" s="44">
        <v>9.790004554E9</v>
      </c>
      <c r="E12" s="144" t="s">
        <v>255</v>
      </c>
      <c r="F12" s="146" t="s">
        <v>257</v>
      </c>
      <c r="G12" s="147" t="s">
        <v>259</v>
      </c>
      <c r="H12" s="148"/>
      <c r="I12" s="149"/>
      <c r="J12" s="149"/>
      <c r="K12" s="149"/>
      <c r="L12" s="149"/>
    </row>
    <row r="13">
      <c r="A13" s="36">
        <v>12.0</v>
      </c>
      <c r="B13" s="150" t="s">
        <v>265</v>
      </c>
      <c r="C13" s="150" t="s">
        <v>32</v>
      </c>
      <c r="D13" s="151">
        <v>7.358299188E9</v>
      </c>
      <c r="E13" s="152" t="s">
        <v>267</v>
      </c>
      <c r="F13" s="62" t="s">
        <v>268</v>
      </c>
      <c r="G13" s="127"/>
      <c r="H13" s="127"/>
      <c r="I13" s="77"/>
      <c r="J13" s="77"/>
      <c r="K13" s="77"/>
      <c r="L13" s="77"/>
    </row>
    <row r="14">
      <c r="A14" s="36">
        <v>13.0</v>
      </c>
      <c r="B14" s="18" t="s">
        <v>273</v>
      </c>
      <c r="C14" s="150" t="s">
        <v>32</v>
      </c>
      <c r="D14" s="78">
        <v>8.883035691E9</v>
      </c>
      <c r="E14" s="156" t="s">
        <v>80</v>
      </c>
      <c r="F14" s="62" t="s">
        <v>275</v>
      </c>
      <c r="G14" s="127"/>
      <c r="H14" s="127"/>
      <c r="I14" s="77"/>
      <c r="J14" s="77"/>
      <c r="K14" s="77"/>
      <c r="L14" s="77"/>
    </row>
    <row r="15">
      <c r="A15" s="158">
        <v>14.0</v>
      </c>
      <c r="B15" s="18" t="s">
        <v>280</v>
      </c>
      <c r="C15" s="150" t="s">
        <v>32</v>
      </c>
      <c r="D15" s="78">
        <v>9.003815145E9</v>
      </c>
      <c r="E15" s="159" t="s">
        <v>283</v>
      </c>
      <c r="F15" s="62" t="s">
        <v>285</v>
      </c>
      <c r="G15" s="125" t="s">
        <v>288</v>
      </c>
      <c r="H15" s="161"/>
    </row>
    <row r="16">
      <c r="A16" s="163">
        <v>15.0</v>
      </c>
      <c r="B16" s="165" t="s">
        <v>290</v>
      </c>
      <c r="C16" s="150" t="s">
        <v>32</v>
      </c>
      <c r="D16" s="78">
        <v>8.092225251E9</v>
      </c>
      <c r="E16" s="65" t="s">
        <v>291</v>
      </c>
      <c r="F16" s="82" t="s">
        <v>292</v>
      </c>
      <c r="G16" s="170"/>
    </row>
    <row r="17">
      <c r="A17" s="163">
        <v>16.0</v>
      </c>
      <c r="B17" s="165" t="s">
        <v>298</v>
      </c>
      <c r="C17" s="150" t="s">
        <v>32</v>
      </c>
      <c r="D17" s="78">
        <v>9.380184164E9</v>
      </c>
      <c r="E17" s="18" t="s">
        <v>299</v>
      </c>
      <c r="F17" s="62" t="s">
        <v>300</v>
      </c>
      <c r="G17" s="170"/>
    </row>
    <row r="18">
      <c r="A18" s="163">
        <v>17.0</v>
      </c>
      <c r="B18" s="165" t="s">
        <v>303</v>
      </c>
      <c r="C18" s="150" t="s">
        <v>32</v>
      </c>
      <c r="D18" s="52">
        <v>8.1480911E9</v>
      </c>
      <c r="E18" s="18" t="s">
        <v>304</v>
      </c>
      <c r="F18" s="176" t="s">
        <v>306</v>
      </c>
      <c r="G18" s="170"/>
    </row>
    <row r="19">
      <c r="A19" s="163">
        <v>18.0</v>
      </c>
      <c r="B19" s="178"/>
      <c r="C19" s="180"/>
      <c r="D19" s="180"/>
      <c r="E19" s="180"/>
      <c r="F19" s="181"/>
      <c r="G19" s="181"/>
      <c r="H19" s="182"/>
      <c r="I19" s="182"/>
      <c r="J19" s="182"/>
      <c r="K19" s="182"/>
      <c r="L19" s="182"/>
    </row>
    <row r="20">
      <c r="F20" s="170"/>
    </row>
    <row r="21">
      <c r="F21" s="170"/>
    </row>
    <row r="22">
      <c r="F22" s="170"/>
    </row>
    <row r="23">
      <c r="F23" s="170"/>
    </row>
    <row r="24">
      <c r="F24" s="170"/>
    </row>
    <row r="25">
      <c r="F25" s="170"/>
    </row>
    <row r="26">
      <c r="F26" s="170"/>
    </row>
    <row r="27">
      <c r="F27" s="170"/>
    </row>
    <row r="28">
      <c r="F28" s="170"/>
    </row>
    <row r="29">
      <c r="F29" s="170"/>
    </row>
    <row r="30">
      <c r="F30" s="170"/>
    </row>
    <row r="31">
      <c r="F31" s="170"/>
    </row>
    <row r="32">
      <c r="F32" s="170"/>
    </row>
    <row r="33">
      <c r="F33" s="170"/>
    </row>
    <row r="34">
      <c r="F34" s="170"/>
    </row>
    <row r="35">
      <c r="F35" s="170"/>
    </row>
    <row r="36">
      <c r="F36" s="170"/>
    </row>
    <row r="37">
      <c r="F37" s="170"/>
    </row>
    <row r="38">
      <c r="F38" s="170"/>
    </row>
    <row r="39">
      <c r="F39" s="170"/>
    </row>
    <row r="40">
      <c r="F40" s="170"/>
    </row>
    <row r="41">
      <c r="F41" s="170"/>
    </row>
    <row r="42">
      <c r="F42" s="170"/>
    </row>
    <row r="43">
      <c r="F43" s="170"/>
    </row>
    <row r="44">
      <c r="F44" s="170"/>
    </row>
    <row r="45">
      <c r="F45" s="170"/>
    </row>
    <row r="46">
      <c r="F46" s="170"/>
    </row>
    <row r="47">
      <c r="F47" s="170"/>
    </row>
    <row r="48">
      <c r="F48" s="170"/>
    </row>
    <row r="49">
      <c r="F49" s="170"/>
    </row>
    <row r="50">
      <c r="F50" s="170"/>
    </row>
    <row r="51">
      <c r="F51" s="170"/>
    </row>
    <row r="52">
      <c r="F52" s="170"/>
    </row>
    <row r="53">
      <c r="F53" s="170"/>
    </row>
    <row r="54">
      <c r="F54" s="170"/>
    </row>
    <row r="55">
      <c r="F55" s="170"/>
    </row>
    <row r="56">
      <c r="F56" s="170"/>
    </row>
    <row r="57">
      <c r="F57" s="170"/>
    </row>
    <row r="58">
      <c r="F58" s="170"/>
    </row>
    <row r="59">
      <c r="F59" s="170"/>
    </row>
    <row r="60">
      <c r="F60" s="170"/>
    </row>
    <row r="61">
      <c r="F61" s="170"/>
    </row>
    <row r="62">
      <c r="F62" s="170"/>
    </row>
    <row r="63">
      <c r="F63" s="170"/>
    </row>
    <row r="64">
      <c r="F64" s="170"/>
    </row>
    <row r="65">
      <c r="F65" s="170"/>
    </row>
    <row r="66">
      <c r="F66" s="170"/>
    </row>
    <row r="67">
      <c r="F67" s="170"/>
    </row>
    <row r="68">
      <c r="F68" s="170"/>
    </row>
    <row r="69">
      <c r="F69" s="170"/>
    </row>
    <row r="70">
      <c r="F70" s="170"/>
    </row>
    <row r="71">
      <c r="F71" s="170"/>
    </row>
    <row r="72">
      <c r="F72" s="170"/>
    </row>
    <row r="73">
      <c r="F73" s="170"/>
    </row>
    <row r="74">
      <c r="F74" s="170"/>
    </row>
    <row r="75">
      <c r="F75" s="170"/>
    </row>
    <row r="76">
      <c r="F76" s="170"/>
    </row>
    <row r="77">
      <c r="F77" s="170"/>
    </row>
    <row r="78">
      <c r="F78" s="170"/>
    </row>
    <row r="79">
      <c r="F79" s="170"/>
    </row>
    <row r="80">
      <c r="F80" s="170"/>
    </row>
    <row r="81">
      <c r="F81" s="170"/>
    </row>
    <row r="82">
      <c r="F82" s="170"/>
    </row>
    <row r="83">
      <c r="F83" s="170"/>
    </row>
    <row r="84">
      <c r="F84" s="170"/>
    </row>
    <row r="85">
      <c r="F85" s="170"/>
    </row>
    <row r="86">
      <c r="F86" s="170"/>
    </row>
    <row r="87">
      <c r="F87" s="170"/>
    </row>
    <row r="88">
      <c r="F88" s="170"/>
    </row>
    <row r="89">
      <c r="F89" s="170"/>
    </row>
    <row r="90">
      <c r="F90" s="170"/>
    </row>
    <row r="91">
      <c r="F91" s="170"/>
    </row>
    <row r="92">
      <c r="F92" s="170"/>
    </row>
    <row r="93">
      <c r="F93" s="170"/>
    </row>
    <row r="94">
      <c r="F94" s="170"/>
    </row>
    <row r="95">
      <c r="F95" s="170"/>
    </row>
    <row r="96">
      <c r="F96" s="170"/>
    </row>
    <row r="97">
      <c r="F97" s="170"/>
    </row>
    <row r="98">
      <c r="F98" s="170"/>
    </row>
    <row r="99">
      <c r="F99" s="170"/>
    </row>
    <row r="100">
      <c r="F100" s="170"/>
    </row>
    <row r="101">
      <c r="F101" s="170"/>
    </row>
    <row r="102">
      <c r="F102" s="170"/>
    </row>
    <row r="103">
      <c r="F103" s="170"/>
    </row>
    <row r="104">
      <c r="F104" s="170"/>
    </row>
    <row r="105">
      <c r="F105" s="170"/>
    </row>
    <row r="106">
      <c r="F106" s="170"/>
    </row>
    <row r="107">
      <c r="F107" s="170"/>
    </row>
    <row r="108">
      <c r="F108" s="170"/>
    </row>
    <row r="109">
      <c r="F109" s="170"/>
    </row>
    <row r="110">
      <c r="F110" s="170"/>
    </row>
    <row r="111">
      <c r="F111" s="170"/>
    </row>
    <row r="112">
      <c r="F112" s="170"/>
    </row>
    <row r="113">
      <c r="F113" s="170"/>
    </row>
    <row r="114">
      <c r="F114" s="170"/>
    </row>
    <row r="115">
      <c r="F115" s="170"/>
    </row>
    <row r="116">
      <c r="F116" s="170"/>
    </row>
    <row r="117">
      <c r="F117" s="170"/>
    </row>
    <row r="118">
      <c r="F118" s="170"/>
    </row>
    <row r="119">
      <c r="F119" s="170"/>
    </row>
    <row r="120">
      <c r="F120" s="170"/>
    </row>
    <row r="121">
      <c r="F121" s="170"/>
    </row>
    <row r="122">
      <c r="F122" s="170"/>
    </row>
    <row r="123">
      <c r="F123" s="170"/>
    </row>
    <row r="124">
      <c r="F124" s="170"/>
    </row>
    <row r="125">
      <c r="F125" s="170"/>
    </row>
    <row r="126">
      <c r="F126" s="170"/>
    </row>
    <row r="127">
      <c r="F127" s="170"/>
    </row>
    <row r="128">
      <c r="F128" s="170"/>
    </row>
    <row r="129">
      <c r="F129" s="170"/>
    </row>
    <row r="130">
      <c r="F130" s="170"/>
    </row>
    <row r="131">
      <c r="F131" s="170"/>
    </row>
    <row r="132">
      <c r="F132" s="170"/>
    </row>
    <row r="133">
      <c r="F133" s="170"/>
    </row>
    <row r="134">
      <c r="F134" s="170"/>
    </row>
    <row r="135">
      <c r="F135" s="170"/>
    </row>
    <row r="136">
      <c r="F136" s="170"/>
    </row>
    <row r="137">
      <c r="F137" s="170"/>
    </row>
    <row r="138">
      <c r="F138" s="170"/>
    </row>
    <row r="139">
      <c r="F139" s="170"/>
    </row>
    <row r="140">
      <c r="F140" s="170"/>
    </row>
    <row r="141">
      <c r="F141" s="170"/>
    </row>
    <row r="142">
      <c r="F142" s="170"/>
    </row>
    <row r="143">
      <c r="F143" s="170"/>
    </row>
    <row r="144">
      <c r="F144" s="170"/>
    </row>
    <row r="145">
      <c r="F145" s="170"/>
    </row>
    <row r="146">
      <c r="F146" s="170"/>
    </row>
    <row r="147">
      <c r="F147" s="170"/>
    </row>
    <row r="148">
      <c r="F148" s="170"/>
    </row>
    <row r="149">
      <c r="F149" s="170"/>
    </row>
    <row r="150">
      <c r="F150" s="170"/>
    </row>
    <row r="151">
      <c r="F151" s="170"/>
    </row>
    <row r="152">
      <c r="F152" s="170"/>
    </row>
    <row r="153">
      <c r="F153" s="170"/>
    </row>
    <row r="154">
      <c r="F154" s="170"/>
    </row>
    <row r="155">
      <c r="F155" s="170"/>
    </row>
    <row r="156">
      <c r="F156" s="170"/>
    </row>
    <row r="157">
      <c r="F157" s="170"/>
    </row>
    <row r="158">
      <c r="F158" s="170"/>
    </row>
    <row r="159">
      <c r="F159" s="170"/>
    </row>
    <row r="160">
      <c r="F160" s="170"/>
    </row>
    <row r="161">
      <c r="F161" s="170"/>
    </row>
    <row r="162">
      <c r="F162" s="170"/>
    </row>
    <row r="163">
      <c r="F163" s="170"/>
    </row>
    <row r="164">
      <c r="F164" s="170"/>
    </row>
    <row r="165">
      <c r="F165" s="170"/>
    </row>
    <row r="166">
      <c r="F166" s="170"/>
    </row>
    <row r="167">
      <c r="F167" s="170"/>
    </row>
    <row r="168">
      <c r="F168" s="170"/>
    </row>
    <row r="169">
      <c r="F169" s="170"/>
    </row>
    <row r="170">
      <c r="F170" s="170"/>
    </row>
    <row r="171">
      <c r="F171" s="170"/>
    </row>
    <row r="172">
      <c r="F172" s="170"/>
    </row>
    <row r="173">
      <c r="F173" s="170"/>
    </row>
    <row r="174">
      <c r="F174" s="170"/>
    </row>
    <row r="175">
      <c r="F175" s="170"/>
    </row>
    <row r="176">
      <c r="F176" s="170"/>
    </row>
    <row r="177">
      <c r="F177" s="170"/>
    </row>
    <row r="178">
      <c r="F178" s="170"/>
    </row>
    <row r="179">
      <c r="F179" s="170"/>
    </row>
    <row r="180">
      <c r="F180" s="170"/>
    </row>
    <row r="181">
      <c r="F181" s="170"/>
    </row>
    <row r="182">
      <c r="F182" s="170"/>
    </row>
    <row r="183">
      <c r="F183" s="170"/>
    </row>
    <row r="184">
      <c r="F184" s="170"/>
    </row>
    <row r="185">
      <c r="F185" s="170"/>
    </row>
    <row r="186">
      <c r="F186" s="170"/>
    </row>
    <row r="187">
      <c r="F187" s="170"/>
    </row>
    <row r="188">
      <c r="F188" s="170"/>
    </row>
    <row r="189">
      <c r="F189" s="170"/>
    </row>
    <row r="190">
      <c r="F190" s="170"/>
    </row>
    <row r="191">
      <c r="F191" s="170"/>
    </row>
    <row r="192">
      <c r="F192" s="170"/>
    </row>
    <row r="193">
      <c r="F193" s="170"/>
    </row>
    <row r="194">
      <c r="F194" s="170"/>
    </row>
    <row r="195">
      <c r="F195" s="170"/>
    </row>
    <row r="196">
      <c r="F196" s="170"/>
    </row>
    <row r="197">
      <c r="F197" s="170"/>
    </row>
    <row r="198">
      <c r="F198" s="170"/>
    </row>
    <row r="199">
      <c r="F199" s="170"/>
    </row>
    <row r="200">
      <c r="F200" s="170"/>
    </row>
    <row r="201">
      <c r="F201" s="170"/>
    </row>
    <row r="202">
      <c r="F202" s="170"/>
    </row>
    <row r="203">
      <c r="F203" s="170"/>
    </row>
    <row r="204">
      <c r="F204" s="170"/>
    </row>
    <row r="205">
      <c r="F205" s="170"/>
    </row>
    <row r="206">
      <c r="F206" s="170"/>
    </row>
    <row r="207">
      <c r="F207" s="170"/>
    </row>
    <row r="208">
      <c r="F208" s="170"/>
    </row>
    <row r="209">
      <c r="F209" s="170"/>
    </row>
    <row r="210">
      <c r="F210" s="170"/>
    </row>
    <row r="211">
      <c r="F211" s="170"/>
    </row>
    <row r="212">
      <c r="F212" s="170"/>
    </row>
    <row r="213">
      <c r="F213" s="170"/>
    </row>
    <row r="214">
      <c r="F214" s="170"/>
    </row>
    <row r="215">
      <c r="F215" s="170"/>
    </row>
    <row r="216">
      <c r="F216" s="170"/>
    </row>
    <row r="217">
      <c r="F217" s="170"/>
    </row>
    <row r="218">
      <c r="F218" s="170"/>
    </row>
    <row r="219">
      <c r="F219" s="170"/>
    </row>
    <row r="220">
      <c r="F220" s="170"/>
    </row>
    <row r="221">
      <c r="F221" s="170"/>
    </row>
    <row r="222">
      <c r="F222" s="170"/>
    </row>
    <row r="223">
      <c r="F223" s="170"/>
    </row>
    <row r="224">
      <c r="F224" s="170"/>
    </row>
    <row r="225">
      <c r="F225" s="170"/>
    </row>
    <row r="226">
      <c r="F226" s="170"/>
    </row>
    <row r="227">
      <c r="F227" s="170"/>
    </row>
    <row r="228">
      <c r="F228" s="170"/>
    </row>
    <row r="229">
      <c r="F229" s="170"/>
    </row>
    <row r="230">
      <c r="F230" s="170"/>
    </row>
    <row r="231">
      <c r="F231" s="170"/>
    </row>
    <row r="232">
      <c r="F232" s="170"/>
    </row>
    <row r="233">
      <c r="F233" s="170"/>
    </row>
    <row r="234">
      <c r="F234" s="170"/>
    </row>
    <row r="235">
      <c r="F235" s="170"/>
    </row>
    <row r="236">
      <c r="F236" s="170"/>
    </row>
    <row r="237">
      <c r="F237" s="170"/>
    </row>
    <row r="238">
      <c r="F238" s="170"/>
    </row>
    <row r="239">
      <c r="F239" s="170"/>
    </row>
    <row r="240">
      <c r="F240" s="170"/>
    </row>
    <row r="241">
      <c r="F241" s="170"/>
    </row>
    <row r="242">
      <c r="F242" s="170"/>
    </row>
    <row r="243">
      <c r="F243" s="170"/>
    </row>
    <row r="244">
      <c r="F244" s="170"/>
    </row>
    <row r="245">
      <c r="F245" s="170"/>
    </row>
    <row r="246">
      <c r="F246" s="170"/>
    </row>
    <row r="247">
      <c r="F247" s="170"/>
    </row>
    <row r="248">
      <c r="F248" s="170"/>
    </row>
    <row r="249">
      <c r="F249" s="170"/>
    </row>
    <row r="250">
      <c r="F250" s="170"/>
    </row>
    <row r="251">
      <c r="F251" s="170"/>
    </row>
    <row r="252">
      <c r="F252" s="170"/>
    </row>
    <row r="253">
      <c r="F253" s="170"/>
    </row>
    <row r="254">
      <c r="F254" s="170"/>
    </row>
    <row r="255">
      <c r="F255" s="170"/>
    </row>
    <row r="256">
      <c r="F256" s="170"/>
    </row>
    <row r="257">
      <c r="F257" s="170"/>
    </row>
    <row r="258">
      <c r="F258" s="170"/>
    </row>
    <row r="259">
      <c r="F259" s="170"/>
    </row>
    <row r="260">
      <c r="F260" s="170"/>
    </row>
    <row r="261">
      <c r="F261" s="170"/>
    </row>
    <row r="262">
      <c r="F262" s="170"/>
    </row>
    <row r="263">
      <c r="F263" s="170"/>
    </row>
    <row r="264">
      <c r="F264" s="170"/>
    </row>
    <row r="265">
      <c r="F265" s="170"/>
    </row>
    <row r="266">
      <c r="F266" s="170"/>
    </row>
    <row r="267">
      <c r="F267" s="170"/>
    </row>
    <row r="268">
      <c r="F268" s="170"/>
    </row>
    <row r="269">
      <c r="F269" s="170"/>
    </row>
    <row r="270">
      <c r="F270" s="170"/>
    </row>
    <row r="271">
      <c r="F271" s="170"/>
    </row>
    <row r="272">
      <c r="F272" s="170"/>
    </row>
    <row r="273">
      <c r="F273" s="170"/>
    </row>
    <row r="274">
      <c r="F274" s="170"/>
    </row>
    <row r="275">
      <c r="F275" s="170"/>
    </row>
    <row r="276">
      <c r="F276" s="170"/>
    </row>
    <row r="277">
      <c r="F277" s="170"/>
    </row>
    <row r="278">
      <c r="F278" s="170"/>
    </row>
    <row r="279">
      <c r="F279" s="170"/>
    </row>
    <row r="280">
      <c r="F280" s="170"/>
    </row>
    <row r="281">
      <c r="F281" s="170"/>
    </row>
    <row r="282">
      <c r="F282" s="170"/>
    </row>
    <row r="283">
      <c r="F283" s="170"/>
    </row>
    <row r="284">
      <c r="F284" s="170"/>
    </row>
    <row r="285">
      <c r="F285" s="170"/>
    </row>
    <row r="286">
      <c r="F286" s="170"/>
    </row>
    <row r="287">
      <c r="F287" s="170"/>
    </row>
    <row r="288">
      <c r="F288" s="170"/>
    </row>
    <row r="289">
      <c r="F289" s="170"/>
    </row>
    <row r="290">
      <c r="F290" s="170"/>
    </row>
    <row r="291">
      <c r="F291" s="170"/>
    </row>
    <row r="292">
      <c r="F292" s="170"/>
    </row>
    <row r="293">
      <c r="F293" s="170"/>
    </row>
    <row r="294">
      <c r="F294" s="170"/>
    </row>
    <row r="295">
      <c r="F295" s="170"/>
    </row>
    <row r="296">
      <c r="F296" s="170"/>
    </row>
    <row r="297">
      <c r="F297" s="170"/>
    </row>
    <row r="298">
      <c r="F298" s="170"/>
    </row>
    <row r="299">
      <c r="F299" s="170"/>
    </row>
    <row r="300">
      <c r="F300" s="170"/>
    </row>
    <row r="301">
      <c r="F301" s="170"/>
    </row>
    <row r="302">
      <c r="F302" s="170"/>
    </row>
    <row r="303">
      <c r="F303" s="170"/>
    </row>
    <row r="304">
      <c r="F304" s="170"/>
    </row>
    <row r="305">
      <c r="F305" s="170"/>
    </row>
    <row r="306">
      <c r="F306" s="170"/>
    </row>
    <row r="307">
      <c r="F307" s="170"/>
    </row>
    <row r="308">
      <c r="F308" s="170"/>
    </row>
    <row r="309">
      <c r="F309" s="170"/>
    </row>
    <row r="310">
      <c r="F310" s="170"/>
    </row>
    <row r="311">
      <c r="F311" s="170"/>
    </row>
    <row r="312">
      <c r="F312" s="170"/>
    </row>
    <row r="313">
      <c r="F313" s="170"/>
    </row>
    <row r="314">
      <c r="F314" s="170"/>
    </row>
    <row r="315">
      <c r="F315" s="170"/>
    </row>
    <row r="316">
      <c r="F316" s="170"/>
    </row>
    <row r="317">
      <c r="F317" s="170"/>
    </row>
    <row r="318">
      <c r="F318" s="170"/>
    </row>
    <row r="319">
      <c r="F319" s="170"/>
    </row>
    <row r="320">
      <c r="F320" s="170"/>
    </row>
    <row r="321">
      <c r="F321" s="170"/>
    </row>
    <row r="322">
      <c r="F322" s="170"/>
    </row>
    <row r="323">
      <c r="F323" s="170"/>
    </row>
    <row r="324">
      <c r="F324" s="170"/>
    </row>
    <row r="325">
      <c r="F325" s="170"/>
    </row>
    <row r="326">
      <c r="F326" s="170"/>
    </row>
    <row r="327">
      <c r="F327" s="170"/>
    </row>
    <row r="328">
      <c r="F328" s="170"/>
    </row>
    <row r="329">
      <c r="F329" s="170"/>
    </row>
    <row r="330">
      <c r="F330" s="170"/>
    </row>
    <row r="331">
      <c r="F331" s="170"/>
    </row>
    <row r="332">
      <c r="F332" s="170"/>
    </row>
    <row r="333">
      <c r="F333" s="170"/>
    </row>
    <row r="334">
      <c r="F334" s="170"/>
    </row>
    <row r="335">
      <c r="F335" s="170"/>
    </row>
    <row r="336">
      <c r="F336" s="170"/>
    </row>
    <row r="337">
      <c r="F337" s="170"/>
    </row>
    <row r="338">
      <c r="F338" s="170"/>
    </row>
    <row r="339">
      <c r="F339" s="170"/>
    </row>
    <row r="340">
      <c r="F340" s="170"/>
    </row>
    <row r="341">
      <c r="F341" s="170"/>
    </row>
    <row r="342">
      <c r="F342" s="170"/>
    </row>
    <row r="343">
      <c r="F343" s="170"/>
    </row>
    <row r="344">
      <c r="F344" s="170"/>
    </row>
    <row r="345">
      <c r="F345" s="170"/>
    </row>
    <row r="346">
      <c r="F346" s="170"/>
    </row>
    <row r="347">
      <c r="F347" s="170"/>
    </row>
    <row r="348">
      <c r="F348" s="170"/>
    </row>
    <row r="349">
      <c r="F349" s="170"/>
    </row>
    <row r="350">
      <c r="F350" s="170"/>
    </row>
    <row r="351">
      <c r="F351" s="170"/>
    </row>
    <row r="352">
      <c r="F352" s="170"/>
    </row>
    <row r="353">
      <c r="F353" s="170"/>
    </row>
    <row r="354">
      <c r="F354" s="170"/>
    </row>
    <row r="355">
      <c r="F355" s="170"/>
    </row>
    <row r="356">
      <c r="F356" s="170"/>
    </row>
    <row r="357">
      <c r="F357" s="170"/>
    </row>
    <row r="358">
      <c r="F358" s="170"/>
    </row>
    <row r="359">
      <c r="F359" s="170"/>
    </row>
    <row r="360">
      <c r="F360" s="170"/>
    </row>
    <row r="361">
      <c r="F361" s="170"/>
    </row>
    <row r="362">
      <c r="F362" s="170"/>
    </row>
    <row r="363">
      <c r="F363" s="170"/>
    </row>
    <row r="364">
      <c r="F364" s="170"/>
    </row>
    <row r="365">
      <c r="F365" s="170"/>
    </row>
    <row r="366">
      <c r="F366" s="170"/>
    </row>
    <row r="367">
      <c r="F367" s="170"/>
    </row>
    <row r="368">
      <c r="F368" s="170"/>
    </row>
    <row r="369">
      <c r="F369" s="170"/>
    </row>
    <row r="370">
      <c r="F370" s="170"/>
    </row>
    <row r="371">
      <c r="F371" s="170"/>
    </row>
    <row r="372">
      <c r="F372" s="170"/>
    </row>
    <row r="373">
      <c r="F373" s="170"/>
    </row>
    <row r="374">
      <c r="F374" s="170"/>
    </row>
    <row r="375">
      <c r="F375" s="170"/>
    </row>
    <row r="376">
      <c r="F376" s="170"/>
    </row>
    <row r="377">
      <c r="F377" s="170"/>
    </row>
    <row r="378">
      <c r="F378" s="170"/>
    </row>
    <row r="379">
      <c r="F379" s="170"/>
    </row>
    <row r="380">
      <c r="F380" s="170"/>
    </row>
    <row r="381">
      <c r="F381" s="170"/>
    </row>
    <row r="382">
      <c r="F382" s="170"/>
    </row>
    <row r="383">
      <c r="F383" s="170"/>
    </row>
    <row r="384">
      <c r="F384" s="170"/>
    </row>
    <row r="385">
      <c r="F385" s="170"/>
    </row>
    <row r="386">
      <c r="F386" s="170"/>
    </row>
    <row r="387">
      <c r="F387" s="170"/>
    </row>
    <row r="388">
      <c r="F388" s="170"/>
    </row>
    <row r="389">
      <c r="F389" s="170"/>
    </row>
    <row r="390">
      <c r="F390" s="170"/>
    </row>
    <row r="391">
      <c r="F391" s="170"/>
    </row>
    <row r="392">
      <c r="F392" s="170"/>
    </row>
    <row r="393">
      <c r="F393" s="170"/>
    </row>
    <row r="394">
      <c r="F394" s="170"/>
    </row>
    <row r="395">
      <c r="F395" s="170"/>
    </row>
    <row r="396">
      <c r="F396" s="170"/>
    </row>
    <row r="397">
      <c r="F397" s="170"/>
    </row>
    <row r="398">
      <c r="F398" s="170"/>
    </row>
    <row r="399">
      <c r="F399" s="170"/>
    </row>
    <row r="400">
      <c r="F400" s="170"/>
    </row>
    <row r="401">
      <c r="F401" s="170"/>
    </row>
    <row r="402">
      <c r="F402" s="170"/>
    </row>
    <row r="403">
      <c r="F403" s="170"/>
    </row>
    <row r="404">
      <c r="F404" s="170"/>
    </row>
    <row r="405">
      <c r="F405" s="170"/>
    </row>
    <row r="406">
      <c r="F406" s="170"/>
    </row>
    <row r="407">
      <c r="F407" s="170"/>
    </row>
    <row r="408">
      <c r="F408" s="170"/>
    </row>
    <row r="409">
      <c r="F409" s="170"/>
    </row>
    <row r="410">
      <c r="F410" s="170"/>
    </row>
    <row r="411">
      <c r="F411" s="170"/>
    </row>
    <row r="412">
      <c r="F412" s="170"/>
    </row>
    <row r="413">
      <c r="F413" s="170"/>
    </row>
    <row r="414">
      <c r="F414" s="170"/>
    </row>
    <row r="415">
      <c r="F415" s="170"/>
    </row>
    <row r="416">
      <c r="F416" s="170"/>
    </row>
    <row r="417">
      <c r="F417" s="170"/>
    </row>
    <row r="418">
      <c r="F418" s="170"/>
    </row>
    <row r="419">
      <c r="F419" s="170"/>
    </row>
    <row r="420">
      <c r="F420" s="170"/>
    </row>
    <row r="421">
      <c r="F421" s="170"/>
    </row>
    <row r="422">
      <c r="F422" s="170"/>
    </row>
    <row r="423">
      <c r="F423" s="170"/>
    </row>
    <row r="424">
      <c r="F424" s="170"/>
    </row>
    <row r="425">
      <c r="F425" s="170"/>
    </row>
    <row r="426">
      <c r="F426" s="170"/>
    </row>
    <row r="427">
      <c r="F427" s="170"/>
    </row>
    <row r="428">
      <c r="F428" s="170"/>
    </row>
    <row r="429">
      <c r="F429" s="170"/>
    </row>
    <row r="430">
      <c r="F430" s="170"/>
    </row>
    <row r="431">
      <c r="F431" s="170"/>
    </row>
    <row r="432">
      <c r="F432" s="170"/>
    </row>
    <row r="433">
      <c r="F433" s="170"/>
    </row>
    <row r="434">
      <c r="F434" s="170"/>
    </row>
    <row r="435">
      <c r="F435" s="170"/>
    </row>
    <row r="436">
      <c r="F436" s="170"/>
    </row>
    <row r="437">
      <c r="F437" s="170"/>
    </row>
    <row r="438">
      <c r="F438" s="170"/>
    </row>
    <row r="439">
      <c r="F439" s="170"/>
    </row>
    <row r="440">
      <c r="F440" s="170"/>
    </row>
    <row r="441">
      <c r="F441" s="170"/>
    </row>
    <row r="442">
      <c r="F442" s="170"/>
    </row>
    <row r="443">
      <c r="F443" s="170"/>
    </row>
    <row r="444">
      <c r="F444" s="170"/>
    </row>
    <row r="445">
      <c r="F445" s="170"/>
    </row>
    <row r="446">
      <c r="F446" s="170"/>
    </row>
    <row r="447">
      <c r="F447" s="170"/>
    </row>
    <row r="448">
      <c r="F448" s="170"/>
    </row>
    <row r="449">
      <c r="F449" s="170"/>
    </row>
    <row r="450">
      <c r="F450" s="170"/>
    </row>
    <row r="451">
      <c r="F451" s="170"/>
    </row>
    <row r="452">
      <c r="F452" s="170"/>
    </row>
    <row r="453">
      <c r="F453" s="170"/>
    </row>
    <row r="454">
      <c r="F454" s="170"/>
    </row>
    <row r="455">
      <c r="F455" s="170"/>
    </row>
    <row r="456">
      <c r="F456" s="170"/>
    </row>
    <row r="457">
      <c r="F457" s="170"/>
    </row>
    <row r="458">
      <c r="F458" s="170"/>
    </row>
    <row r="459">
      <c r="F459" s="170"/>
    </row>
    <row r="460">
      <c r="F460" s="170"/>
    </row>
    <row r="461">
      <c r="F461" s="170"/>
    </row>
    <row r="462">
      <c r="F462" s="170"/>
    </row>
    <row r="463">
      <c r="F463" s="170"/>
    </row>
    <row r="464">
      <c r="F464" s="170"/>
    </row>
    <row r="465">
      <c r="F465" s="170"/>
    </row>
    <row r="466">
      <c r="F466" s="170"/>
    </row>
    <row r="467">
      <c r="F467" s="170"/>
    </row>
    <row r="468">
      <c r="F468" s="170"/>
    </row>
    <row r="469">
      <c r="F469" s="170"/>
    </row>
    <row r="470">
      <c r="F470" s="170"/>
    </row>
    <row r="471">
      <c r="F471" s="170"/>
    </row>
    <row r="472">
      <c r="F472" s="170"/>
    </row>
    <row r="473">
      <c r="F473" s="170"/>
    </row>
    <row r="474">
      <c r="F474" s="170"/>
    </row>
    <row r="475">
      <c r="F475" s="170"/>
    </row>
    <row r="476">
      <c r="F476" s="170"/>
    </row>
    <row r="477">
      <c r="F477" s="170"/>
    </row>
    <row r="478">
      <c r="F478" s="170"/>
    </row>
    <row r="479">
      <c r="F479" s="170"/>
    </row>
    <row r="480">
      <c r="F480" s="170"/>
    </row>
    <row r="481">
      <c r="F481" s="170"/>
    </row>
    <row r="482">
      <c r="F482" s="170"/>
    </row>
    <row r="483">
      <c r="F483" s="170"/>
    </row>
    <row r="484">
      <c r="F484" s="170"/>
    </row>
    <row r="485">
      <c r="F485" s="170"/>
    </row>
    <row r="486">
      <c r="F486" s="170"/>
    </row>
    <row r="487">
      <c r="F487" s="170"/>
    </row>
    <row r="488">
      <c r="F488" s="170"/>
    </row>
    <row r="489">
      <c r="F489" s="170"/>
    </row>
    <row r="490">
      <c r="F490" s="170"/>
    </row>
    <row r="491">
      <c r="F491" s="170"/>
    </row>
    <row r="492">
      <c r="F492" s="170"/>
    </row>
    <row r="493">
      <c r="F493" s="170"/>
    </row>
    <row r="494">
      <c r="F494" s="170"/>
    </row>
    <row r="495">
      <c r="F495" s="170"/>
    </row>
    <row r="496">
      <c r="F496" s="170"/>
    </row>
    <row r="497">
      <c r="F497" s="170"/>
    </row>
    <row r="498">
      <c r="F498" s="170"/>
    </row>
    <row r="499">
      <c r="F499" s="170"/>
    </row>
    <row r="500">
      <c r="F500" s="170"/>
    </row>
    <row r="501">
      <c r="F501" s="170"/>
    </row>
    <row r="502">
      <c r="F502" s="170"/>
    </row>
    <row r="503">
      <c r="F503" s="170"/>
    </row>
    <row r="504">
      <c r="F504" s="170"/>
    </row>
    <row r="505">
      <c r="F505" s="170"/>
    </row>
    <row r="506">
      <c r="F506" s="170"/>
    </row>
    <row r="507">
      <c r="F507" s="170"/>
    </row>
    <row r="508">
      <c r="F508" s="170"/>
    </row>
    <row r="509">
      <c r="F509" s="170"/>
    </row>
    <row r="510">
      <c r="F510" s="170"/>
    </row>
    <row r="511">
      <c r="F511" s="170"/>
    </row>
    <row r="512">
      <c r="F512" s="170"/>
    </row>
    <row r="513">
      <c r="F513" s="170"/>
    </row>
    <row r="514">
      <c r="F514" s="170"/>
    </row>
    <row r="515">
      <c r="F515" s="170"/>
    </row>
    <row r="516">
      <c r="F516" s="170"/>
    </row>
    <row r="517">
      <c r="F517" s="170"/>
    </row>
    <row r="518">
      <c r="F518" s="170"/>
    </row>
    <row r="519">
      <c r="F519" s="170"/>
    </row>
    <row r="520">
      <c r="F520" s="170"/>
    </row>
    <row r="521">
      <c r="F521" s="170"/>
    </row>
    <row r="522">
      <c r="F522" s="170"/>
    </row>
    <row r="523">
      <c r="F523" s="170"/>
    </row>
    <row r="524">
      <c r="F524" s="170"/>
    </row>
    <row r="525">
      <c r="F525" s="170"/>
    </row>
    <row r="526">
      <c r="F526" s="170"/>
    </row>
    <row r="527">
      <c r="F527" s="170"/>
    </row>
    <row r="528">
      <c r="F528" s="170"/>
    </row>
    <row r="529">
      <c r="F529" s="170"/>
    </row>
    <row r="530">
      <c r="F530" s="170"/>
    </row>
    <row r="531">
      <c r="F531" s="170"/>
    </row>
    <row r="532">
      <c r="F532" s="170"/>
    </row>
    <row r="533">
      <c r="F533" s="170"/>
    </row>
    <row r="534">
      <c r="F534" s="170"/>
    </row>
    <row r="535">
      <c r="F535" s="170"/>
    </row>
    <row r="536">
      <c r="F536" s="170"/>
    </row>
    <row r="537">
      <c r="F537" s="170"/>
    </row>
    <row r="538">
      <c r="F538" s="170"/>
    </row>
    <row r="539">
      <c r="F539" s="170"/>
    </row>
    <row r="540">
      <c r="F540" s="170"/>
    </row>
    <row r="541">
      <c r="F541" s="170"/>
    </row>
    <row r="542">
      <c r="F542" s="170"/>
    </row>
    <row r="543">
      <c r="F543" s="170"/>
    </row>
    <row r="544">
      <c r="F544" s="170"/>
    </row>
    <row r="545">
      <c r="F545" s="170"/>
    </row>
    <row r="546">
      <c r="F546" s="170"/>
    </row>
    <row r="547">
      <c r="F547" s="170"/>
    </row>
    <row r="548">
      <c r="F548" s="170"/>
    </row>
    <row r="549">
      <c r="F549" s="170"/>
    </row>
    <row r="550">
      <c r="F550" s="170"/>
    </row>
    <row r="551">
      <c r="F551" s="170"/>
    </row>
    <row r="552">
      <c r="F552" s="170"/>
    </row>
    <row r="553">
      <c r="F553" s="170"/>
    </row>
    <row r="554">
      <c r="F554" s="170"/>
    </row>
    <row r="555">
      <c r="F555" s="170"/>
    </row>
    <row r="556">
      <c r="F556" s="170"/>
    </row>
    <row r="557">
      <c r="F557" s="170"/>
    </row>
    <row r="558">
      <c r="F558" s="170"/>
    </row>
    <row r="559">
      <c r="F559" s="170"/>
    </row>
    <row r="560">
      <c r="F560" s="170"/>
    </row>
    <row r="561">
      <c r="F561" s="170"/>
    </row>
    <row r="562">
      <c r="F562" s="170"/>
    </row>
    <row r="563">
      <c r="F563" s="170"/>
    </row>
    <row r="564">
      <c r="F564" s="170"/>
    </row>
    <row r="565">
      <c r="F565" s="170"/>
    </row>
    <row r="566">
      <c r="F566" s="170"/>
    </row>
    <row r="567">
      <c r="F567" s="170"/>
    </row>
    <row r="568">
      <c r="F568" s="170"/>
    </row>
    <row r="569">
      <c r="F569" s="170"/>
    </row>
    <row r="570">
      <c r="F570" s="170"/>
    </row>
    <row r="571">
      <c r="F571" s="170"/>
    </row>
    <row r="572">
      <c r="F572" s="170"/>
    </row>
    <row r="573">
      <c r="F573" s="170"/>
    </row>
    <row r="574">
      <c r="F574" s="170"/>
    </row>
    <row r="575">
      <c r="F575" s="170"/>
    </row>
    <row r="576">
      <c r="F576" s="170"/>
    </row>
    <row r="577">
      <c r="F577" s="170"/>
    </row>
    <row r="578">
      <c r="F578" s="170"/>
    </row>
    <row r="579">
      <c r="F579" s="170"/>
    </row>
    <row r="580">
      <c r="F580" s="170"/>
    </row>
    <row r="581">
      <c r="F581" s="170"/>
    </row>
    <row r="582">
      <c r="F582" s="170"/>
    </row>
    <row r="583">
      <c r="F583" s="170"/>
    </row>
    <row r="584">
      <c r="F584" s="170"/>
    </row>
    <row r="585">
      <c r="F585" s="170"/>
    </row>
    <row r="586">
      <c r="F586" s="170"/>
    </row>
    <row r="587">
      <c r="F587" s="170"/>
    </row>
    <row r="588">
      <c r="F588" s="170"/>
    </row>
    <row r="589">
      <c r="F589" s="170"/>
    </row>
    <row r="590">
      <c r="F590" s="170"/>
    </row>
    <row r="591">
      <c r="F591" s="170"/>
    </row>
    <row r="592">
      <c r="F592" s="170"/>
    </row>
    <row r="593">
      <c r="F593" s="170"/>
    </row>
    <row r="594">
      <c r="F594" s="170"/>
    </row>
    <row r="595">
      <c r="F595" s="170"/>
    </row>
    <row r="596">
      <c r="F596" s="170"/>
    </row>
    <row r="597">
      <c r="F597" s="170"/>
    </row>
    <row r="598">
      <c r="F598" s="170"/>
    </row>
    <row r="599">
      <c r="F599" s="170"/>
    </row>
    <row r="600">
      <c r="F600" s="170"/>
    </row>
    <row r="601">
      <c r="F601" s="170"/>
    </row>
    <row r="602">
      <c r="F602" s="170"/>
    </row>
    <row r="603">
      <c r="F603" s="170"/>
    </row>
    <row r="604">
      <c r="F604" s="170"/>
    </row>
    <row r="605">
      <c r="F605" s="170"/>
    </row>
    <row r="606">
      <c r="F606" s="170"/>
    </row>
    <row r="607">
      <c r="F607" s="170"/>
    </row>
    <row r="608">
      <c r="F608" s="170"/>
    </row>
    <row r="609">
      <c r="F609" s="170"/>
    </row>
    <row r="610">
      <c r="F610" s="170"/>
    </row>
    <row r="611">
      <c r="F611" s="170"/>
    </row>
    <row r="612">
      <c r="F612" s="170"/>
    </row>
    <row r="613">
      <c r="F613" s="170"/>
    </row>
    <row r="614">
      <c r="F614" s="170"/>
    </row>
    <row r="615">
      <c r="F615" s="170"/>
    </row>
    <row r="616">
      <c r="F616" s="170"/>
    </row>
    <row r="617">
      <c r="F617" s="170"/>
    </row>
    <row r="618">
      <c r="F618" s="170"/>
    </row>
    <row r="619">
      <c r="F619" s="170"/>
    </row>
    <row r="620">
      <c r="F620" s="170"/>
    </row>
    <row r="621">
      <c r="F621" s="170"/>
    </row>
    <row r="622">
      <c r="F622" s="170"/>
    </row>
    <row r="623">
      <c r="F623" s="170"/>
    </row>
    <row r="624">
      <c r="F624" s="170"/>
    </row>
    <row r="625">
      <c r="F625" s="170"/>
    </row>
    <row r="626">
      <c r="F626" s="170"/>
    </row>
    <row r="627">
      <c r="F627" s="170"/>
    </row>
    <row r="628">
      <c r="F628" s="170"/>
    </row>
    <row r="629">
      <c r="F629" s="170"/>
    </row>
    <row r="630">
      <c r="F630" s="170"/>
    </row>
    <row r="631">
      <c r="F631" s="170"/>
    </row>
    <row r="632">
      <c r="F632" s="170"/>
    </row>
    <row r="633">
      <c r="F633" s="170"/>
    </row>
    <row r="634">
      <c r="F634" s="170"/>
    </row>
    <row r="635">
      <c r="F635" s="170"/>
    </row>
    <row r="636">
      <c r="F636" s="170"/>
    </row>
    <row r="637">
      <c r="F637" s="170"/>
    </row>
    <row r="638">
      <c r="F638" s="170"/>
    </row>
    <row r="639">
      <c r="F639" s="170"/>
    </row>
    <row r="640">
      <c r="F640" s="170"/>
    </row>
    <row r="641">
      <c r="F641" s="170"/>
    </row>
    <row r="642">
      <c r="F642" s="170"/>
    </row>
    <row r="643">
      <c r="F643" s="170"/>
    </row>
    <row r="644">
      <c r="F644" s="170"/>
    </row>
    <row r="645">
      <c r="F645" s="170"/>
    </row>
    <row r="646">
      <c r="F646" s="170"/>
    </row>
    <row r="647">
      <c r="F647" s="170"/>
    </row>
    <row r="648">
      <c r="F648" s="170"/>
    </row>
    <row r="649">
      <c r="F649" s="170"/>
    </row>
    <row r="650">
      <c r="F650" s="170"/>
    </row>
    <row r="651">
      <c r="F651" s="170"/>
    </row>
    <row r="652">
      <c r="F652" s="170"/>
    </row>
    <row r="653">
      <c r="F653" s="170"/>
    </row>
    <row r="654">
      <c r="F654" s="170"/>
    </row>
    <row r="655">
      <c r="F655" s="170"/>
    </row>
    <row r="656">
      <c r="F656" s="170"/>
    </row>
    <row r="657">
      <c r="F657" s="170"/>
    </row>
    <row r="658">
      <c r="F658" s="170"/>
    </row>
    <row r="659">
      <c r="F659" s="170"/>
    </row>
    <row r="660">
      <c r="F660" s="170"/>
    </row>
    <row r="661">
      <c r="F661" s="170"/>
    </row>
    <row r="662">
      <c r="F662" s="170"/>
    </row>
    <row r="663">
      <c r="F663" s="170"/>
    </row>
    <row r="664">
      <c r="F664" s="170"/>
    </row>
    <row r="665">
      <c r="F665" s="170"/>
    </row>
    <row r="666">
      <c r="F666" s="170"/>
    </row>
    <row r="667">
      <c r="F667" s="170"/>
    </row>
    <row r="668">
      <c r="F668" s="170"/>
    </row>
    <row r="669">
      <c r="F669" s="170"/>
    </row>
    <row r="670">
      <c r="F670" s="170"/>
    </row>
    <row r="671">
      <c r="F671" s="170"/>
    </row>
    <row r="672">
      <c r="F672" s="170"/>
    </row>
    <row r="673">
      <c r="F673" s="170"/>
    </row>
    <row r="674">
      <c r="F674" s="170"/>
    </row>
    <row r="675">
      <c r="F675" s="170"/>
    </row>
    <row r="676">
      <c r="F676" s="170"/>
    </row>
    <row r="677">
      <c r="F677" s="170"/>
    </row>
    <row r="678">
      <c r="F678" s="170"/>
    </row>
    <row r="679">
      <c r="F679" s="170"/>
    </row>
    <row r="680">
      <c r="F680" s="170"/>
    </row>
    <row r="681">
      <c r="F681" s="170"/>
    </row>
    <row r="682">
      <c r="F682" s="170"/>
    </row>
    <row r="683">
      <c r="F683" s="170"/>
    </row>
    <row r="684">
      <c r="F684" s="170"/>
    </row>
    <row r="685">
      <c r="F685" s="170"/>
    </row>
    <row r="686">
      <c r="F686" s="170"/>
    </row>
    <row r="687">
      <c r="F687" s="170"/>
    </row>
    <row r="688">
      <c r="F688" s="170"/>
    </row>
    <row r="689">
      <c r="F689" s="170"/>
    </row>
    <row r="690">
      <c r="F690" s="170"/>
    </row>
    <row r="691">
      <c r="F691" s="170"/>
    </row>
    <row r="692">
      <c r="F692" s="170"/>
    </row>
    <row r="693">
      <c r="F693" s="170"/>
    </row>
    <row r="694">
      <c r="F694" s="170"/>
    </row>
    <row r="695">
      <c r="F695" s="170"/>
    </row>
    <row r="696">
      <c r="F696" s="170"/>
    </row>
    <row r="697">
      <c r="F697" s="170"/>
    </row>
    <row r="698">
      <c r="F698" s="170"/>
    </row>
    <row r="699">
      <c r="F699" s="170"/>
    </row>
    <row r="700">
      <c r="F700" s="170"/>
    </row>
    <row r="701">
      <c r="F701" s="170"/>
    </row>
    <row r="702">
      <c r="F702" s="170"/>
    </row>
    <row r="703">
      <c r="F703" s="170"/>
    </row>
    <row r="704">
      <c r="F704" s="170"/>
    </row>
    <row r="705">
      <c r="F705" s="170"/>
    </row>
    <row r="706">
      <c r="F706" s="170"/>
    </row>
    <row r="707">
      <c r="F707" s="170"/>
    </row>
    <row r="708">
      <c r="F708" s="170"/>
    </row>
    <row r="709">
      <c r="F709" s="170"/>
    </row>
    <row r="710">
      <c r="F710" s="170"/>
    </row>
    <row r="711">
      <c r="F711" s="170"/>
    </row>
    <row r="712">
      <c r="F712" s="170"/>
    </row>
    <row r="713">
      <c r="F713" s="170"/>
    </row>
    <row r="714">
      <c r="F714" s="170"/>
    </row>
    <row r="715">
      <c r="F715" s="170"/>
    </row>
    <row r="716">
      <c r="F716" s="170"/>
    </row>
    <row r="717">
      <c r="F717" s="170"/>
    </row>
    <row r="718">
      <c r="F718" s="170"/>
    </row>
    <row r="719">
      <c r="F719" s="170"/>
    </row>
    <row r="720">
      <c r="F720" s="170"/>
    </row>
    <row r="721">
      <c r="F721" s="170"/>
    </row>
    <row r="722">
      <c r="F722" s="170"/>
    </row>
    <row r="723">
      <c r="F723" s="170"/>
    </row>
    <row r="724">
      <c r="F724" s="170"/>
    </row>
    <row r="725">
      <c r="F725" s="170"/>
    </row>
    <row r="726">
      <c r="F726" s="170"/>
    </row>
    <row r="727">
      <c r="F727" s="170"/>
    </row>
    <row r="728">
      <c r="F728" s="170"/>
    </row>
    <row r="729">
      <c r="F729" s="170"/>
    </row>
    <row r="730">
      <c r="F730" s="170"/>
    </row>
    <row r="731">
      <c r="F731" s="170"/>
    </row>
    <row r="732">
      <c r="F732" s="170"/>
    </row>
    <row r="733">
      <c r="F733" s="170"/>
    </row>
    <row r="734">
      <c r="F734" s="170"/>
    </row>
    <row r="735">
      <c r="F735" s="170"/>
    </row>
    <row r="736">
      <c r="F736" s="170"/>
    </row>
    <row r="737">
      <c r="F737" s="170"/>
    </row>
    <row r="738">
      <c r="F738" s="170"/>
    </row>
    <row r="739">
      <c r="F739" s="170"/>
    </row>
    <row r="740">
      <c r="F740" s="170"/>
    </row>
    <row r="741">
      <c r="F741" s="170"/>
    </row>
    <row r="742">
      <c r="F742" s="170"/>
    </row>
    <row r="743">
      <c r="F743" s="170"/>
    </row>
    <row r="744">
      <c r="F744" s="170"/>
    </row>
    <row r="745">
      <c r="F745" s="170"/>
    </row>
    <row r="746">
      <c r="F746" s="170"/>
    </row>
    <row r="747">
      <c r="F747" s="170"/>
    </row>
    <row r="748">
      <c r="F748" s="170"/>
    </row>
    <row r="749">
      <c r="F749" s="170"/>
    </row>
    <row r="750">
      <c r="F750" s="170"/>
    </row>
    <row r="751">
      <c r="F751" s="170"/>
    </row>
    <row r="752">
      <c r="F752" s="170"/>
    </row>
    <row r="753">
      <c r="F753" s="170"/>
    </row>
    <row r="754">
      <c r="F754" s="170"/>
    </row>
    <row r="755">
      <c r="F755" s="170"/>
    </row>
    <row r="756">
      <c r="F756" s="170"/>
    </row>
    <row r="757">
      <c r="F757" s="170"/>
    </row>
    <row r="758">
      <c r="F758" s="170"/>
    </row>
    <row r="759">
      <c r="F759" s="170"/>
    </row>
    <row r="760">
      <c r="F760" s="170"/>
    </row>
    <row r="761">
      <c r="F761" s="170"/>
    </row>
    <row r="762">
      <c r="F762" s="170"/>
    </row>
    <row r="763">
      <c r="F763" s="170"/>
    </row>
    <row r="764">
      <c r="F764" s="170"/>
    </row>
    <row r="765">
      <c r="F765" s="170"/>
    </row>
    <row r="766">
      <c r="F766" s="170"/>
    </row>
    <row r="767">
      <c r="F767" s="170"/>
    </row>
    <row r="768">
      <c r="F768" s="170"/>
    </row>
    <row r="769">
      <c r="F769" s="170"/>
    </row>
    <row r="770">
      <c r="F770" s="170"/>
    </row>
    <row r="771">
      <c r="F771" s="170"/>
    </row>
    <row r="772">
      <c r="F772" s="170"/>
    </row>
    <row r="773">
      <c r="F773" s="170"/>
    </row>
    <row r="774">
      <c r="F774" s="170"/>
    </row>
    <row r="775">
      <c r="F775" s="170"/>
    </row>
    <row r="776">
      <c r="F776" s="170"/>
    </row>
    <row r="777">
      <c r="F777" s="170"/>
    </row>
    <row r="778">
      <c r="F778" s="170"/>
    </row>
    <row r="779">
      <c r="F779" s="170"/>
    </row>
    <row r="780">
      <c r="F780" s="170"/>
    </row>
    <row r="781">
      <c r="F781" s="170"/>
    </row>
    <row r="782">
      <c r="F782" s="170"/>
    </row>
    <row r="783">
      <c r="F783" s="170"/>
    </row>
    <row r="784">
      <c r="F784" s="170"/>
    </row>
    <row r="785">
      <c r="F785" s="170"/>
    </row>
    <row r="786">
      <c r="F786" s="170"/>
    </row>
    <row r="787">
      <c r="F787" s="170"/>
    </row>
    <row r="788">
      <c r="F788" s="170"/>
    </row>
    <row r="789">
      <c r="F789" s="170"/>
    </row>
    <row r="790">
      <c r="F790" s="170"/>
    </row>
    <row r="791">
      <c r="F791" s="170"/>
    </row>
    <row r="792">
      <c r="F792" s="170"/>
    </row>
    <row r="793">
      <c r="F793" s="170"/>
    </row>
    <row r="794">
      <c r="F794" s="170"/>
    </row>
    <row r="795">
      <c r="F795" s="170"/>
    </row>
    <row r="796">
      <c r="F796" s="170"/>
    </row>
    <row r="797">
      <c r="F797" s="170"/>
    </row>
    <row r="798">
      <c r="F798" s="170"/>
    </row>
    <row r="799">
      <c r="F799" s="170"/>
    </row>
    <row r="800">
      <c r="F800" s="170"/>
    </row>
    <row r="801">
      <c r="F801" s="170"/>
    </row>
    <row r="802">
      <c r="F802" s="170"/>
    </row>
    <row r="803">
      <c r="F803" s="170"/>
    </row>
    <row r="804">
      <c r="F804" s="170"/>
    </row>
    <row r="805">
      <c r="F805" s="170"/>
    </row>
    <row r="806">
      <c r="F806" s="170"/>
    </row>
    <row r="807">
      <c r="F807" s="170"/>
    </row>
    <row r="808">
      <c r="F808" s="170"/>
    </row>
    <row r="809">
      <c r="F809" s="170"/>
    </row>
    <row r="810">
      <c r="F810" s="170"/>
    </row>
    <row r="811">
      <c r="F811" s="170"/>
    </row>
    <row r="812">
      <c r="F812" s="170"/>
    </row>
    <row r="813">
      <c r="F813" s="170"/>
    </row>
    <row r="814">
      <c r="F814" s="170"/>
    </row>
    <row r="815">
      <c r="F815" s="170"/>
    </row>
    <row r="816">
      <c r="F816" s="170"/>
    </row>
    <row r="817">
      <c r="F817" s="170"/>
    </row>
    <row r="818">
      <c r="F818" s="170"/>
    </row>
    <row r="819">
      <c r="F819" s="170"/>
    </row>
    <row r="820">
      <c r="F820" s="170"/>
    </row>
    <row r="821">
      <c r="F821" s="170"/>
    </row>
    <row r="822">
      <c r="F822" s="170"/>
    </row>
    <row r="823">
      <c r="F823" s="170"/>
    </row>
    <row r="824">
      <c r="F824" s="170"/>
    </row>
    <row r="825">
      <c r="F825" s="170"/>
    </row>
    <row r="826">
      <c r="F826" s="170"/>
    </row>
    <row r="827">
      <c r="F827" s="170"/>
    </row>
    <row r="828">
      <c r="F828" s="170"/>
    </row>
    <row r="829">
      <c r="F829" s="170"/>
    </row>
    <row r="830">
      <c r="F830" s="170"/>
    </row>
    <row r="831">
      <c r="F831" s="170"/>
    </row>
    <row r="832">
      <c r="F832" s="170"/>
    </row>
    <row r="833">
      <c r="F833" s="170"/>
    </row>
    <row r="834">
      <c r="F834" s="170"/>
    </row>
    <row r="835">
      <c r="F835" s="170"/>
    </row>
    <row r="836">
      <c r="F836" s="170"/>
    </row>
    <row r="837">
      <c r="F837" s="170"/>
    </row>
    <row r="838">
      <c r="F838" s="170"/>
    </row>
    <row r="839">
      <c r="F839" s="170"/>
    </row>
    <row r="840">
      <c r="F840" s="170"/>
    </row>
    <row r="841">
      <c r="F841" s="170"/>
    </row>
    <row r="842">
      <c r="F842" s="170"/>
    </row>
    <row r="843">
      <c r="F843" s="170"/>
    </row>
    <row r="844">
      <c r="F844" s="170"/>
    </row>
    <row r="845">
      <c r="F845" s="170"/>
    </row>
    <row r="846">
      <c r="F846" s="170"/>
    </row>
    <row r="847">
      <c r="F847" s="170"/>
    </row>
    <row r="848">
      <c r="F848" s="170"/>
    </row>
    <row r="849">
      <c r="F849" s="170"/>
    </row>
    <row r="850">
      <c r="F850" s="170"/>
    </row>
    <row r="851">
      <c r="F851" s="170"/>
    </row>
    <row r="852">
      <c r="F852" s="170"/>
    </row>
    <row r="853">
      <c r="F853" s="170"/>
    </row>
    <row r="854">
      <c r="F854" s="170"/>
    </row>
    <row r="855">
      <c r="F855" s="170"/>
    </row>
    <row r="856">
      <c r="F856" s="170"/>
    </row>
    <row r="857">
      <c r="F857" s="170"/>
    </row>
    <row r="858">
      <c r="F858" s="170"/>
    </row>
    <row r="859">
      <c r="F859" s="170"/>
    </row>
    <row r="860">
      <c r="F860" s="170"/>
    </row>
    <row r="861">
      <c r="F861" s="170"/>
    </row>
    <row r="862">
      <c r="F862" s="170"/>
    </row>
    <row r="863">
      <c r="F863" s="170"/>
    </row>
    <row r="864">
      <c r="F864" s="170"/>
    </row>
    <row r="865">
      <c r="F865" s="170"/>
    </row>
    <row r="866">
      <c r="F866" s="170"/>
    </row>
    <row r="867">
      <c r="F867" s="170"/>
    </row>
    <row r="868">
      <c r="F868" s="170"/>
    </row>
    <row r="869">
      <c r="F869" s="170"/>
    </row>
    <row r="870">
      <c r="F870" s="170"/>
    </row>
    <row r="871">
      <c r="F871" s="170"/>
    </row>
    <row r="872">
      <c r="F872" s="170"/>
    </row>
    <row r="873">
      <c r="F873" s="170"/>
    </row>
    <row r="874">
      <c r="F874" s="170"/>
    </row>
    <row r="875">
      <c r="F875" s="170"/>
    </row>
    <row r="876">
      <c r="F876" s="170"/>
    </row>
    <row r="877">
      <c r="F877" s="170"/>
    </row>
    <row r="878">
      <c r="F878" s="170"/>
    </row>
    <row r="879">
      <c r="F879" s="170"/>
    </row>
    <row r="880">
      <c r="F880" s="170"/>
    </row>
    <row r="881">
      <c r="F881" s="170"/>
    </row>
    <row r="882">
      <c r="F882" s="170"/>
    </row>
    <row r="883">
      <c r="F883" s="170"/>
    </row>
    <row r="884">
      <c r="F884" s="170"/>
    </row>
    <row r="885">
      <c r="F885" s="170"/>
    </row>
    <row r="886">
      <c r="F886" s="170"/>
    </row>
    <row r="887">
      <c r="F887" s="170"/>
    </row>
    <row r="888">
      <c r="F888" s="170"/>
    </row>
    <row r="889">
      <c r="F889" s="170"/>
    </row>
    <row r="890">
      <c r="F890" s="170"/>
    </row>
    <row r="891">
      <c r="F891" s="170"/>
    </row>
    <row r="892">
      <c r="F892" s="170"/>
    </row>
    <row r="893">
      <c r="F893" s="170"/>
    </row>
    <row r="894">
      <c r="F894" s="170"/>
    </row>
    <row r="895">
      <c r="F895" s="170"/>
    </row>
    <row r="896">
      <c r="F896" s="170"/>
    </row>
    <row r="897">
      <c r="F897" s="170"/>
    </row>
    <row r="898">
      <c r="F898" s="170"/>
    </row>
    <row r="899">
      <c r="F899" s="170"/>
    </row>
    <row r="900">
      <c r="F900" s="170"/>
    </row>
    <row r="901">
      <c r="F901" s="170"/>
    </row>
    <row r="902">
      <c r="F902" s="170"/>
    </row>
    <row r="903">
      <c r="F903" s="170"/>
    </row>
    <row r="904">
      <c r="F904" s="170"/>
    </row>
    <row r="905">
      <c r="F905" s="170"/>
    </row>
    <row r="906">
      <c r="F906" s="170"/>
    </row>
    <row r="907">
      <c r="F907" s="170"/>
    </row>
    <row r="908">
      <c r="F908" s="170"/>
    </row>
    <row r="909">
      <c r="F909" s="170"/>
    </row>
    <row r="910">
      <c r="F910" s="170"/>
    </row>
    <row r="911">
      <c r="F911" s="170"/>
    </row>
    <row r="912">
      <c r="F912" s="170"/>
    </row>
    <row r="913">
      <c r="F913" s="170"/>
    </row>
    <row r="914">
      <c r="F914" s="170"/>
    </row>
    <row r="915">
      <c r="F915" s="170"/>
    </row>
    <row r="916">
      <c r="F916" s="170"/>
    </row>
    <row r="917">
      <c r="F917" s="170"/>
    </row>
    <row r="918">
      <c r="F918" s="170"/>
    </row>
    <row r="919">
      <c r="F919" s="170"/>
    </row>
    <row r="920">
      <c r="F920" s="170"/>
    </row>
    <row r="921">
      <c r="F921" s="170"/>
    </row>
    <row r="922">
      <c r="F922" s="170"/>
    </row>
    <row r="923">
      <c r="F923" s="170"/>
    </row>
    <row r="924">
      <c r="F924" s="170"/>
    </row>
    <row r="925">
      <c r="F925" s="170"/>
    </row>
    <row r="926">
      <c r="F926" s="170"/>
    </row>
    <row r="927">
      <c r="F927" s="170"/>
    </row>
    <row r="928">
      <c r="F928" s="170"/>
    </row>
    <row r="929">
      <c r="F929" s="170"/>
    </row>
    <row r="930">
      <c r="F930" s="170"/>
    </row>
    <row r="931">
      <c r="F931" s="170"/>
    </row>
    <row r="932">
      <c r="F932" s="170"/>
    </row>
    <row r="933">
      <c r="F933" s="170"/>
    </row>
    <row r="934">
      <c r="F934" s="170"/>
    </row>
    <row r="935">
      <c r="F935" s="170"/>
    </row>
    <row r="936">
      <c r="F936" s="170"/>
    </row>
    <row r="937">
      <c r="F937" s="170"/>
    </row>
    <row r="938">
      <c r="F938" s="170"/>
    </row>
    <row r="939">
      <c r="F939" s="170"/>
    </row>
    <row r="940">
      <c r="F940" s="170"/>
    </row>
    <row r="941">
      <c r="F941" s="170"/>
    </row>
    <row r="942">
      <c r="F942" s="170"/>
    </row>
    <row r="943">
      <c r="F943" s="170"/>
    </row>
    <row r="944">
      <c r="F944" s="170"/>
    </row>
    <row r="945">
      <c r="F945" s="170"/>
    </row>
    <row r="946">
      <c r="F946" s="170"/>
    </row>
    <row r="947">
      <c r="F947" s="170"/>
    </row>
    <row r="948">
      <c r="F948" s="170"/>
    </row>
    <row r="949">
      <c r="F949" s="170"/>
    </row>
    <row r="950">
      <c r="F950" s="170"/>
    </row>
    <row r="951">
      <c r="F951" s="170"/>
    </row>
    <row r="952">
      <c r="F952" s="170"/>
    </row>
    <row r="953">
      <c r="F953" s="170"/>
    </row>
    <row r="954">
      <c r="F954" s="170"/>
    </row>
    <row r="955">
      <c r="F955" s="170"/>
    </row>
    <row r="956">
      <c r="F956" s="170"/>
    </row>
    <row r="957">
      <c r="F957" s="170"/>
    </row>
    <row r="958">
      <c r="F958" s="170"/>
    </row>
    <row r="959">
      <c r="F959" s="170"/>
    </row>
    <row r="960">
      <c r="F960" s="170"/>
    </row>
    <row r="961">
      <c r="F961" s="170"/>
    </row>
    <row r="962">
      <c r="F962" s="170"/>
    </row>
    <row r="963">
      <c r="F963" s="170"/>
    </row>
    <row r="964">
      <c r="F964" s="170"/>
    </row>
    <row r="965">
      <c r="F965" s="170"/>
    </row>
    <row r="966">
      <c r="F966" s="170"/>
    </row>
    <row r="967">
      <c r="F967" s="170"/>
    </row>
    <row r="968">
      <c r="F968" s="170"/>
    </row>
    <row r="969">
      <c r="F969" s="170"/>
    </row>
    <row r="970">
      <c r="F970" s="170"/>
    </row>
    <row r="971">
      <c r="F971" s="170"/>
    </row>
    <row r="972">
      <c r="F972" s="170"/>
    </row>
    <row r="973">
      <c r="F973" s="170"/>
    </row>
    <row r="974">
      <c r="F974" s="170"/>
    </row>
    <row r="975">
      <c r="F975" s="170"/>
    </row>
    <row r="976">
      <c r="F976" s="170"/>
    </row>
    <row r="977">
      <c r="F977" s="170"/>
    </row>
    <row r="978">
      <c r="F978" s="170"/>
    </row>
    <row r="979">
      <c r="F979" s="170"/>
    </row>
    <row r="980">
      <c r="F980" s="170"/>
    </row>
    <row r="981">
      <c r="F981" s="170"/>
    </row>
    <row r="982">
      <c r="F982" s="170"/>
    </row>
    <row r="983">
      <c r="F983" s="170"/>
    </row>
    <row r="984">
      <c r="F984" s="170"/>
    </row>
    <row r="985">
      <c r="F985" s="170"/>
    </row>
    <row r="986">
      <c r="F986" s="170"/>
    </row>
    <row r="987">
      <c r="F987" s="170"/>
    </row>
    <row r="988">
      <c r="F988" s="170"/>
    </row>
    <row r="989">
      <c r="F989" s="170"/>
    </row>
    <row r="990">
      <c r="F990" s="170"/>
    </row>
    <row r="991">
      <c r="F991" s="170"/>
    </row>
    <row r="992">
      <c r="F992" s="170"/>
    </row>
    <row r="993">
      <c r="F993" s="170"/>
    </row>
    <row r="994">
      <c r="F994" s="170"/>
    </row>
    <row r="995">
      <c r="F995" s="170"/>
    </row>
    <row r="996">
      <c r="F996" s="170"/>
    </row>
    <row r="997">
      <c r="F997" s="170"/>
    </row>
    <row r="998">
      <c r="F998" s="170"/>
    </row>
    <row r="999">
      <c r="F999" s="170"/>
    </row>
    <row r="1000">
      <c r="F1000" s="170"/>
    </row>
  </sheetData>
  <dataValidations>
    <dataValidation type="list" allowBlank="1" sqref="C2:C18">
      <formula1>"-,IVP Selected,IVP NOT SELECTED"</formula1>
    </dataValidation>
  </dataValidations>
  <hyperlinks>
    <hyperlink r:id="rId1" ref="A1"/>
    <hyperlink r:id="rId2" ref="F2"/>
    <hyperlink r:id="rId3" ref="G2"/>
    <hyperlink r:id="rId4" ref="H2"/>
    <hyperlink r:id="rId5" ref="F3"/>
    <hyperlink r:id="rId6" ref="G3"/>
    <hyperlink r:id="rId7" ref="H3"/>
    <hyperlink r:id="rId8" ref="F4"/>
    <hyperlink r:id="rId9" ref="G4"/>
    <hyperlink r:id="rId10" ref="H4"/>
    <hyperlink r:id="rId11" ref="F5"/>
    <hyperlink r:id="rId12" ref="G5"/>
    <hyperlink r:id="rId13" ref="H5"/>
    <hyperlink r:id="rId14" ref="F6"/>
    <hyperlink r:id="rId15" ref="G6"/>
    <hyperlink r:id="rId16" ref="H6"/>
    <hyperlink r:id="rId17" ref="F7"/>
    <hyperlink r:id="rId18" ref="G7"/>
    <hyperlink r:id="rId19" ref="H7"/>
    <hyperlink r:id="rId20" ref="F8"/>
    <hyperlink r:id="rId21" ref="G8"/>
    <hyperlink r:id="rId22" ref="H8"/>
    <hyperlink r:id="rId23" ref="F9"/>
    <hyperlink r:id="rId24" ref="F10"/>
    <hyperlink r:id="rId25" ref="F11"/>
    <hyperlink r:id="rId26" ref="G11"/>
    <hyperlink r:id="rId27" location="slide=id.p1" ref="F12"/>
    <hyperlink r:id="rId28" ref="G12"/>
    <hyperlink r:id="rId29" ref="F13"/>
    <hyperlink r:id="rId30" ref="F14"/>
    <hyperlink r:id="rId31" ref="F15"/>
    <hyperlink r:id="rId32" ref="G15"/>
    <hyperlink r:id="rId33" ref="F16"/>
    <hyperlink r:id="rId34" ref="F17"/>
    <hyperlink r:id="rId35" ref="F18"/>
  </hyperlinks>
  <drawing r:id="rId36"/>
  <tableParts count="2">
    <tablePart r:id="rId39"/>
    <tablePart r:id="rId4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1.0" topLeftCell="B1" activePane="topRight" state="frozen"/>
      <selection activeCell="C2" sqref="C2" pane="topRight"/>
    </sheetView>
  </sheetViews>
  <sheetFormatPr customHeight="1" defaultColWidth="12.63" defaultRowHeight="15.0"/>
  <cols>
    <col customWidth="1" min="1" max="1" width="30.88"/>
    <col customWidth="1" min="2" max="2" width="31.38"/>
    <col customWidth="1" min="3" max="3" width="17.88"/>
    <col customWidth="1" min="4" max="5" width="12.25"/>
    <col customWidth="1" min="6" max="6" width="15.0"/>
    <col customWidth="1" min="7" max="7" width="12.75"/>
    <col customWidth="1" min="8" max="8" width="12.25"/>
    <col customWidth="1" min="9" max="9" width="22.75"/>
    <col customWidth="1" min="10" max="10" width="13.63"/>
    <col customWidth="1" min="11" max="11" width="13.88"/>
    <col customWidth="1" min="12" max="13" width="12.88"/>
    <col customWidth="1" min="14" max="14" width="29.63"/>
    <col customWidth="1" min="15" max="15" width="4.75"/>
    <col customWidth="1" min="16" max="17" width="8.75"/>
    <col customWidth="1" min="18" max="18" width="12.25"/>
    <col customWidth="1" min="19" max="19" width="13.25"/>
    <col customWidth="1" min="20" max="20" width="14.0"/>
    <col customWidth="1" min="21" max="21" width="12.38"/>
  </cols>
  <sheetData>
    <row r="1" ht="26.25" customHeight="1">
      <c r="A1" s="1" t="s">
        <v>0</v>
      </c>
      <c r="B1" s="2" t="s">
        <v>1</v>
      </c>
      <c r="C1" s="3" t="s">
        <v>2</v>
      </c>
      <c r="D1" s="4" t="s">
        <v>3</v>
      </c>
      <c r="E1" s="4" t="s">
        <v>4</v>
      </c>
      <c r="F1" s="5" t="s">
        <v>5</v>
      </c>
      <c r="G1" s="6" t="s">
        <v>6</v>
      </c>
      <c r="H1" s="6" t="s">
        <v>8</v>
      </c>
      <c r="I1" s="7" t="s">
        <v>9</v>
      </c>
      <c r="J1" s="7" t="s">
        <v>10</v>
      </c>
      <c r="K1" s="7" t="s">
        <v>11</v>
      </c>
      <c r="L1" s="8" t="s">
        <v>12</v>
      </c>
      <c r="M1" s="9" t="s">
        <v>13</v>
      </c>
      <c r="N1" s="7" t="s">
        <v>14</v>
      </c>
      <c r="O1" s="7" t="s">
        <v>15</v>
      </c>
      <c r="P1" s="7" t="s">
        <v>16</v>
      </c>
      <c r="Q1" s="5" t="s">
        <v>18</v>
      </c>
      <c r="R1" s="5" t="s">
        <v>19</v>
      </c>
      <c r="S1" s="11" t="s">
        <v>21</v>
      </c>
      <c r="T1" s="5" t="s">
        <v>23</v>
      </c>
      <c r="U1" s="12" t="s">
        <v>25</v>
      </c>
    </row>
    <row r="2" ht="26.25" customHeight="1">
      <c r="A2" s="13" t="s">
        <v>27</v>
      </c>
      <c r="B2" s="15" t="s">
        <v>29</v>
      </c>
      <c r="C2" s="17"/>
      <c r="D2" s="18" t="s">
        <v>31</v>
      </c>
      <c r="E2" s="18" t="s">
        <v>32</v>
      </c>
      <c r="F2" s="19" t="s">
        <v>5</v>
      </c>
      <c r="G2" s="20" t="s">
        <v>33</v>
      </c>
      <c r="H2" s="21">
        <v>9.080861148E9</v>
      </c>
      <c r="I2" s="22" t="s">
        <v>34</v>
      </c>
      <c r="J2" s="23"/>
      <c r="K2" s="23"/>
      <c r="L2" s="23"/>
      <c r="M2" s="25"/>
      <c r="N2" s="23"/>
      <c r="O2" s="25"/>
      <c r="P2" s="25"/>
      <c r="Q2" s="19" t="s">
        <v>37</v>
      </c>
      <c r="R2" s="30"/>
      <c r="S2" s="33" t="s">
        <v>42</v>
      </c>
      <c r="T2" s="41" t="s">
        <v>44</v>
      </c>
      <c r="U2" s="43"/>
    </row>
    <row r="3" ht="26.25" customHeight="1">
      <c r="A3" s="45" t="s">
        <v>58</v>
      </c>
      <c r="B3" s="47"/>
      <c r="C3" s="47"/>
      <c r="D3" s="18" t="s">
        <v>31</v>
      </c>
      <c r="E3" s="18" t="s">
        <v>63</v>
      </c>
      <c r="F3" s="18" t="s">
        <v>5</v>
      </c>
      <c r="G3" s="48" t="s">
        <v>64</v>
      </c>
      <c r="H3" s="48">
        <v>7.358629515E9</v>
      </c>
      <c r="I3" s="52"/>
      <c r="J3" s="53"/>
      <c r="K3" s="53"/>
      <c r="L3" s="53"/>
      <c r="M3" s="52"/>
      <c r="N3" s="53"/>
      <c r="O3" s="52"/>
      <c r="P3" s="52"/>
      <c r="Q3" s="57"/>
      <c r="R3" s="57" t="s">
        <v>68</v>
      </c>
      <c r="S3" s="57" t="s">
        <v>69</v>
      </c>
      <c r="T3" s="62" t="s">
        <v>70</v>
      </c>
      <c r="U3" s="63"/>
    </row>
    <row r="4" ht="26.25" customHeight="1">
      <c r="A4" s="45" t="s">
        <v>75</v>
      </c>
      <c r="B4" s="65" t="s">
        <v>77</v>
      </c>
      <c r="C4" s="65" t="s">
        <v>79</v>
      </c>
      <c r="D4" s="18" t="s">
        <v>31</v>
      </c>
      <c r="E4" s="65" t="s">
        <v>32</v>
      </c>
      <c r="F4" s="65" t="s">
        <v>5</v>
      </c>
      <c r="G4" s="48" t="s">
        <v>81</v>
      </c>
      <c r="H4" s="70">
        <v>9.363300142E9</v>
      </c>
      <c r="I4" s="52" t="s">
        <v>85</v>
      </c>
      <c r="J4" s="53"/>
      <c r="K4" s="53" t="s">
        <v>86</v>
      </c>
      <c r="L4" s="53">
        <v>0.0</v>
      </c>
      <c r="M4" s="52" t="s">
        <v>87</v>
      </c>
      <c r="N4" s="53" t="s">
        <v>88</v>
      </c>
      <c r="O4" s="52" t="s">
        <v>89</v>
      </c>
      <c r="P4" s="52" t="s">
        <v>90</v>
      </c>
      <c r="Q4" s="18" t="s">
        <v>91</v>
      </c>
      <c r="R4" s="18" t="s">
        <v>68</v>
      </c>
      <c r="S4" s="65" t="s">
        <v>92</v>
      </c>
      <c r="T4" s="62" t="s">
        <v>93</v>
      </c>
      <c r="U4" s="63"/>
    </row>
    <row r="5" ht="26.25" customHeight="1">
      <c r="A5" s="45" t="s">
        <v>97</v>
      </c>
      <c r="B5" s="65" t="s">
        <v>53</v>
      </c>
      <c r="C5" s="65" t="s">
        <v>98</v>
      </c>
      <c r="D5" s="18" t="s">
        <v>31</v>
      </c>
      <c r="E5" s="18" t="s">
        <v>63</v>
      </c>
      <c r="F5" s="65" t="s">
        <v>5</v>
      </c>
      <c r="G5" s="48" t="s">
        <v>100</v>
      </c>
      <c r="H5" s="70">
        <v>9.940432697E9</v>
      </c>
      <c r="I5" s="78"/>
      <c r="J5" s="53"/>
      <c r="K5" s="53"/>
      <c r="L5" s="53"/>
      <c r="M5" s="52" t="s">
        <v>87</v>
      </c>
      <c r="N5" s="53" t="s">
        <v>104</v>
      </c>
      <c r="O5" s="52" t="s">
        <v>106</v>
      </c>
      <c r="P5" s="52" t="s">
        <v>90</v>
      </c>
      <c r="Q5" s="57"/>
      <c r="R5" s="18" t="s">
        <v>68</v>
      </c>
      <c r="S5" s="57" t="s">
        <v>40</v>
      </c>
      <c r="T5" s="82" t="s">
        <v>110</v>
      </c>
      <c r="U5" s="83"/>
    </row>
    <row r="6" ht="26.25" customHeight="1">
      <c r="A6" s="84" t="s">
        <v>115</v>
      </c>
      <c r="B6" s="85" t="s">
        <v>118</v>
      </c>
      <c r="C6" s="86" t="s">
        <v>122</v>
      </c>
      <c r="D6" s="18" t="s">
        <v>31</v>
      </c>
      <c r="E6" s="18" t="s">
        <v>63</v>
      </c>
      <c r="F6" s="87" t="s">
        <v>5</v>
      </c>
      <c r="G6" s="88" t="s">
        <v>123</v>
      </c>
      <c r="H6" s="88">
        <v>9.043405357E9</v>
      </c>
      <c r="I6" s="89"/>
      <c r="J6" s="90"/>
      <c r="K6" s="90"/>
      <c r="L6" s="90"/>
      <c r="M6" s="89" t="s">
        <v>128</v>
      </c>
      <c r="N6" s="90" t="s">
        <v>129</v>
      </c>
      <c r="O6" s="89" t="s">
        <v>89</v>
      </c>
      <c r="P6" s="89" t="s">
        <v>130</v>
      </c>
      <c r="Q6" s="91"/>
      <c r="R6" s="87" t="s">
        <v>68</v>
      </c>
      <c r="S6" s="87" t="s">
        <v>132</v>
      </c>
      <c r="T6" s="94" t="s">
        <v>133</v>
      </c>
      <c r="U6" s="95"/>
    </row>
    <row r="7" ht="26.25" customHeight="1">
      <c r="A7" s="45" t="s">
        <v>143</v>
      </c>
      <c r="B7" s="57"/>
      <c r="C7" s="47"/>
      <c r="D7" s="18" t="s">
        <v>31</v>
      </c>
      <c r="E7" s="65" t="s">
        <v>32</v>
      </c>
      <c r="F7" s="18" t="s">
        <v>5</v>
      </c>
      <c r="G7" s="48" t="s">
        <v>81</v>
      </c>
      <c r="H7" s="48">
        <v>8.148402208E9</v>
      </c>
      <c r="I7" s="52" t="s">
        <v>146</v>
      </c>
      <c r="J7" s="53"/>
      <c r="K7" s="90" t="s">
        <v>147</v>
      </c>
      <c r="L7" s="53" t="s">
        <v>148</v>
      </c>
      <c r="M7" s="52" t="s">
        <v>149</v>
      </c>
      <c r="N7" s="53"/>
      <c r="O7" s="52"/>
      <c r="P7" s="52"/>
      <c r="Q7" s="57" t="s">
        <v>91</v>
      </c>
      <c r="R7" s="57" t="s">
        <v>68</v>
      </c>
      <c r="S7" s="57" t="s">
        <v>152</v>
      </c>
      <c r="T7" s="62" t="s">
        <v>153</v>
      </c>
      <c r="U7" s="63"/>
    </row>
    <row r="8" ht="26.25" customHeight="1">
      <c r="A8" s="84" t="s">
        <v>157</v>
      </c>
      <c r="B8" s="86" t="s">
        <v>158</v>
      </c>
      <c r="C8" s="86" t="s">
        <v>159</v>
      </c>
      <c r="D8" s="18" t="s">
        <v>31</v>
      </c>
      <c r="E8" s="65" t="s">
        <v>32</v>
      </c>
      <c r="F8" s="87" t="s">
        <v>5</v>
      </c>
      <c r="G8" s="48" t="s">
        <v>81</v>
      </c>
      <c r="H8" s="102">
        <v>6.382396276E9</v>
      </c>
      <c r="I8" s="52" t="s">
        <v>85</v>
      </c>
      <c r="J8" s="90"/>
      <c r="K8" s="90" t="s">
        <v>164</v>
      </c>
      <c r="L8" s="90">
        <v>0.0</v>
      </c>
      <c r="M8" s="89" t="s">
        <v>165</v>
      </c>
      <c r="N8" s="90" t="s">
        <v>166</v>
      </c>
      <c r="O8" s="89" t="s">
        <v>89</v>
      </c>
      <c r="P8" s="89" t="s">
        <v>130</v>
      </c>
      <c r="Q8" s="87" t="s">
        <v>91</v>
      </c>
      <c r="R8" s="87" t="s">
        <v>68</v>
      </c>
      <c r="S8" s="91" t="s">
        <v>168</v>
      </c>
      <c r="T8" s="106" t="s">
        <v>169</v>
      </c>
      <c r="U8" s="95"/>
    </row>
    <row r="9" ht="26.25" customHeight="1">
      <c r="A9" s="84" t="s">
        <v>172</v>
      </c>
      <c r="B9" s="86" t="s">
        <v>76</v>
      </c>
      <c r="C9" s="86" t="s">
        <v>176</v>
      </c>
      <c r="D9" s="18" t="s">
        <v>31</v>
      </c>
      <c r="E9" s="18" t="s">
        <v>63</v>
      </c>
      <c r="F9" s="91" t="s">
        <v>5</v>
      </c>
      <c r="G9" s="48" t="s">
        <v>81</v>
      </c>
      <c r="H9" s="102">
        <v>8.608487249E9</v>
      </c>
      <c r="I9" s="89"/>
      <c r="J9" s="107"/>
      <c r="K9" s="107"/>
      <c r="L9" s="107"/>
      <c r="M9" s="89" t="s">
        <v>165</v>
      </c>
      <c r="N9" s="107" t="s">
        <v>181</v>
      </c>
      <c r="O9" s="89" t="s">
        <v>89</v>
      </c>
      <c r="P9" s="89" t="s">
        <v>182</v>
      </c>
      <c r="Q9" s="91"/>
      <c r="R9" s="87" t="s">
        <v>68</v>
      </c>
      <c r="S9" s="91" t="s">
        <v>73</v>
      </c>
      <c r="T9" s="109" t="s">
        <v>184</v>
      </c>
      <c r="U9" s="110"/>
    </row>
    <row r="10" ht="26.25" customHeight="1">
      <c r="A10" s="45" t="s">
        <v>186</v>
      </c>
      <c r="B10" s="18" t="s">
        <v>188</v>
      </c>
      <c r="C10" s="18" t="s">
        <v>190</v>
      </c>
      <c r="D10" s="18" t="s">
        <v>31</v>
      </c>
      <c r="E10" s="18" t="s">
        <v>63</v>
      </c>
      <c r="F10" s="18" t="s">
        <v>5</v>
      </c>
      <c r="G10" s="112" t="s">
        <v>194</v>
      </c>
      <c r="H10" s="48">
        <v>9.944085762E9</v>
      </c>
      <c r="I10" s="52"/>
      <c r="J10" s="53"/>
      <c r="K10" s="53"/>
      <c r="L10" s="53"/>
      <c r="M10" s="52" t="s">
        <v>87</v>
      </c>
      <c r="N10" s="53" t="s">
        <v>199</v>
      </c>
      <c r="O10" s="52" t="s">
        <v>89</v>
      </c>
      <c r="P10" s="52" t="s">
        <v>182</v>
      </c>
      <c r="Q10" s="65"/>
      <c r="R10" s="18" t="s">
        <v>68</v>
      </c>
      <c r="S10" s="87" t="s">
        <v>200</v>
      </c>
      <c r="T10" s="116" t="s">
        <v>201</v>
      </c>
      <c r="U10" s="83"/>
    </row>
    <row r="11" ht="26.25" customHeight="1">
      <c r="A11" s="45" t="s">
        <v>205</v>
      </c>
      <c r="B11" s="65" t="s">
        <v>206</v>
      </c>
      <c r="C11" s="65" t="s">
        <v>207</v>
      </c>
      <c r="D11" s="18" t="s">
        <v>31</v>
      </c>
      <c r="E11" s="18" t="s">
        <v>63</v>
      </c>
      <c r="F11" s="18" t="s">
        <v>5</v>
      </c>
      <c r="G11" s="48" t="s">
        <v>209</v>
      </c>
      <c r="H11" s="70">
        <v>7.305184227E9</v>
      </c>
      <c r="I11" s="78"/>
      <c r="J11" s="53"/>
      <c r="K11" s="53"/>
      <c r="L11" s="53"/>
      <c r="M11" s="52" t="s">
        <v>87</v>
      </c>
      <c r="N11" s="53" t="s">
        <v>214</v>
      </c>
      <c r="O11" s="52" t="s">
        <v>89</v>
      </c>
      <c r="P11" s="52" t="s">
        <v>130</v>
      </c>
      <c r="Q11" s="65"/>
      <c r="R11" s="18" t="s">
        <v>68</v>
      </c>
      <c r="S11" s="65" t="s">
        <v>215</v>
      </c>
      <c r="T11" s="62" t="s">
        <v>217</v>
      </c>
      <c r="U11" s="63"/>
    </row>
    <row r="12" ht="26.25" customHeight="1">
      <c r="A12" s="123" t="s">
        <v>227</v>
      </c>
      <c r="B12" s="124" t="s">
        <v>228</v>
      </c>
      <c r="C12" s="124" t="s">
        <v>229</v>
      </c>
      <c r="D12" s="18" t="s">
        <v>31</v>
      </c>
      <c r="E12" s="126" t="s">
        <v>32</v>
      </c>
      <c r="F12" s="128" t="s">
        <v>5</v>
      </c>
      <c r="G12" s="129" t="s">
        <v>230</v>
      </c>
      <c r="H12" s="130">
        <v>9.688299333E9</v>
      </c>
      <c r="I12" s="131"/>
      <c r="J12" s="132"/>
      <c r="K12" s="132"/>
      <c r="L12" s="132"/>
      <c r="M12" s="133" t="s">
        <v>128</v>
      </c>
      <c r="N12" s="132" t="s">
        <v>238</v>
      </c>
      <c r="O12" s="133" t="s">
        <v>106</v>
      </c>
      <c r="P12" s="134" t="s">
        <v>90</v>
      </c>
      <c r="Q12" s="128" t="s">
        <v>37</v>
      </c>
      <c r="R12" s="135" t="s">
        <v>68</v>
      </c>
      <c r="S12" s="136" t="s">
        <v>242</v>
      </c>
      <c r="T12" s="138" t="s">
        <v>243</v>
      </c>
      <c r="U12" s="140"/>
    </row>
    <row r="13" ht="26.25" customHeight="1">
      <c r="A13" s="45" t="s">
        <v>250</v>
      </c>
      <c r="B13" s="47"/>
      <c r="C13" s="47"/>
      <c r="D13" s="18" t="s">
        <v>31</v>
      </c>
      <c r="E13" s="18" t="s">
        <v>63</v>
      </c>
      <c r="F13" s="18" t="s">
        <v>5</v>
      </c>
      <c r="G13" s="145" t="s">
        <v>256</v>
      </c>
      <c r="H13" s="48">
        <v>9.444910521E9</v>
      </c>
      <c r="I13" s="52"/>
      <c r="J13" s="53"/>
      <c r="K13" s="53"/>
      <c r="L13" s="53"/>
      <c r="M13" s="52"/>
      <c r="N13" s="53"/>
      <c r="O13" s="52"/>
      <c r="P13" s="52"/>
      <c r="Q13" s="18"/>
      <c r="R13" s="18" t="s">
        <v>68</v>
      </c>
      <c r="S13" s="18" t="s">
        <v>260</v>
      </c>
      <c r="T13" s="62" t="s">
        <v>261</v>
      </c>
      <c r="U13" s="63"/>
    </row>
    <row r="14" ht="26.25" customHeight="1">
      <c r="A14" s="153" t="s">
        <v>269</v>
      </c>
      <c r="B14" s="126" t="s">
        <v>270</v>
      </c>
      <c r="C14" s="126" t="s">
        <v>271</v>
      </c>
      <c r="D14" s="18" t="s">
        <v>31</v>
      </c>
      <c r="E14" s="126" t="s">
        <v>32</v>
      </c>
      <c r="F14" s="128" t="s">
        <v>5</v>
      </c>
      <c r="G14" s="129" t="s">
        <v>230</v>
      </c>
      <c r="H14" s="154">
        <v>7.358011726E9</v>
      </c>
      <c r="I14" s="155"/>
      <c r="J14" s="132"/>
      <c r="K14" s="132"/>
      <c r="L14" s="132"/>
      <c r="M14" s="133" t="s">
        <v>87</v>
      </c>
      <c r="N14" s="132" t="s">
        <v>274</v>
      </c>
      <c r="O14" s="133" t="s">
        <v>89</v>
      </c>
      <c r="P14" s="133" t="s">
        <v>130</v>
      </c>
      <c r="Q14" s="128" t="s">
        <v>91</v>
      </c>
      <c r="R14" s="135" t="s">
        <v>68</v>
      </c>
      <c r="S14" s="157" t="s">
        <v>276</v>
      </c>
      <c r="T14" s="138" t="s">
        <v>277</v>
      </c>
      <c r="U14" s="140"/>
    </row>
    <row r="15" ht="26.25" customHeight="1">
      <c r="A15" s="45" t="s">
        <v>286</v>
      </c>
      <c r="B15" s="47"/>
      <c r="C15" s="47"/>
      <c r="D15" s="18" t="s">
        <v>31</v>
      </c>
      <c r="E15" s="18" t="s">
        <v>63</v>
      </c>
      <c r="F15" s="18" t="s">
        <v>5</v>
      </c>
      <c r="G15" s="160" t="s">
        <v>289</v>
      </c>
      <c r="H15" s="160">
        <v>7.395903061E9</v>
      </c>
      <c r="I15" s="164"/>
      <c r="J15" s="166"/>
      <c r="K15" s="168"/>
      <c r="L15" s="168"/>
      <c r="M15" s="169"/>
      <c r="N15" s="168"/>
      <c r="O15" s="169"/>
      <c r="P15" s="169"/>
      <c r="Q15" s="57"/>
      <c r="R15" s="18"/>
      <c r="S15" s="171" t="s">
        <v>301</v>
      </c>
      <c r="T15" s="18"/>
      <c r="U15" s="172"/>
    </row>
    <row r="16" ht="26.25" customHeight="1">
      <c r="A16" s="173" t="s">
        <v>302</v>
      </c>
      <c r="B16" s="47"/>
      <c r="C16" s="47"/>
      <c r="D16" s="65"/>
      <c r="E16" s="65"/>
      <c r="F16" s="19" t="s">
        <v>307</v>
      </c>
      <c r="G16" s="70"/>
      <c r="H16" s="70"/>
      <c r="I16" s="174"/>
      <c r="J16" s="175"/>
      <c r="K16" s="177"/>
      <c r="L16" s="177"/>
      <c r="M16" s="78"/>
      <c r="N16" s="177"/>
      <c r="O16" s="78"/>
      <c r="P16" s="78"/>
      <c r="Q16" s="57"/>
      <c r="R16" s="57"/>
      <c r="S16" s="57" t="s">
        <v>311</v>
      </c>
      <c r="T16" s="18"/>
      <c r="U16" s="63"/>
    </row>
    <row r="17" ht="26.25" customHeight="1">
      <c r="A17" s="45" t="s">
        <v>313</v>
      </c>
      <c r="B17" s="47"/>
      <c r="C17" s="47"/>
      <c r="D17" s="65"/>
      <c r="E17" s="65"/>
      <c r="F17" s="19" t="s">
        <v>307</v>
      </c>
      <c r="G17" s="48"/>
      <c r="H17" s="48">
        <v>8.248375363E9</v>
      </c>
      <c r="I17" s="184"/>
      <c r="J17" s="185"/>
      <c r="K17" s="53"/>
      <c r="L17" s="53"/>
      <c r="M17" s="52"/>
      <c r="N17" s="53"/>
      <c r="O17" s="52"/>
      <c r="P17" s="52"/>
      <c r="Q17" s="57"/>
      <c r="R17" s="57"/>
      <c r="S17" s="57" t="s">
        <v>319</v>
      </c>
      <c r="T17" s="18"/>
      <c r="U17" s="63"/>
    </row>
    <row r="18" ht="26.25" customHeight="1">
      <c r="A18" s="45" t="s">
        <v>320</v>
      </c>
      <c r="B18" s="47"/>
      <c r="C18" s="47"/>
      <c r="D18" s="18" t="s">
        <v>31</v>
      </c>
      <c r="E18" s="18" t="s">
        <v>63</v>
      </c>
      <c r="F18" s="18" t="s">
        <v>5</v>
      </c>
      <c r="G18" s="48"/>
      <c r="H18" s="48">
        <v>6.36949251E9</v>
      </c>
      <c r="I18" s="184"/>
      <c r="J18" s="185"/>
      <c r="K18" s="53"/>
      <c r="L18" s="53"/>
      <c r="M18" s="52"/>
      <c r="N18" s="53"/>
      <c r="O18" s="52"/>
      <c r="P18" s="52"/>
      <c r="Q18" s="57"/>
      <c r="R18" s="57" t="s">
        <v>68</v>
      </c>
      <c r="S18" s="57" t="s">
        <v>326</v>
      </c>
      <c r="T18" s="62" t="s">
        <v>328</v>
      </c>
      <c r="U18" s="63"/>
    </row>
    <row r="19" ht="26.25" customHeight="1">
      <c r="A19" s="187" t="s">
        <v>329</v>
      </c>
      <c r="B19" s="187" t="s">
        <v>164</v>
      </c>
      <c r="C19" s="188"/>
      <c r="D19" s="18" t="s">
        <v>31</v>
      </c>
      <c r="E19" s="65" t="s">
        <v>32</v>
      </c>
      <c r="F19" s="189" t="s">
        <v>5</v>
      </c>
      <c r="G19" s="190" t="s">
        <v>331</v>
      </c>
      <c r="H19" s="191">
        <v>9.176529116E9</v>
      </c>
      <c r="I19" s="192" t="s">
        <v>336</v>
      </c>
      <c r="J19" s="193"/>
      <c r="K19" s="194" t="s">
        <v>86</v>
      </c>
      <c r="L19" s="194"/>
      <c r="M19" s="196" t="s">
        <v>87</v>
      </c>
      <c r="N19" s="194" t="s">
        <v>337</v>
      </c>
      <c r="O19" s="196" t="s">
        <v>89</v>
      </c>
      <c r="P19" s="196" t="s">
        <v>130</v>
      </c>
      <c r="Q19" s="189" t="s">
        <v>91</v>
      </c>
      <c r="R19" s="189" t="s">
        <v>68</v>
      </c>
      <c r="S19" s="189" t="s">
        <v>220</v>
      </c>
      <c r="T19" s="198" t="s">
        <v>339</v>
      </c>
      <c r="U19" s="199" t="s">
        <v>344</v>
      </c>
    </row>
    <row r="20" ht="26.25" customHeight="1">
      <c r="A20" s="45" t="s">
        <v>346</v>
      </c>
      <c r="B20" s="65" t="s">
        <v>164</v>
      </c>
      <c r="C20" s="65"/>
      <c r="D20" s="18" t="s">
        <v>31</v>
      </c>
      <c r="E20" s="65" t="s">
        <v>32</v>
      </c>
      <c r="F20" s="65" t="s">
        <v>5</v>
      </c>
      <c r="G20" s="48" t="s">
        <v>331</v>
      </c>
      <c r="H20" s="70">
        <v>7.397252915E9</v>
      </c>
      <c r="I20" s="184" t="s">
        <v>347</v>
      </c>
      <c r="J20" s="175"/>
      <c r="K20" s="53" t="s">
        <v>86</v>
      </c>
      <c r="L20" s="53">
        <v>0.0</v>
      </c>
      <c r="M20" s="52" t="s">
        <v>87</v>
      </c>
      <c r="N20" s="203" t="s">
        <v>348</v>
      </c>
      <c r="O20" s="78"/>
      <c r="P20" s="78"/>
      <c r="Q20" s="18" t="s">
        <v>91</v>
      </c>
      <c r="R20" s="18" t="s">
        <v>68</v>
      </c>
      <c r="S20" s="65" t="s">
        <v>151</v>
      </c>
      <c r="T20" s="82" t="s">
        <v>204</v>
      </c>
      <c r="U20" s="83">
        <v>297000.0</v>
      </c>
    </row>
    <row r="21" ht="26.25" customHeight="1">
      <c r="A21" s="173" t="s">
        <v>355</v>
      </c>
      <c r="B21" s="47"/>
      <c r="C21" s="47"/>
      <c r="D21" s="65"/>
      <c r="E21" s="65"/>
      <c r="F21" s="19" t="s">
        <v>307</v>
      </c>
      <c r="G21" s="48"/>
      <c r="H21" s="48">
        <v>8.619792227E9</v>
      </c>
      <c r="I21" s="184"/>
      <c r="J21" s="185"/>
      <c r="K21" s="53"/>
      <c r="L21" s="53"/>
      <c r="M21" s="52"/>
      <c r="N21" s="53"/>
      <c r="O21" s="52"/>
      <c r="P21" s="52"/>
      <c r="Q21" s="57"/>
      <c r="R21" s="57"/>
      <c r="S21" s="57" t="s">
        <v>357</v>
      </c>
      <c r="T21" s="18" t="s">
        <v>359</v>
      </c>
      <c r="U21" s="63"/>
    </row>
    <row r="22" ht="26.25" customHeight="1">
      <c r="A22" s="209" t="s">
        <v>360</v>
      </c>
      <c r="B22" s="126" t="s">
        <v>362</v>
      </c>
      <c r="C22" s="126" t="s">
        <v>363</v>
      </c>
      <c r="D22" s="18" t="s">
        <v>31</v>
      </c>
      <c r="E22" s="211" t="s">
        <v>366</v>
      </c>
      <c r="F22" s="19" t="s">
        <v>5</v>
      </c>
      <c r="G22" s="112" t="s">
        <v>194</v>
      </c>
      <c r="H22" s="212">
        <v>9.89411904E9</v>
      </c>
      <c r="I22" s="213"/>
      <c r="J22" s="215"/>
      <c r="K22" s="216"/>
      <c r="L22" s="216"/>
      <c r="M22" s="217" t="s">
        <v>128</v>
      </c>
      <c r="N22" s="216" t="s">
        <v>369</v>
      </c>
      <c r="O22" s="217" t="s">
        <v>89</v>
      </c>
      <c r="P22" s="218" t="s">
        <v>90</v>
      </c>
      <c r="Q22" s="219"/>
      <c r="R22" s="30"/>
      <c r="S22" s="57" t="s">
        <v>370</v>
      </c>
      <c r="T22" s="220" t="s">
        <v>371</v>
      </c>
      <c r="U22" s="43"/>
    </row>
    <row r="23" ht="26.25" customHeight="1">
      <c r="A23" s="45" t="s">
        <v>378</v>
      </c>
      <c r="B23" s="65" t="s">
        <v>379</v>
      </c>
      <c r="C23" s="65" t="s">
        <v>380</v>
      </c>
      <c r="D23" s="18" t="s">
        <v>31</v>
      </c>
      <c r="E23" s="65" t="s">
        <v>32</v>
      </c>
      <c r="F23" s="65" t="s">
        <v>5</v>
      </c>
      <c r="G23" s="48" t="s">
        <v>331</v>
      </c>
      <c r="H23" s="70">
        <v>9.342049639E9</v>
      </c>
      <c r="I23" s="184" t="s">
        <v>382</v>
      </c>
      <c r="J23" s="222"/>
      <c r="K23" s="223"/>
      <c r="L23" s="223">
        <v>2.0</v>
      </c>
      <c r="M23" s="52" t="s">
        <v>87</v>
      </c>
      <c r="N23" s="223" t="s">
        <v>384</v>
      </c>
      <c r="O23" s="52" t="s">
        <v>89</v>
      </c>
      <c r="P23" s="52" t="s">
        <v>130</v>
      </c>
      <c r="Q23" s="18" t="s">
        <v>91</v>
      </c>
      <c r="R23" s="18" t="s">
        <v>68</v>
      </c>
      <c r="S23" s="65" t="s">
        <v>59</v>
      </c>
      <c r="T23" s="62" t="s">
        <v>61</v>
      </c>
      <c r="U23" s="83">
        <v>300000.0</v>
      </c>
    </row>
    <row r="24" ht="26.25" customHeight="1">
      <c r="A24" s="45" t="s">
        <v>388</v>
      </c>
      <c r="B24" s="18" t="s">
        <v>389</v>
      </c>
      <c r="C24" s="18" t="s">
        <v>391</v>
      </c>
      <c r="D24" s="18" t="s">
        <v>31</v>
      </c>
      <c r="E24" s="18" t="s">
        <v>63</v>
      </c>
      <c r="F24" s="18" t="s">
        <v>5</v>
      </c>
      <c r="G24" s="212" t="s">
        <v>392</v>
      </c>
      <c r="H24" s="224">
        <v>7.358734289E9</v>
      </c>
      <c r="I24" s="184"/>
      <c r="J24" s="185"/>
      <c r="K24" s="53"/>
      <c r="L24" s="53"/>
      <c r="M24" s="52" t="s">
        <v>87</v>
      </c>
      <c r="N24" s="53" t="s">
        <v>394</v>
      </c>
      <c r="O24" s="52" t="s">
        <v>89</v>
      </c>
      <c r="P24" s="52" t="s">
        <v>395</v>
      </c>
      <c r="Q24" s="18"/>
      <c r="R24" s="18" t="s">
        <v>68</v>
      </c>
      <c r="S24" s="18" t="s">
        <v>396</v>
      </c>
      <c r="T24" s="62" t="s">
        <v>397</v>
      </c>
      <c r="U24" s="172"/>
    </row>
    <row r="25" ht="26.25" customHeight="1">
      <c r="A25" s="45" t="s">
        <v>401</v>
      </c>
      <c r="B25" s="18" t="s">
        <v>402</v>
      </c>
      <c r="C25" s="47"/>
      <c r="D25" s="18" t="s">
        <v>31</v>
      </c>
      <c r="E25" s="65" t="s">
        <v>32</v>
      </c>
      <c r="F25" s="159" t="s">
        <v>5</v>
      </c>
      <c r="G25" s="48" t="s">
        <v>403</v>
      </c>
      <c r="H25" s="70">
        <v>9.003815145E9</v>
      </c>
      <c r="I25" s="184" t="s">
        <v>407</v>
      </c>
      <c r="J25" s="175"/>
      <c r="K25" s="53" t="s">
        <v>408</v>
      </c>
      <c r="L25" s="53">
        <v>13.0</v>
      </c>
      <c r="M25" s="52" t="s">
        <v>165</v>
      </c>
      <c r="N25" s="177"/>
      <c r="O25" s="78"/>
      <c r="P25" s="78"/>
      <c r="Q25" s="18" t="s">
        <v>91</v>
      </c>
      <c r="R25" s="159"/>
      <c r="S25" s="159" t="s">
        <v>283</v>
      </c>
      <c r="T25" s="62" t="s">
        <v>285</v>
      </c>
      <c r="U25" s="63">
        <v>200000.0</v>
      </c>
    </row>
    <row r="26" ht="26.25" customHeight="1">
      <c r="A26" s="209" t="s">
        <v>410</v>
      </c>
      <c r="B26" s="228" t="s">
        <v>413</v>
      </c>
      <c r="C26" s="229" t="s">
        <v>416</v>
      </c>
      <c r="D26" s="18" t="s">
        <v>31</v>
      </c>
      <c r="E26" s="18" t="s">
        <v>366</v>
      </c>
      <c r="F26" s="128" t="s">
        <v>5</v>
      </c>
      <c r="G26" s="112" t="s">
        <v>194</v>
      </c>
      <c r="H26" s="212">
        <v>8.122980305E9</v>
      </c>
      <c r="I26" s="213"/>
      <c r="J26" s="185"/>
      <c r="K26" s="53"/>
      <c r="L26" s="53"/>
      <c r="M26" s="218" t="s">
        <v>87</v>
      </c>
      <c r="N26" s="53" t="s">
        <v>417</v>
      </c>
      <c r="O26" s="218" t="s">
        <v>89</v>
      </c>
      <c r="P26" s="218" t="s">
        <v>90</v>
      </c>
      <c r="Q26" s="219"/>
      <c r="R26" s="30" t="s">
        <v>68</v>
      </c>
      <c r="S26" s="231" t="s">
        <v>418</v>
      </c>
      <c r="T26" s="220" t="s">
        <v>419</v>
      </c>
      <c r="U26" s="43"/>
    </row>
    <row r="27" ht="26.25" customHeight="1">
      <c r="A27" s="234" t="s">
        <v>423</v>
      </c>
      <c r="B27" s="235" t="s">
        <v>424</v>
      </c>
      <c r="C27" s="236"/>
      <c r="D27" s="18" t="s">
        <v>31</v>
      </c>
      <c r="E27" s="235" t="s">
        <v>425</v>
      </c>
      <c r="F27" s="128" t="s">
        <v>5</v>
      </c>
      <c r="G27" s="130"/>
      <c r="H27" s="130">
        <v>9.952437272E9</v>
      </c>
      <c r="I27" s="238"/>
      <c r="J27" s="239"/>
      <c r="K27" s="240"/>
      <c r="L27" s="240"/>
      <c r="M27" s="133"/>
      <c r="N27" s="240"/>
      <c r="O27" s="133"/>
      <c r="P27" s="133"/>
      <c r="Q27" s="241"/>
      <c r="R27" s="136" t="s">
        <v>68</v>
      </c>
      <c r="S27" s="136" t="s">
        <v>428</v>
      </c>
      <c r="T27" s="138" t="s">
        <v>429</v>
      </c>
      <c r="U27" s="140"/>
    </row>
    <row r="28" ht="26.25" customHeight="1">
      <c r="A28" s="45" t="s">
        <v>431</v>
      </c>
      <c r="B28" s="47"/>
      <c r="C28" s="47"/>
      <c r="D28" s="18" t="s">
        <v>31</v>
      </c>
      <c r="E28" s="65" t="s">
        <v>32</v>
      </c>
      <c r="F28" s="18" t="s">
        <v>5</v>
      </c>
      <c r="G28" s="48" t="s">
        <v>403</v>
      </c>
      <c r="H28" s="48">
        <v>6.384712172E9</v>
      </c>
      <c r="I28" s="184" t="s">
        <v>433</v>
      </c>
      <c r="J28" s="185" t="s">
        <v>434</v>
      </c>
      <c r="K28" s="90" t="s">
        <v>147</v>
      </c>
      <c r="L28" s="53">
        <v>0.0</v>
      </c>
      <c r="M28" s="52" t="s">
        <v>165</v>
      </c>
      <c r="N28" s="53"/>
      <c r="O28" s="52"/>
      <c r="P28" s="52"/>
      <c r="Q28" s="57" t="s">
        <v>91</v>
      </c>
      <c r="R28" s="57" t="s">
        <v>68</v>
      </c>
      <c r="S28" s="57" t="s">
        <v>435</v>
      </c>
      <c r="T28" s="82" t="s">
        <v>436</v>
      </c>
      <c r="U28" s="83">
        <v>300000.0</v>
      </c>
    </row>
    <row r="29" ht="26.25" customHeight="1">
      <c r="A29" s="45" t="s">
        <v>440</v>
      </c>
      <c r="B29" s="65" t="s">
        <v>441</v>
      </c>
      <c r="C29" s="65" t="s">
        <v>443</v>
      </c>
      <c r="D29" s="18" t="s">
        <v>31</v>
      </c>
      <c r="E29" s="65" t="s">
        <v>32</v>
      </c>
      <c r="F29" s="65" t="s">
        <v>5</v>
      </c>
      <c r="G29" s="48" t="s">
        <v>403</v>
      </c>
      <c r="H29" s="48">
        <v>9.952048318E9</v>
      </c>
      <c r="I29" s="184" t="s">
        <v>445</v>
      </c>
      <c r="J29" s="246"/>
      <c r="K29" s="246" t="s">
        <v>447</v>
      </c>
      <c r="L29" s="246">
        <v>1.0</v>
      </c>
      <c r="M29" s="52" t="s">
        <v>87</v>
      </c>
      <c r="N29" s="246" t="s">
        <v>449</v>
      </c>
      <c r="O29" s="52" t="s">
        <v>106</v>
      </c>
      <c r="P29" s="52" t="s">
        <v>130</v>
      </c>
      <c r="Q29" s="18" t="s">
        <v>91</v>
      </c>
      <c r="R29" s="18" t="s">
        <v>68</v>
      </c>
      <c r="S29" s="65" t="s">
        <v>144</v>
      </c>
      <c r="T29" s="247" t="s">
        <v>145</v>
      </c>
      <c r="U29" s="83">
        <v>300000.0</v>
      </c>
    </row>
    <row r="30" ht="26.25" customHeight="1">
      <c r="A30" s="209" t="s">
        <v>450</v>
      </c>
      <c r="B30" s="126" t="s">
        <v>451</v>
      </c>
      <c r="C30" s="126" t="s">
        <v>452</v>
      </c>
      <c r="D30" s="18" t="s">
        <v>31</v>
      </c>
      <c r="E30" s="249" t="s">
        <v>32</v>
      </c>
      <c r="F30" s="19" t="s">
        <v>5</v>
      </c>
      <c r="G30" s="250" t="s">
        <v>194</v>
      </c>
      <c r="H30" s="212">
        <v>9.884706822E9</v>
      </c>
      <c r="I30" s="213"/>
      <c r="J30" s="251"/>
      <c r="K30" s="252"/>
      <c r="L30" s="252"/>
      <c r="M30" s="218"/>
      <c r="N30" s="252"/>
      <c r="O30" s="218"/>
      <c r="P30" s="218"/>
      <c r="Q30" s="19" t="s">
        <v>37</v>
      </c>
      <c r="R30" s="30" t="s">
        <v>68</v>
      </c>
      <c r="S30" s="231" t="s">
        <v>456</v>
      </c>
      <c r="T30" s="220" t="s">
        <v>457</v>
      </c>
      <c r="U30" s="43"/>
    </row>
    <row r="31" ht="26.25" customHeight="1">
      <c r="A31" s="234" t="s">
        <v>462</v>
      </c>
      <c r="B31" s="235" t="s">
        <v>463</v>
      </c>
      <c r="C31" s="235" t="s">
        <v>464</v>
      </c>
      <c r="D31" s="18" t="s">
        <v>31</v>
      </c>
      <c r="E31" s="235" t="s">
        <v>465</v>
      </c>
      <c r="F31" s="128" t="s">
        <v>5</v>
      </c>
      <c r="G31" s="130" t="s">
        <v>466</v>
      </c>
      <c r="H31" s="130">
        <v>8.555874504E9</v>
      </c>
      <c r="I31" s="238"/>
      <c r="J31" s="253"/>
      <c r="K31" s="254"/>
      <c r="L31" s="254"/>
      <c r="M31" s="133" t="s">
        <v>87</v>
      </c>
      <c r="N31" s="254" t="s">
        <v>467</v>
      </c>
      <c r="O31" s="133" t="s">
        <v>89</v>
      </c>
      <c r="P31" s="133" t="s">
        <v>90</v>
      </c>
      <c r="Q31" s="241"/>
      <c r="R31" s="135" t="s">
        <v>68</v>
      </c>
      <c r="S31" s="255" t="s">
        <v>468</v>
      </c>
      <c r="T31" s="138" t="s">
        <v>470</v>
      </c>
      <c r="U31" s="140"/>
    </row>
    <row r="32" ht="26.25" customHeight="1">
      <c r="A32" s="209" t="s">
        <v>472</v>
      </c>
      <c r="B32" s="126" t="s">
        <v>473</v>
      </c>
      <c r="C32" s="126" t="s">
        <v>475</v>
      </c>
      <c r="D32" s="18" t="s">
        <v>31</v>
      </c>
      <c r="E32" s="249" t="s">
        <v>32</v>
      </c>
      <c r="F32" s="19" t="s">
        <v>5</v>
      </c>
      <c r="G32" s="250" t="s">
        <v>194</v>
      </c>
      <c r="H32" s="212">
        <v>8.608499779E9</v>
      </c>
      <c r="I32" s="213"/>
      <c r="J32" s="215"/>
      <c r="K32" s="216"/>
      <c r="L32" s="216"/>
      <c r="M32" s="217" t="s">
        <v>87</v>
      </c>
      <c r="N32" s="216" t="s">
        <v>477</v>
      </c>
      <c r="O32" s="218" t="s">
        <v>106</v>
      </c>
      <c r="P32" s="218" t="s">
        <v>130</v>
      </c>
      <c r="Q32" s="219"/>
      <c r="R32" s="30"/>
      <c r="S32" s="231" t="s">
        <v>479</v>
      </c>
      <c r="T32" s="220" t="s">
        <v>480</v>
      </c>
      <c r="U32" s="43"/>
    </row>
    <row r="33" ht="26.25" customHeight="1">
      <c r="A33" s="257" t="s">
        <v>481</v>
      </c>
      <c r="B33" s="235" t="s">
        <v>482</v>
      </c>
      <c r="C33" s="235" t="s">
        <v>483</v>
      </c>
      <c r="D33" s="18" t="s">
        <v>31</v>
      </c>
      <c r="E33" s="235" t="s">
        <v>465</v>
      </c>
      <c r="F33" s="128" t="s">
        <v>5</v>
      </c>
      <c r="G33" s="130" t="s">
        <v>466</v>
      </c>
      <c r="H33" s="130">
        <v>8.754728402E9</v>
      </c>
      <c r="I33" s="238"/>
      <c r="J33" s="253"/>
      <c r="K33" s="254"/>
      <c r="L33" s="254"/>
      <c r="M33" s="133" t="s">
        <v>87</v>
      </c>
      <c r="N33" s="254" t="s">
        <v>486</v>
      </c>
      <c r="O33" s="133" t="s">
        <v>89</v>
      </c>
      <c r="P33" s="133" t="s">
        <v>182</v>
      </c>
      <c r="Q33" s="241"/>
      <c r="R33" s="135" t="s">
        <v>68</v>
      </c>
      <c r="S33" s="255" t="s">
        <v>489</v>
      </c>
      <c r="T33" s="261" t="s">
        <v>490</v>
      </c>
      <c r="U33" s="140"/>
    </row>
    <row r="34" ht="26.25" customHeight="1">
      <c r="A34" s="257" t="s">
        <v>494</v>
      </c>
      <c r="B34" s="235" t="s">
        <v>495</v>
      </c>
      <c r="C34" s="235" t="s">
        <v>496</v>
      </c>
      <c r="D34" s="18" t="s">
        <v>31</v>
      </c>
      <c r="E34" s="235" t="s">
        <v>465</v>
      </c>
      <c r="F34" s="128" t="s">
        <v>5</v>
      </c>
      <c r="G34" s="130" t="s">
        <v>466</v>
      </c>
      <c r="H34" s="130" t="s">
        <v>497</v>
      </c>
      <c r="I34" s="238"/>
      <c r="J34" s="253"/>
      <c r="K34" s="254"/>
      <c r="L34" s="254"/>
      <c r="M34" s="133" t="s">
        <v>165</v>
      </c>
      <c r="N34" s="254" t="s">
        <v>500</v>
      </c>
      <c r="O34" s="133" t="s">
        <v>89</v>
      </c>
      <c r="P34" s="133" t="s">
        <v>130</v>
      </c>
      <c r="Q34" s="241"/>
      <c r="R34" s="135" t="s">
        <v>68</v>
      </c>
      <c r="S34" s="255" t="s">
        <v>502</v>
      </c>
      <c r="T34" s="138" t="s">
        <v>504</v>
      </c>
      <c r="U34" s="140"/>
    </row>
    <row r="35" ht="26.25" customHeight="1">
      <c r="A35" s="257" t="s">
        <v>507</v>
      </c>
      <c r="B35" s="235" t="s">
        <v>508</v>
      </c>
      <c r="C35" s="235" t="s">
        <v>510</v>
      </c>
      <c r="D35" s="18" t="s">
        <v>31</v>
      </c>
      <c r="E35" s="235" t="s">
        <v>425</v>
      </c>
      <c r="F35" s="128" t="s">
        <v>5</v>
      </c>
      <c r="G35" s="130"/>
      <c r="H35" s="130">
        <v>8.939797268E9</v>
      </c>
      <c r="I35" s="238"/>
      <c r="J35" s="265"/>
      <c r="K35" s="266"/>
      <c r="L35" s="266"/>
      <c r="M35" s="133"/>
      <c r="N35" s="266"/>
      <c r="O35" s="133"/>
      <c r="P35" s="133"/>
      <c r="Q35" s="241"/>
      <c r="R35" s="136" t="s">
        <v>68</v>
      </c>
      <c r="S35" s="255" t="s">
        <v>514</v>
      </c>
      <c r="T35" s="268" t="s">
        <v>516</v>
      </c>
      <c r="U35" s="140"/>
    </row>
    <row r="36" ht="26.25" customHeight="1">
      <c r="A36" s="257" t="s">
        <v>519</v>
      </c>
      <c r="B36" s="235" t="s">
        <v>520</v>
      </c>
      <c r="C36" s="235" t="s">
        <v>521</v>
      </c>
      <c r="D36" s="18" t="s">
        <v>31</v>
      </c>
      <c r="E36" s="235" t="s">
        <v>425</v>
      </c>
      <c r="F36" s="128" t="s">
        <v>5</v>
      </c>
      <c r="G36" s="130"/>
      <c r="H36" s="130">
        <v>9.080721623E9</v>
      </c>
      <c r="I36" s="238"/>
      <c r="J36" s="253"/>
      <c r="K36" s="254"/>
      <c r="L36" s="254"/>
      <c r="M36" s="133" t="s">
        <v>128</v>
      </c>
      <c r="N36" s="254" t="s">
        <v>524</v>
      </c>
      <c r="O36" s="133" t="s">
        <v>106</v>
      </c>
      <c r="P36" s="133" t="s">
        <v>130</v>
      </c>
      <c r="Q36" s="241"/>
      <c r="R36" s="136" t="s">
        <v>68</v>
      </c>
      <c r="S36" s="255" t="s">
        <v>526</v>
      </c>
      <c r="T36" s="138" t="s">
        <v>527</v>
      </c>
      <c r="U36" s="140"/>
    </row>
    <row r="37" ht="26.25" customHeight="1">
      <c r="A37" s="257" t="s">
        <v>531</v>
      </c>
      <c r="B37" s="270" t="s">
        <v>533</v>
      </c>
      <c r="C37" s="270" t="s">
        <v>534</v>
      </c>
      <c r="D37" s="18" t="s">
        <v>31</v>
      </c>
      <c r="E37" s="235" t="s">
        <v>425</v>
      </c>
      <c r="F37" s="128" t="s">
        <v>5</v>
      </c>
      <c r="G37" s="130"/>
      <c r="H37" s="130">
        <v>9.476478885E9</v>
      </c>
      <c r="I37" s="272"/>
      <c r="J37" s="253"/>
      <c r="K37" s="254"/>
      <c r="L37" s="254"/>
      <c r="M37" s="133" t="s">
        <v>87</v>
      </c>
      <c r="N37" s="254" t="s">
        <v>536</v>
      </c>
      <c r="O37" s="133" t="s">
        <v>89</v>
      </c>
      <c r="P37" s="133" t="s">
        <v>90</v>
      </c>
      <c r="Q37" s="241"/>
      <c r="R37" s="136" t="s">
        <v>68</v>
      </c>
      <c r="S37" s="255" t="s">
        <v>538</v>
      </c>
      <c r="T37" s="138" t="s">
        <v>539</v>
      </c>
      <c r="U37" s="140"/>
    </row>
    <row r="38" ht="26.25" customHeight="1">
      <c r="A38" s="257" t="s">
        <v>544</v>
      </c>
      <c r="B38" s="270" t="s">
        <v>545</v>
      </c>
      <c r="C38" s="270" t="s">
        <v>546</v>
      </c>
      <c r="D38" s="275" t="s">
        <v>31</v>
      </c>
      <c r="E38" s="235" t="s">
        <v>425</v>
      </c>
      <c r="F38" s="128" t="s">
        <v>5</v>
      </c>
      <c r="G38" s="130"/>
      <c r="H38" s="130">
        <v>7.845471602E9</v>
      </c>
      <c r="I38" s="238"/>
      <c r="J38" s="253"/>
      <c r="K38" s="254"/>
      <c r="L38" s="254"/>
      <c r="M38" s="133" t="s">
        <v>87</v>
      </c>
      <c r="N38" s="254" t="s">
        <v>548</v>
      </c>
      <c r="O38" s="133" t="s">
        <v>89</v>
      </c>
      <c r="P38" s="133"/>
      <c r="Q38" s="241"/>
      <c r="R38" s="136" t="s">
        <v>68</v>
      </c>
      <c r="S38" s="255" t="s">
        <v>549</v>
      </c>
      <c r="T38" s="138" t="s">
        <v>551</v>
      </c>
      <c r="U38" s="140"/>
    </row>
    <row r="39" ht="26.25" customHeight="1">
      <c r="A39" s="277" t="s">
        <v>552</v>
      </c>
      <c r="B39" s="270" t="s">
        <v>553</v>
      </c>
      <c r="C39" s="270" t="s">
        <v>554</v>
      </c>
      <c r="D39" s="275" t="s">
        <v>555</v>
      </c>
      <c r="E39" s="235" t="s">
        <v>425</v>
      </c>
      <c r="F39" s="128" t="s">
        <v>5</v>
      </c>
      <c r="G39" s="278"/>
      <c r="H39" s="278">
        <v>8.870169974E9</v>
      </c>
      <c r="I39" s="279"/>
      <c r="J39" s="239"/>
      <c r="K39" s="240"/>
      <c r="L39" s="240"/>
      <c r="M39" s="155"/>
      <c r="N39" s="240"/>
      <c r="O39" s="155"/>
      <c r="P39" s="155"/>
      <c r="Q39" s="241"/>
      <c r="R39" s="136" t="s">
        <v>68</v>
      </c>
      <c r="S39" s="255" t="s">
        <v>561</v>
      </c>
      <c r="T39" s="138" t="s">
        <v>562</v>
      </c>
      <c r="U39" s="140"/>
    </row>
    <row r="40" ht="26.25" customHeight="1">
      <c r="A40" s="277" t="s">
        <v>565</v>
      </c>
      <c r="B40" s="285"/>
      <c r="C40" s="270"/>
      <c r="D40" s="275" t="s">
        <v>555</v>
      </c>
      <c r="E40" s="235" t="s">
        <v>425</v>
      </c>
      <c r="F40" s="128" t="s">
        <v>5</v>
      </c>
      <c r="G40" s="278"/>
      <c r="H40" s="278">
        <v>9.380523384E9</v>
      </c>
      <c r="I40" s="279"/>
      <c r="J40" s="239"/>
      <c r="K40" s="240"/>
      <c r="L40" s="240"/>
      <c r="M40" s="155"/>
      <c r="N40" s="240"/>
      <c r="O40" s="155"/>
      <c r="P40" s="155"/>
      <c r="Q40" s="241"/>
      <c r="R40" s="136"/>
      <c r="S40" s="255" t="s">
        <v>573</v>
      </c>
      <c r="T40" s="138" t="s">
        <v>574</v>
      </c>
      <c r="U40" s="140"/>
    </row>
    <row r="41" ht="26.25" customHeight="1">
      <c r="A41" s="13" t="s">
        <v>579</v>
      </c>
      <c r="B41" s="297" t="s">
        <v>580</v>
      </c>
      <c r="C41" s="297" t="s">
        <v>582</v>
      </c>
      <c r="D41" s="275" t="s">
        <v>555</v>
      </c>
      <c r="E41" s="299" t="s">
        <v>425</v>
      </c>
      <c r="F41" s="19" t="s">
        <v>5</v>
      </c>
      <c r="G41" s="301"/>
      <c r="H41" s="301">
        <v>6.379496755E9</v>
      </c>
      <c r="I41" s="303"/>
      <c r="J41" s="304"/>
      <c r="K41" s="23"/>
      <c r="L41" s="23"/>
      <c r="M41" s="25"/>
      <c r="N41" s="23"/>
      <c r="O41" s="25"/>
      <c r="P41" s="25"/>
      <c r="Q41" s="219"/>
      <c r="R41" s="231"/>
      <c r="S41" s="307" t="s">
        <v>589</v>
      </c>
      <c r="T41" s="220" t="s">
        <v>590</v>
      </c>
      <c r="U41" s="43"/>
    </row>
    <row r="42" ht="26.25" customHeight="1">
      <c r="A42" s="13" t="s">
        <v>599</v>
      </c>
      <c r="B42" s="297"/>
      <c r="C42" s="17"/>
      <c r="D42" s="18" t="s">
        <v>555</v>
      </c>
      <c r="E42" s="299" t="s">
        <v>602</v>
      </c>
      <c r="F42" s="19" t="s">
        <v>5</v>
      </c>
      <c r="G42" s="310"/>
      <c r="H42" s="301">
        <v>9.952351453E9</v>
      </c>
      <c r="I42" s="303"/>
      <c r="J42" s="304"/>
      <c r="K42" s="23"/>
      <c r="L42" s="23"/>
      <c r="M42" s="25"/>
      <c r="N42" s="23"/>
      <c r="O42" s="25"/>
      <c r="P42" s="25"/>
      <c r="Q42" s="219"/>
      <c r="R42" s="231"/>
      <c r="S42" s="307" t="s">
        <v>606</v>
      </c>
      <c r="T42" s="220" t="s">
        <v>607</v>
      </c>
      <c r="U42" s="43"/>
    </row>
    <row r="43" ht="26.25" customHeight="1">
      <c r="A43" s="13" t="s">
        <v>614</v>
      </c>
      <c r="B43" s="314"/>
      <c r="C43" s="17"/>
      <c r="D43" s="315"/>
      <c r="E43" s="316"/>
      <c r="F43" s="18" t="s">
        <v>619</v>
      </c>
      <c r="G43" s="301"/>
      <c r="H43" s="301">
        <v>9.952451033E9</v>
      </c>
      <c r="I43" s="303"/>
      <c r="J43" s="304"/>
      <c r="K43" s="23"/>
      <c r="L43" s="23"/>
      <c r="M43" s="25"/>
      <c r="N43" s="23"/>
      <c r="O43" s="25"/>
      <c r="P43" s="25"/>
      <c r="Q43" s="219"/>
      <c r="R43" s="30"/>
      <c r="S43" s="307" t="s">
        <v>624</v>
      </c>
      <c r="T43" s="219"/>
      <c r="U43" s="43"/>
    </row>
    <row r="44" ht="26.25" customHeight="1">
      <c r="A44" s="257" t="s">
        <v>625</v>
      </c>
      <c r="B44" s="285"/>
      <c r="C44" s="318"/>
      <c r="D44" s="275" t="s">
        <v>555</v>
      </c>
      <c r="E44" s="235" t="s">
        <v>425</v>
      </c>
      <c r="F44" s="128" t="s">
        <v>5</v>
      </c>
      <c r="G44" s="130"/>
      <c r="H44" s="130">
        <v>7.70859289E9</v>
      </c>
      <c r="I44" s="279"/>
      <c r="J44" s="320"/>
      <c r="K44" s="321"/>
      <c r="L44" s="321"/>
      <c r="M44" s="155"/>
      <c r="N44" s="321"/>
      <c r="O44" s="155"/>
      <c r="P44" s="155"/>
      <c r="Q44" s="241"/>
      <c r="R44" s="136"/>
      <c r="S44" s="255" t="s">
        <v>633</v>
      </c>
      <c r="T44" s="261" t="s">
        <v>635</v>
      </c>
      <c r="U44" s="140"/>
    </row>
    <row r="45" ht="26.25" customHeight="1">
      <c r="A45" s="257" t="s">
        <v>641</v>
      </c>
      <c r="B45" s="270" t="s">
        <v>643</v>
      </c>
      <c r="C45" s="270" t="s">
        <v>644</v>
      </c>
      <c r="D45" s="275" t="s">
        <v>555</v>
      </c>
      <c r="E45" s="235" t="s">
        <v>425</v>
      </c>
      <c r="F45" s="128" t="s">
        <v>5</v>
      </c>
      <c r="G45" s="130"/>
      <c r="H45" s="130">
        <v>9.964800059E9</v>
      </c>
      <c r="I45" s="279"/>
      <c r="J45" s="320"/>
      <c r="K45" s="321"/>
      <c r="L45" s="321"/>
      <c r="M45" s="155"/>
      <c r="N45" s="321"/>
      <c r="O45" s="155"/>
      <c r="P45" s="155"/>
      <c r="Q45" s="241"/>
      <c r="R45" s="136" t="s">
        <v>68</v>
      </c>
      <c r="S45" s="255" t="s">
        <v>655</v>
      </c>
      <c r="T45" s="138" t="s">
        <v>656</v>
      </c>
      <c r="U45" s="140"/>
    </row>
    <row r="46" ht="26.25" customHeight="1">
      <c r="A46" s="257" t="s">
        <v>663</v>
      </c>
      <c r="B46" s="270" t="s">
        <v>664</v>
      </c>
      <c r="C46" s="270" t="s">
        <v>666</v>
      </c>
      <c r="D46" s="275" t="s">
        <v>555</v>
      </c>
      <c r="E46" s="235" t="s">
        <v>425</v>
      </c>
      <c r="F46" s="128" t="s">
        <v>5</v>
      </c>
      <c r="G46" s="130"/>
      <c r="H46" s="130">
        <v>7.012679913E9</v>
      </c>
      <c r="I46" s="238"/>
      <c r="J46" s="320"/>
      <c r="K46" s="321"/>
      <c r="L46" s="321"/>
      <c r="M46" s="155"/>
      <c r="N46" s="321"/>
      <c r="O46" s="155"/>
      <c r="P46" s="155"/>
      <c r="Q46" s="241"/>
      <c r="R46" s="136" t="s">
        <v>68</v>
      </c>
      <c r="S46" s="255" t="s">
        <v>673</v>
      </c>
      <c r="T46" s="138" t="s">
        <v>674</v>
      </c>
      <c r="U46" s="140"/>
    </row>
    <row r="47" ht="26.25" customHeight="1">
      <c r="A47" s="257" t="s">
        <v>682</v>
      </c>
      <c r="B47" s="270" t="s">
        <v>683</v>
      </c>
      <c r="C47" s="270" t="s">
        <v>685</v>
      </c>
      <c r="D47" s="275" t="s">
        <v>555</v>
      </c>
      <c r="E47" s="235" t="s">
        <v>425</v>
      </c>
      <c r="F47" s="128" t="s">
        <v>5</v>
      </c>
      <c r="G47" s="130"/>
      <c r="H47" s="130">
        <v>7.358088146E9</v>
      </c>
      <c r="I47" s="279"/>
      <c r="J47" s="320"/>
      <c r="K47" s="321"/>
      <c r="L47" s="321"/>
      <c r="M47" s="155"/>
      <c r="N47" s="321"/>
      <c r="O47" s="155"/>
      <c r="P47" s="155"/>
      <c r="Q47" s="241"/>
      <c r="R47" s="136"/>
      <c r="S47" s="255" t="s">
        <v>686</v>
      </c>
      <c r="T47" s="138" t="s">
        <v>687</v>
      </c>
      <c r="U47" s="140"/>
    </row>
    <row r="48" ht="26.25" customHeight="1">
      <c r="A48" s="257" t="s">
        <v>694</v>
      </c>
      <c r="B48" s="270" t="s">
        <v>695</v>
      </c>
      <c r="C48" s="270" t="s">
        <v>698</v>
      </c>
      <c r="D48" s="275" t="s">
        <v>555</v>
      </c>
      <c r="E48" s="235" t="s">
        <v>425</v>
      </c>
      <c r="F48" s="128" t="s">
        <v>5</v>
      </c>
      <c r="G48" s="130"/>
      <c r="H48" s="130">
        <v>9.843545796E9</v>
      </c>
      <c r="I48" s="279"/>
      <c r="J48" s="320"/>
      <c r="K48" s="321"/>
      <c r="L48" s="321"/>
      <c r="M48" s="155"/>
      <c r="N48" s="321"/>
      <c r="O48" s="155"/>
      <c r="P48" s="155"/>
      <c r="Q48" s="241"/>
      <c r="R48" s="136" t="s">
        <v>68</v>
      </c>
      <c r="S48" s="255" t="s">
        <v>705</v>
      </c>
      <c r="T48" s="138" t="s">
        <v>706</v>
      </c>
      <c r="U48" s="140"/>
    </row>
    <row r="49" ht="26.25" customHeight="1">
      <c r="A49" s="173" t="s">
        <v>714</v>
      </c>
      <c r="B49" s="65"/>
      <c r="C49" s="65"/>
      <c r="D49" s="18" t="s">
        <v>555</v>
      </c>
      <c r="E49" s="18" t="s">
        <v>425</v>
      </c>
      <c r="F49" s="18" t="s">
        <v>5</v>
      </c>
      <c r="G49" s="48"/>
      <c r="H49" s="301">
        <v>8.778373517E9</v>
      </c>
      <c r="I49" s="184"/>
      <c r="J49" s="185"/>
      <c r="K49" s="53"/>
      <c r="L49" s="53"/>
      <c r="M49" s="52"/>
      <c r="N49" s="246"/>
      <c r="O49" s="52"/>
      <c r="P49" s="52"/>
      <c r="Q49" s="18"/>
      <c r="R49" s="18"/>
      <c r="S49" s="18" t="s">
        <v>722</v>
      </c>
      <c r="T49" s="62" t="s">
        <v>724</v>
      </c>
      <c r="U49" s="63"/>
    </row>
    <row r="50" ht="26.25" customHeight="1">
      <c r="A50" s="173" t="s">
        <v>732</v>
      </c>
      <c r="B50" s="18" t="s">
        <v>733</v>
      </c>
      <c r="C50" s="18" t="s">
        <v>735</v>
      </c>
      <c r="D50" s="65"/>
      <c r="E50" s="65"/>
      <c r="F50" s="18" t="s">
        <v>737</v>
      </c>
      <c r="G50" s="70"/>
      <c r="H50" s="48" t="s">
        <v>741</v>
      </c>
      <c r="I50" s="174"/>
      <c r="J50" s="185"/>
      <c r="K50" s="53"/>
      <c r="L50" s="53"/>
      <c r="M50" s="52"/>
      <c r="N50" s="246"/>
      <c r="O50" s="52"/>
      <c r="P50" s="52"/>
      <c r="Q50" s="65"/>
      <c r="R50" s="65"/>
      <c r="S50" s="18" t="s">
        <v>746</v>
      </c>
      <c r="T50" s="341" t="s">
        <v>748</v>
      </c>
      <c r="U50" s="63"/>
    </row>
    <row r="51" ht="26.25" customHeight="1">
      <c r="A51" s="173" t="s">
        <v>752</v>
      </c>
      <c r="B51" s="18" t="s">
        <v>753</v>
      </c>
      <c r="C51" s="18" t="s">
        <v>755</v>
      </c>
      <c r="D51" s="65"/>
      <c r="E51" s="65"/>
      <c r="F51" s="18" t="s">
        <v>5</v>
      </c>
      <c r="G51" s="70"/>
      <c r="H51" s="48" t="s">
        <v>758</v>
      </c>
      <c r="I51" s="174"/>
      <c r="J51" s="185"/>
      <c r="K51" s="53"/>
      <c r="L51" s="53"/>
      <c r="M51" s="52"/>
      <c r="N51" s="246"/>
      <c r="O51" s="52"/>
      <c r="P51" s="52"/>
      <c r="Q51" s="65"/>
      <c r="R51" s="65"/>
      <c r="S51" s="18" t="s">
        <v>764</v>
      </c>
      <c r="T51" s="341" t="s">
        <v>765</v>
      </c>
      <c r="U51" s="63"/>
    </row>
    <row r="52" ht="26.25" customHeight="1">
      <c r="A52" s="173" t="s">
        <v>771</v>
      </c>
      <c r="B52" s="18" t="s">
        <v>775</v>
      </c>
      <c r="C52" s="18" t="s">
        <v>777</v>
      </c>
      <c r="D52" s="18" t="s">
        <v>555</v>
      </c>
      <c r="E52" s="18" t="s">
        <v>425</v>
      </c>
      <c r="F52" s="18" t="s">
        <v>5</v>
      </c>
      <c r="G52" s="48"/>
      <c r="H52" s="48">
        <v>9.551075056E9</v>
      </c>
      <c r="I52" s="184"/>
      <c r="J52" s="185"/>
      <c r="K52" s="53"/>
      <c r="L52" s="53"/>
      <c r="M52" s="52"/>
      <c r="N52" s="246"/>
      <c r="O52" s="52"/>
      <c r="P52" s="52"/>
      <c r="Q52" s="18"/>
      <c r="R52" s="18"/>
      <c r="S52" s="18" t="s">
        <v>783</v>
      </c>
      <c r="T52" s="62" t="s">
        <v>784</v>
      </c>
      <c r="U52" s="63"/>
    </row>
    <row r="53" ht="26.25" customHeight="1">
      <c r="A53" s="173" t="s">
        <v>789</v>
      </c>
      <c r="B53" s="65"/>
      <c r="C53" s="65"/>
      <c r="D53" s="18" t="s">
        <v>555</v>
      </c>
      <c r="E53" s="18" t="s">
        <v>425</v>
      </c>
      <c r="F53" s="18" t="s">
        <v>792</v>
      </c>
      <c r="G53" s="48"/>
      <c r="H53" s="48">
        <v>9.788546486E9</v>
      </c>
      <c r="I53" s="184"/>
      <c r="J53" s="185"/>
      <c r="K53" s="53"/>
      <c r="L53" s="53"/>
      <c r="M53" s="52"/>
      <c r="N53" s="246"/>
      <c r="O53" s="52"/>
      <c r="P53" s="52"/>
      <c r="Q53" s="18"/>
      <c r="R53" s="18" t="s">
        <v>68</v>
      </c>
      <c r="S53" s="18" t="s">
        <v>798</v>
      </c>
      <c r="T53" s="18"/>
      <c r="U53" s="63"/>
    </row>
    <row r="54" ht="26.25" customHeight="1">
      <c r="A54" s="173" t="s">
        <v>799</v>
      </c>
      <c r="B54" s="18"/>
      <c r="C54" s="65"/>
      <c r="D54" s="65"/>
      <c r="E54" s="65"/>
      <c r="F54" s="18"/>
      <c r="G54" s="48"/>
      <c r="H54" s="48"/>
      <c r="I54" s="184"/>
      <c r="J54" s="185"/>
      <c r="K54" s="53"/>
      <c r="L54" s="53"/>
      <c r="M54" s="52"/>
      <c r="N54" s="246"/>
      <c r="O54" s="52"/>
      <c r="P54" s="52"/>
      <c r="Q54" s="18"/>
      <c r="R54" s="18"/>
      <c r="S54" s="18"/>
      <c r="T54" s="18"/>
      <c r="U54" s="63"/>
    </row>
    <row r="55" ht="26.25" customHeight="1">
      <c r="A55" s="173" t="s">
        <v>806</v>
      </c>
      <c r="B55" s="18"/>
      <c r="C55" s="65"/>
      <c r="D55" s="65"/>
      <c r="E55" s="65"/>
      <c r="F55" s="18"/>
      <c r="G55" s="48"/>
      <c r="H55" s="48"/>
      <c r="I55" s="184"/>
      <c r="J55" s="185"/>
      <c r="K55" s="53"/>
      <c r="L55" s="53"/>
      <c r="M55" s="52"/>
      <c r="N55" s="246"/>
      <c r="O55" s="52"/>
      <c r="P55" s="52"/>
      <c r="Q55" s="18"/>
      <c r="R55" s="18"/>
      <c r="S55" s="18"/>
      <c r="T55" s="18"/>
      <c r="U55" s="63"/>
    </row>
    <row r="56" ht="26.25" customHeight="1">
      <c r="A56" s="173" t="s">
        <v>813</v>
      </c>
      <c r="B56" s="65"/>
      <c r="C56" s="65"/>
      <c r="D56" s="65"/>
      <c r="E56" s="65"/>
      <c r="F56" s="18"/>
      <c r="G56" s="48"/>
      <c r="H56" s="48"/>
      <c r="I56" s="184"/>
      <c r="J56" s="185"/>
      <c r="K56" s="53"/>
      <c r="L56" s="53"/>
      <c r="M56" s="52"/>
      <c r="N56" s="246"/>
      <c r="O56" s="52"/>
      <c r="P56" s="52"/>
      <c r="Q56" s="18"/>
      <c r="R56" s="18"/>
      <c r="S56" s="18"/>
      <c r="T56" s="18"/>
      <c r="U56" s="63"/>
    </row>
    <row r="57" ht="26.25" customHeight="1">
      <c r="A57" s="173" t="s">
        <v>824</v>
      </c>
      <c r="B57" s="65"/>
      <c r="C57" s="65"/>
      <c r="D57" s="65"/>
      <c r="E57" s="65"/>
      <c r="F57" s="18"/>
      <c r="G57" s="48"/>
      <c r="H57" s="48"/>
      <c r="I57" s="184"/>
      <c r="J57" s="185"/>
      <c r="K57" s="53"/>
      <c r="L57" s="53"/>
      <c r="M57" s="52"/>
      <c r="N57" s="246"/>
      <c r="O57" s="52"/>
      <c r="P57" s="52"/>
      <c r="Q57" s="18"/>
      <c r="R57" s="18"/>
      <c r="S57" s="18"/>
      <c r="T57" s="18"/>
      <c r="U57" s="63"/>
    </row>
    <row r="58" ht="26.25" customHeight="1">
      <c r="A58" s="173" t="s">
        <v>830</v>
      </c>
      <c r="B58" s="65"/>
      <c r="C58" s="65"/>
      <c r="D58" s="65"/>
      <c r="E58" s="65"/>
      <c r="F58" s="18"/>
      <c r="G58" s="48"/>
      <c r="H58" s="48"/>
      <c r="I58" s="184"/>
      <c r="J58" s="185"/>
      <c r="K58" s="53"/>
      <c r="L58" s="53"/>
      <c r="M58" s="52"/>
      <c r="N58" s="246"/>
      <c r="O58" s="52"/>
      <c r="P58" s="52"/>
      <c r="Q58" s="18"/>
      <c r="R58" s="18"/>
      <c r="S58" s="18"/>
      <c r="T58" s="18"/>
      <c r="U58" s="63"/>
    </row>
    <row r="59" ht="26.25" customHeight="1">
      <c r="A59" s="173" t="s">
        <v>834</v>
      </c>
      <c r="B59" s="65"/>
      <c r="C59" s="65"/>
      <c r="D59" s="65"/>
      <c r="E59" s="65"/>
      <c r="F59" s="18"/>
      <c r="G59" s="48"/>
      <c r="H59" s="48"/>
      <c r="I59" s="184"/>
      <c r="J59" s="185"/>
      <c r="K59" s="53"/>
      <c r="L59" s="53"/>
      <c r="M59" s="52"/>
      <c r="N59" s="246"/>
      <c r="O59" s="52"/>
      <c r="P59" s="52"/>
      <c r="Q59" s="18"/>
      <c r="R59" s="18"/>
      <c r="S59" s="18"/>
      <c r="T59" s="18"/>
      <c r="U59" s="63"/>
    </row>
    <row r="60" ht="26.25" customHeight="1">
      <c r="A60" s="173" t="s">
        <v>842</v>
      </c>
      <c r="B60" s="65"/>
      <c r="C60" s="65"/>
      <c r="D60" s="65"/>
      <c r="E60" s="65"/>
      <c r="F60" s="18" t="s">
        <v>619</v>
      </c>
      <c r="G60" s="48"/>
      <c r="H60" s="48">
        <v>9.940270031E9</v>
      </c>
      <c r="I60" s="184"/>
      <c r="J60" s="185"/>
      <c r="K60" s="53"/>
      <c r="L60" s="53"/>
      <c r="M60" s="52"/>
      <c r="N60" s="246"/>
      <c r="O60" s="52"/>
      <c r="P60" s="52"/>
      <c r="Q60" s="18"/>
      <c r="R60" s="18"/>
      <c r="S60" s="18" t="s">
        <v>848</v>
      </c>
      <c r="T60" s="18"/>
      <c r="U60" s="63"/>
    </row>
    <row r="61" ht="26.25" customHeight="1">
      <c r="A61" s="173" t="s">
        <v>849</v>
      </c>
      <c r="B61" s="65"/>
      <c r="C61" s="65"/>
      <c r="D61" s="65"/>
      <c r="E61" s="65"/>
      <c r="F61" s="18"/>
      <c r="G61" s="48"/>
      <c r="H61" s="48"/>
      <c r="I61" s="184"/>
      <c r="J61" s="246"/>
      <c r="K61" s="246"/>
      <c r="L61" s="246"/>
      <c r="M61" s="52"/>
      <c r="N61" s="246"/>
      <c r="O61" s="52"/>
      <c r="P61" s="52"/>
      <c r="Q61" s="18"/>
      <c r="R61" s="18"/>
      <c r="S61" s="18"/>
      <c r="T61" s="18"/>
      <c r="U61" s="63"/>
    </row>
    <row r="62" ht="26.25" customHeight="1">
      <c r="A62" s="173" t="s">
        <v>853</v>
      </c>
      <c r="B62" s="65"/>
      <c r="C62" s="65"/>
      <c r="D62" s="65"/>
      <c r="E62" s="65"/>
      <c r="F62" s="18"/>
      <c r="G62" s="48"/>
      <c r="H62" s="48"/>
      <c r="I62" s="184"/>
      <c r="J62" s="246"/>
      <c r="K62" s="246"/>
      <c r="L62" s="246"/>
      <c r="M62" s="52"/>
      <c r="N62" s="246"/>
      <c r="O62" s="52"/>
      <c r="P62" s="52"/>
      <c r="Q62" s="18"/>
      <c r="R62" s="18"/>
      <c r="S62" s="18"/>
      <c r="T62" s="18"/>
      <c r="U62" s="63"/>
    </row>
    <row r="63" ht="26.25" customHeight="1">
      <c r="A63" s="173" t="s">
        <v>859</v>
      </c>
      <c r="B63" s="18" t="s">
        <v>861</v>
      </c>
      <c r="C63" s="18" t="s">
        <v>862</v>
      </c>
      <c r="D63" s="18" t="s">
        <v>555</v>
      </c>
      <c r="E63" s="18" t="s">
        <v>425</v>
      </c>
      <c r="F63" s="18" t="s">
        <v>792</v>
      </c>
      <c r="G63" s="70"/>
      <c r="H63" s="48">
        <v>9.943704677E9</v>
      </c>
      <c r="I63" s="174"/>
      <c r="J63" s="246"/>
      <c r="K63" s="246"/>
      <c r="L63" s="246"/>
      <c r="M63" s="52"/>
      <c r="N63" s="246"/>
      <c r="O63" s="52"/>
      <c r="P63" s="52"/>
      <c r="Q63" s="65"/>
      <c r="R63" s="65"/>
      <c r="S63" s="18" t="s">
        <v>868</v>
      </c>
      <c r="T63" s="341" t="s">
        <v>869</v>
      </c>
      <c r="U63" s="63"/>
    </row>
    <row r="64" ht="26.25" customHeight="1">
      <c r="A64" s="173" t="s">
        <v>874</v>
      </c>
      <c r="B64" s="18"/>
      <c r="C64" s="18"/>
      <c r="D64" s="18" t="s">
        <v>555</v>
      </c>
      <c r="E64" s="18" t="s">
        <v>425</v>
      </c>
      <c r="F64" s="18" t="s">
        <v>792</v>
      </c>
      <c r="G64" s="70"/>
      <c r="H64" s="48" t="s">
        <v>876</v>
      </c>
      <c r="I64" s="174"/>
      <c r="J64" s="246"/>
      <c r="K64" s="246"/>
      <c r="L64" s="246"/>
      <c r="M64" s="52"/>
      <c r="N64" s="246"/>
      <c r="O64" s="52"/>
      <c r="P64" s="52"/>
      <c r="Q64" s="65"/>
      <c r="R64" s="18" t="s">
        <v>68</v>
      </c>
      <c r="S64" s="18" t="s">
        <v>879</v>
      </c>
      <c r="T64" s="57"/>
      <c r="U64" s="63"/>
    </row>
    <row r="65" ht="26.25" customHeight="1">
      <c r="A65" s="209" t="s">
        <v>880</v>
      </c>
      <c r="B65" s="126" t="s">
        <v>882</v>
      </c>
      <c r="C65" s="126" t="s">
        <v>883</v>
      </c>
      <c r="D65" s="18" t="s">
        <v>31</v>
      </c>
      <c r="E65" s="65" t="s">
        <v>32</v>
      </c>
      <c r="F65" s="371" t="s">
        <v>5</v>
      </c>
      <c r="G65" s="250" t="s">
        <v>194</v>
      </c>
      <c r="H65" s="112">
        <v>9.790341644E9</v>
      </c>
      <c r="I65" s="375"/>
      <c r="J65" s="376"/>
      <c r="K65" s="378"/>
      <c r="L65" s="378"/>
      <c r="M65" s="380" t="s">
        <v>165</v>
      </c>
      <c r="N65" s="378" t="s">
        <v>892</v>
      </c>
      <c r="O65" s="381" t="s">
        <v>106</v>
      </c>
      <c r="P65" s="381" t="s">
        <v>130</v>
      </c>
      <c r="Q65" s="19" t="s">
        <v>91</v>
      </c>
      <c r="R65" s="30" t="s">
        <v>68</v>
      </c>
      <c r="S65" s="231" t="s">
        <v>896</v>
      </c>
      <c r="T65" s="220" t="s">
        <v>897</v>
      </c>
      <c r="U65" s="43"/>
    </row>
    <row r="66" ht="26.25" customHeight="1">
      <c r="A66" s="342" t="s">
        <v>901</v>
      </c>
      <c r="B66" s="385" t="s">
        <v>902</v>
      </c>
      <c r="C66" s="385" t="s">
        <v>903</v>
      </c>
      <c r="D66" s="18" t="s">
        <v>31</v>
      </c>
      <c r="E66" s="65" t="s">
        <v>32</v>
      </c>
      <c r="F66" s="87" t="s">
        <v>5</v>
      </c>
      <c r="G66" s="250" t="s">
        <v>194</v>
      </c>
      <c r="H66" s="388">
        <v>7.305494413E9</v>
      </c>
      <c r="I66" s="389"/>
      <c r="J66" s="390"/>
      <c r="K66" s="90"/>
      <c r="L66" s="90"/>
      <c r="M66" s="89" t="s">
        <v>87</v>
      </c>
      <c r="N66" s="90" t="s">
        <v>907</v>
      </c>
      <c r="O66" s="89" t="s">
        <v>89</v>
      </c>
      <c r="P66" s="89" t="s">
        <v>90</v>
      </c>
      <c r="Q66" s="87" t="s">
        <v>37</v>
      </c>
      <c r="R66" s="391" t="s">
        <v>68</v>
      </c>
      <c r="S66" s="392" t="s">
        <v>908</v>
      </c>
      <c r="T66" s="106" t="s">
        <v>910</v>
      </c>
      <c r="U66" s="397"/>
    </row>
    <row r="67" ht="26.25" customHeight="1">
      <c r="A67" s="84" t="s">
        <v>914</v>
      </c>
      <c r="B67" s="84" t="s">
        <v>916</v>
      </c>
      <c r="C67" s="84" t="s">
        <v>918</v>
      </c>
      <c r="D67" s="18" t="s">
        <v>31</v>
      </c>
      <c r="E67" s="65" t="s">
        <v>32</v>
      </c>
      <c r="F67" s="87" t="s">
        <v>5</v>
      </c>
      <c r="G67" s="250" t="s">
        <v>194</v>
      </c>
      <c r="H67" s="88">
        <v>8.675058253E9</v>
      </c>
      <c r="I67" s="389"/>
      <c r="J67" s="390"/>
      <c r="K67" s="90"/>
      <c r="L67" s="90"/>
      <c r="M67" s="89" t="s">
        <v>128</v>
      </c>
      <c r="N67" s="90" t="s">
        <v>923</v>
      </c>
      <c r="O67" s="89" t="s">
        <v>89</v>
      </c>
      <c r="P67" s="89" t="s">
        <v>130</v>
      </c>
      <c r="Q67" s="402" t="s">
        <v>91</v>
      </c>
      <c r="R67" s="402" t="s">
        <v>68</v>
      </c>
      <c r="S67" s="402" t="s">
        <v>926</v>
      </c>
      <c r="T67" s="94" t="s">
        <v>927</v>
      </c>
      <c r="U67" s="95"/>
    </row>
    <row r="68" ht="26.25" customHeight="1">
      <c r="A68" s="84" t="s">
        <v>265</v>
      </c>
      <c r="B68" s="173" t="s">
        <v>933</v>
      </c>
      <c r="C68" s="173" t="s">
        <v>934</v>
      </c>
      <c r="D68" s="18" t="s">
        <v>31</v>
      </c>
      <c r="E68" s="65" t="s">
        <v>32</v>
      </c>
      <c r="F68" s="87" t="s">
        <v>5</v>
      </c>
      <c r="G68" s="88" t="s">
        <v>936</v>
      </c>
      <c r="H68" s="88">
        <v>7.358299188E9</v>
      </c>
      <c r="I68" s="389" t="s">
        <v>445</v>
      </c>
      <c r="J68" s="390"/>
      <c r="K68" s="90" t="s">
        <v>147</v>
      </c>
      <c r="L68" s="90">
        <v>0.0</v>
      </c>
      <c r="M68" s="89" t="s">
        <v>87</v>
      </c>
      <c r="N68" s="90" t="s">
        <v>941</v>
      </c>
      <c r="O68" s="89"/>
      <c r="P68" s="89"/>
      <c r="Q68" s="402" t="s">
        <v>91</v>
      </c>
      <c r="R68" s="402" t="s">
        <v>68</v>
      </c>
      <c r="S68" s="402" t="s">
        <v>267</v>
      </c>
      <c r="T68" s="106" t="s">
        <v>268</v>
      </c>
      <c r="U68" s="110">
        <v>300000.0</v>
      </c>
    </row>
    <row r="69" ht="26.25" customHeight="1">
      <c r="A69" s="209" t="s">
        <v>946</v>
      </c>
      <c r="B69" s="126" t="s">
        <v>947</v>
      </c>
      <c r="C69" s="126" t="s">
        <v>948</v>
      </c>
      <c r="D69" s="18" t="s">
        <v>31</v>
      </c>
      <c r="E69" s="211" t="s">
        <v>63</v>
      </c>
      <c r="F69" s="19" t="s">
        <v>5</v>
      </c>
      <c r="G69" s="405" t="s">
        <v>194</v>
      </c>
      <c r="H69" s="212" t="s">
        <v>951</v>
      </c>
      <c r="I69" s="213"/>
      <c r="J69" s="215"/>
      <c r="K69" s="216"/>
      <c r="L69" s="216"/>
      <c r="M69" s="217" t="s">
        <v>87</v>
      </c>
      <c r="N69" s="216" t="s">
        <v>954</v>
      </c>
      <c r="O69" s="217" t="s">
        <v>89</v>
      </c>
      <c r="P69" s="218" t="s">
        <v>130</v>
      </c>
      <c r="Q69" s="219"/>
      <c r="R69" s="30"/>
      <c r="S69" s="231" t="s">
        <v>956</v>
      </c>
      <c r="T69" s="220" t="s">
        <v>957</v>
      </c>
      <c r="U69" s="43"/>
    </row>
    <row r="70" ht="26.25" customHeight="1">
      <c r="A70" s="412" t="s">
        <v>964</v>
      </c>
      <c r="B70" s="228" t="s">
        <v>967</v>
      </c>
      <c r="C70" s="229" t="s">
        <v>968</v>
      </c>
      <c r="D70" s="18" t="s">
        <v>31</v>
      </c>
      <c r="E70" s="18" t="s">
        <v>63</v>
      </c>
      <c r="F70" s="19" t="s">
        <v>5</v>
      </c>
      <c r="G70" s="145" t="s">
        <v>256</v>
      </c>
      <c r="H70" s="301">
        <v>9.488505516E9</v>
      </c>
      <c r="I70" s="415"/>
      <c r="J70" s="215"/>
      <c r="K70" s="216"/>
      <c r="L70" s="216"/>
      <c r="M70" s="416" t="s">
        <v>87</v>
      </c>
      <c r="N70" s="216" t="s">
        <v>972</v>
      </c>
      <c r="O70" s="416" t="s">
        <v>89</v>
      </c>
      <c r="P70" s="416" t="s">
        <v>130</v>
      </c>
      <c r="Q70" s="219"/>
      <c r="R70" s="30" t="s">
        <v>68</v>
      </c>
      <c r="S70" s="417" t="s">
        <v>973</v>
      </c>
      <c r="T70" s="220" t="s">
        <v>976</v>
      </c>
      <c r="U70" s="43"/>
    </row>
    <row r="71" ht="26.25" customHeight="1">
      <c r="A71" s="257" t="s">
        <v>978</v>
      </c>
      <c r="B71" s="270" t="s">
        <v>979</v>
      </c>
      <c r="C71" s="270" t="s">
        <v>980</v>
      </c>
      <c r="D71" s="18" t="s">
        <v>31</v>
      </c>
      <c r="E71" s="235" t="s">
        <v>425</v>
      </c>
      <c r="F71" s="128" t="s">
        <v>5</v>
      </c>
      <c r="G71" s="130"/>
      <c r="H71" s="130">
        <v>7.401252411E9</v>
      </c>
      <c r="I71" s="272"/>
      <c r="J71" s="418"/>
      <c r="K71" s="132"/>
      <c r="L71" s="132"/>
      <c r="M71" s="133" t="s">
        <v>87</v>
      </c>
      <c r="N71" s="132" t="s">
        <v>984</v>
      </c>
      <c r="O71" s="133" t="s">
        <v>89</v>
      </c>
      <c r="P71" s="133" t="s">
        <v>182</v>
      </c>
      <c r="Q71" s="241"/>
      <c r="R71" s="136" t="s">
        <v>68</v>
      </c>
      <c r="S71" s="255" t="s">
        <v>986</v>
      </c>
      <c r="T71" s="138" t="s">
        <v>988</v>
      </c>
      <c r="U71" s="140"/>
    </row>
    <row r="72" ht="26.25" customHeight="1">
      <c r="A72" s="45" t="s">
        <v>993</v>
      </c>
      <c r="B72" s="47"/>
      <c r="C72" s="47"/>
      <c r="D72" s="18" t="s">
        <v>31</v>
      </c>
      <c r="E72" s="18" t="s">
        <v>63</v>
      </c>
      <c r="F72" s="18" t="s">
        <v>5</v>
      </c>
      <c r="G72" s="160" t="s">
        <v>289</v>
      </c>
      <c r="H72" s="422">
        <v>9.75036657E9</v>
      </c>
      <c r="I72" s="164"/>
      <c r="J72" s="166"/>
      <c r="K72" s="168"/>
      <c r="L72" s="168"/>
      <c r="M72" s="169"/>
      <c r="N72" s="168"/>
      <c r="O72" s="169"/>
      <c r="P72" s="169"/>
      <c r="Q72" s="57"/>
      <c r="R72" s="18"/>
      <c r="S72" s="424" t="s">
        <v>1001</v>
      </c>
      <c r="T72" s="82" t="s">
        <v>1003</v>
      </c>
      <c r="U72" s="172"/>
    </row>
    <row r="73" ht="26.25" customHeight="1">
      <c r="A73" s="45" t="s">
        <v>1008</v>
      </c>
      <c r="B73" s="427" t="s">
        <v>1009</v>
      </c>
      <c r="C73" s="427" t="s">
        <v>1011</v>
      </c>
      <c r="D73" s="18" t="s">
        <v>31</v>
      </c>
      <c r="E73" s="65" t="s">
        <v>32</v>
      </c>
      <c r="F73" s="65" t="s">
        <v>5</v>
      </c>
      <c r="G73" s="48" t="s">
        <v>936</v>
      </c>
      <c r="H73" s="70">
        <v>9.150452331E9</v>
      </c>
      <c r="I73" s="184">
        <v>3.0</v>
      </c>
      <c r="J73" s="185"/>
      <c r="K73" s="53"/>
      <c r="L73" s="53"/>
      <c r="M73" s="78"/>
      <c r="N73" s="246"/>
      <c r="O73" s="78"/>
      <c r="P73" s="78"/>
      <c r="Q73" s="18" t="s">
        <v>91</v>
      </c>
      <c r="R73" s="18" t="s">
        <v>68</v>
      </c>
      <c r="S73" s="65" t="s">
        <v>178</v>
      </c>
      <c r="T73" s="434" t="s">
        <v>179</v>
      </c>
      <c r="U73" s="83">
        <v>300000.0</v>
      </c>
    </row>
    <row r="74" ht="26.25" customHeight="1">
      <c r="A74" s="84" t="s">
        <v>332</v>
      </c>
      <c r="B74" s="86" t="s">
        <v>334</v>
      </c>
      <c r="C74" s="86" t="s">
        <v>1023</v>
      </c>
      <c r="D74" s="18" t="s">
        <v>31</v>
      </c>
      <c r="E74" s="65" t="s">
        <v>32</v>
      </c>
      <c r="F74" s="91" t="s">
        <v>5</v>
      </c>
      <c r="G74" s="48" t="s">
        <v>936</v>
      </c>
      <c r="H74" s="102">
        <v>9.176435615E9</v>
      </c>
      <c r="I74" s="389" t="s">
        <v>1027</v>
      </c>
      <c r="J74" s="390"/>
      <c r="K74" s="90"/>
      <c r="L74" s="90">
        <v>1.0</v>
      </c>
      <c r="M74" s="89" t="s">
        <v>87</v>
      </c>
      <c r="N74" s="90" t="s">
        <v>1030</v>
      </c>
      <c r="O74" s="89" t="s">
        <v>89</v>
      </c>
      <c r="P74" s="89" t="s">
        <v>182</v>
      </c>
      <c r="Q74" s="87" t="s">
        <v>91</v>
      </c>
      <c r="R74" s="87" t="s">
        <v>68</v>
      </c>
      <c r="S74" s="87" t="s">
        <v>161</v>
      </c>
      <c r="T74" s="440" t="s">
        <v>162</v>
      </c>
      <c r="U74" s="110">
        <v>300000.0</v>
      </c>
    </row>
    <row r="75" ht="26.25" customHeight="1">
      <c r="A75" s="45" t="s">
        <v>851</v>
      </c>
      <c r="B75" s="65"/>
      <c r="C75" s="65"/>
      <c r="D75" s="18" t="s">
        <v>31</v>
      </c>
      <c r="E75" s="65" t="s">
        <v>32</v>
      </c>
      <c r="F75" s="18" t="s">
        <v>5</v>
      </c>
      <c r="G75" s="48" t="s">
        <v>1036</v>
      </c>
      <c r="H75" s="70">
        <v>8.883035691E9</v>
      </c>
      <c r="I75" s="184" t="s">
        <v>1038</v>
      </c>
      <c r="J75" s="185"/>
      <c r="K75" s="168" t="s">
        <v>147</v>
      </c>
      <c r="L75" s="53">
        <v>0.0</v>
      </c>
      <c r="M75" s="52" t="s">
        <v>165</v>
      </c>
      <c r="N75" s="53" t="s">
        <v>1039</v>
      </c>
      <c r="O75" s="52" t="s">
        <v>89</v>
      </c>
      <c r="P75" s="52" t="s">
        <v>182</v>
      </c>
      <c r="Q75" s="18" t="s">
        <v>91</v>
      </c>
      <c r="R75" s="57" t="s">
        <v>68</v>
      </c>
      <c r="S75" s="156" t="s">
        <v>80</v>
      </c>
      <c r="T75" s="82" t="s">
        <v>275</v>
      </c>
      <c r="U75" s="445">
        <v>200000.0</v>
      </c>
    </row>
    <row r="76" ht="26.25" customHeight="1">
      <c r="A76" s="45" t="s">
        <v>1042</v>
      </c>
      <c r="B76" s="47"/>
      <c r="C76" s="47"/>
      <c r="D76" s="18" t="s">
        <v>31</v>
      </c>
      <c r="E76" s="18" t="s">
        <v>63</v>
      </c>
      <c r="F76" s="18" t="s">
        <v>5</v>
      </c>
      <c r="G76" s="160" t="s">
        <v>289</v>
      </c>
      <c r="H76" s="446">
        <v>8.098927503E9</v>
      </c>
      <c r="I76" s="164"/>
      <c r="J76" s="166"/>
      <c r="K76" s="168"/>
      <c r="L76" s="168"/>
      <c r="M76" s="169"/>
      <c r="N76" s="168"/>
      <c r="O76" s="169"/>
      <c r="P76" s="169"/>
      <c r="Q76" s="57"/>
      <c r="R76" s="18"/>
      <c r="S76" s="424" t="s">
        <v>1046</v>
      </c>
      <c r="T76" s="62" t="s">
        <v>1047</v>
      </c>
      <c r="U76" s="172"/>
    </row>
    <row r="77" ht="26.25" customHeight="1">
      <c r="A77" s="84" t="s">
        <v>1049</v>
      </c>
      <c r="B77" s="84" t="s">
        <v>1051</v>
      </c>
      <c r="C77" s="84" t="s">
        <v>1051</v>
      </c>
      <c r="D77" s="91"/>
      <c r="E77" s="91"/>
      <c r="F77" s="19" t="s">
        <v>307</v>
      </c>
      <c r="G77" s="448"/>
      <c r="H77" s="448">
        <v>9.84066326E9</v>
      </c>
      <c r="I77" s="192"/>
      <c r="J77" s="449"/>
      <c r="K77" s="450"/>
      <c r="L77" s="450"/>
      <c r="M77" s="196" t="s">
        <v>1057</v>
      </c>
      <c r="N77" s="450" t="s">
        <v>1058</v>
      </c>
      <c r="O77" s="196" t="s">
        <v>1059</v>
      </c>
      <c r="P77" s="196" t="s">
        <v>1060</v>
      </c>
      <c r="Q77" s="402"/>
      <c r="R77" s="402"/>
      <c r="S77" s="402" t="s">
        <v>1063</v>
      </c>
      <c r="T77" s="87"/>
      <c r="U77" s="95"/>
    </row>
    <row r="78" ht="26.25" customHeight="1">
      <c r="A78" s="45" t="s">
        <v>581</v>
      </c>
      <c r="B78" s="65" t="s">
        <v>1064</v>
      </c>
      <c r="C78" s="65" t="s">
        <v>1066</v>
      </c>
      <c r="D78" s="18" t="s">
        <v>31</v>
      </c>
      <c r="E78" s="18" t="s">
        <v>63</v>
      </c>
      <c r="F78" s="451" t="s">
        <v>5</v>
      </c>
      <c r="G78" s="48" t="s">
        <v>1069</v>
      </c>
      <c r="H78" s="70">
        <v>7.845414195E9</v>
      </c>
      <c r="I78" s="174"/>
      <c r="J78" s="222"/>
      <c r="K78" s="223"/>
      <c r="L78" s="223"/>
      <c r="M78" s="52" t="s">
        <v>165</v>
      </c>
      <c r="N78" s="223" t="s">
        <v>1070</v>
      </c>
      <c r="O78" s="52" t="s">
        <v>89</v>
      </c>
      <c r="P78" s="52" t="s">
        <v>130</v>
      </c>
      <c r="Q78" s="65"/>
      <c r="R78" s="18" t="s">
        <v>68</v>
      </c>
      <c r="S78" s="427" t="s">
        <v>583</v>
      </c>
      <c r="T78" s="62" t="s">
        <v>1076</v>
      </c>
      <c r="U78" s="63"/>
    </row>
    <row r="79" ht="26.25" customHeight="1">
      <c r="A79" s="45" t="s">
        <v>303</v>
      </c>
      <c r="B79" s="65"/>
      <c r="C79" s="65"/>
      <c r="D79" s="18" t="s">
        <v>31</v>
      </c>
      <c r="E79" s="65" t="s">
        <v>32</v>
      </c>
      <c r="F79" s="18" t="s">
        <v>5</v>
      </c>
      <c r="G79" s="48" t="s">
        <v>1081</v>
      </c>
      <c r="H79" s="48">
        <v>8.1480911E9</v>
      </c>
      <c r="I79" s="184" t="s">
        <v>1082</v>
      </c>
      <c r="J79" s="185"/>
      <c r="K79" s="53" t="s">
        <v>164</v>
      </c>
      <c r="L79" s="53">
        <v>5.0</v>
      </c>
      <c r="M79" s="52" t="s">
        <v>165</v>
      </c>
      <c r="N79" s="53" t="s">
        <v>1086</v>
      </c>
      <c r="O79" s="52" t="s">
        <v>89</v>
      </c>
      <c r="P79" s="52" t="s">
        <v>130</v>
      </c>
      <c r="Q79" s="18" t="s">
        <v>91</v>
      </c>
      <c r="R79" s="18" t="s">
        <v>68</v>
      </c>
      <c r="S79" s="18" t="s">
        <v>304</v>
      </c>
      <c r="T79" s="62" t="s">
        <v>1091</v>
      </c>
      <c r="U79" s="83">
        <v>297000.0</v>
      </c>
    </row>
    <row r="80" ht="26.25" customHeight="1">
      <c r="A80" s="45" t="s">
        <v>678</v>
      </c>
      <c r="B80" s="65" t="s">
        <v>139</v>
      </c>
      <c r="C80" s="65" t="s">
        <v>1099</v>
      </c>
      <c r="D80" s="18" t="s">
        <v>31</v>
      </c>
      <c r="E80" s="18" t="s">
        <v>63</v>
      </c>
      <c r="F80" s="65" t="s">
        <v>5</v>
      </c>
      <c r="G80" s="48" t="s">
        <v>1101</v>
      </c>
      <c r="H80" s="70">
        <v>9.600407657E9</v>
      </c>
      <c r="I80" s="174"/>
      <c r="J80" s="185"/>
      <c r="K80" s="53"/>
      <c r="L80" s="53"/>
      <c r="M80" s="52" t="s">
        <v>128</v>
      </c>
      <c r="N80" s="53" t="s">
        <v>1104</v>
      </c>
      <c r="O80" s="18" t="s">
        <v>89</v>
      </c>
      <c r="P80" s="52" t="s">
        <v>130</v>
      </c>
      <c r="Q80" s="65"/>
      <c r="R80" s="18" t="s">
        <v>68</v>
      </c>
      <c r="S80" s="65" t="s">
        <v>135</v>
      </c>
      <c r="T80" s="62" t="s">
        <v>1108</v>
      </c>
      <c r="U80" s="63"/>
    </row>
    <row r="81" ht="26.25" customHeight="1">
      <c r="A81" s="84" t="s">
        <v>1118</v>
      </c>
      <c r="B81" s="86" t="s">
        <v>309</v>
      </c>
      <c r="C81" s="86" t="s">
        <v>1120</v>
      </c>
      <c r="D81" s="18" t="s">
        <v>31</v>
      </c>
      <c r="E81" s="65" t="s">
        <v>32</v>
      </c>
      <c r="F81" s="91" t="s">
        <v>5</v>
      </c>
      <c r="G81" s="48" t="s">
        <v>1081</v>
      </c>
      <c r="H81" s="102">
        <v>7.30549974E9</v>
      </c>
      <c r="I81" s="389" t="s">
        <v>1123</v>
      </c>
      <c r="J81" s="390" t="s">
        <v>164</v>
      </c>
      <c r="K81" s="90" t="s">
        <v>408</v>
      </c>
      <c r="L81" s="90">
        <v>0.0</v>
      </c>
      <c r="M81" s="89" t="s">
        <v>87</v>
      </c>
      <c r="N81" s="90" t="s">
        <v>1127</v>
      </c>
      <c r="O81" s="87" t="s">
        <v>89</v>
      </c>
      <c r="P81" s="89" t="s">
        <v>90</v>
      </c>
      <c r="Q81" s="87" t="s">
        <v>91</v>
      </c>
      <c r="R81" s="87" t="s">
        <v>68</v>
      </c>
      <c r="S81" s="91" t="s">
        <v>108</v>
      </c>
      <c r="T81" s="106" t="s">
        <v>111</v>
      </c>
      <c r="U81" s="110">
        <v>300000.0</v>
      </c>
    </row>
    <row r="82" ht="26.25" customHeight="1">
      <c r="A82" s="45" t="s">
        <v>745</v>
      </c>
      <c r="B82" s="65" t="s">
        <v>1135</v>
      </c>
      <c r="C82" s="65" t="s">
        <v>1137</v>
      </c>
      <c r="D82" s="18" t="s">
        <v>31</v>
      </c>
      <c r="E82" s="18" t="s">
        <v>63</v>
      </c>
      <c r="F82" s="65" t="s">
        <v>5</v>
      </c>
      <c r="G82" s="48" t="s">
        <v>936</v>
      </c>
      <c r="H82" s="70">
        <v>6.381784015E9</v>
      </c>
      <c r="I82" s="174"/>
      <c r="J82" s="185"/>
      <c r="K82" s="53"/>
      <c r="L82" s="53"/>
      <c r="M82" s="52" t="s">
        <v>87</v>
      </c>
      <c r="N82" s="53" t="s">
        <v>1142</v>
      </c>
      <c r="O82" s="52" t="s">
        <v>89</v>
      </c>
      <c r="P82" s="52" t="s">
        <v>130</v>
      </c>
      <c r="Q82" s="65"/>
      <c r="R82" s="18" t="s">
        <v>125</v>
      </c>
      <c r="S82" s="65" t="s">
        <v>345</v>
      </c>
      <c r="T82" s="479" t="s">
        <v>1145</v>
      </c>
      <c r="U82" s="63"/>
    </row>
    <row r="83" ht="26.25" customHeight="1">
      <c r="A83" s="257" t="s">
        <v>1150</v>
      </c>
      <c r="B83" s="235" t="s">
        <v>1153</v>
      </c>
      <c r="C83" s="235" t="s">
        <v>1154</v>
      </c>
      <c r="D83" s="18" t="s">
        <v>31</v>
      </c>
      <c r="E83" s="235" t="s">
        <v>366</v>
      </c>
      <c r="F83" s="128" t="s">
        <v>5</v>
      </c>
      <c r="G83" s="130" t="s">
        <v>466</v>
      </c>
      <c r="H83" s="130">
        <v>8.220316694E9</v>
      </c>
      <c r="I83" s="238"/>
      <c r="J83" s="253"/>
      <c r="K83" s="254"/>
      <c r="L83" s="254"/>
      <c r="M83" s="133" t="s">
        <v>128</v>
      </c>
      <c r="N83" s="254" t="s">
        <v>1160</v>
      </c>
      <c r="O83" s="133" t="s">
        <v>89</v>
      </c>
      <c r="P83" s="133" t="s">
        <v>1161</v>
      </c>
      <c r="Q83" s="241"/>
      <c r="R83" s="135" t="s">
        <v>68</v>
      </c>
      <c r="S83" s="255" t="s">
        <v>1157</v>
      </c>
      <c r="T83" s="138" t="s">
        <v>1163</v>
      </c>
      <c r="U83" s="140"/>
    </row>
    <row r="84" ht="26.25" customHeight="1">
      <c r="A84" s="483" t="s">
        <v>1169</v>
      </c>
      <c r="B84" s="483" t="s">
        <v>1172</v>
      </c>
      <c r="C84" s="483" t="s">
        <v>1173</v>
      </c>
      <c r="D84" s="18" t="s">
        <v>31</v>
      </c>
      <c r="E84" s="235" t="s">
        <v>425</v>
      </c>
      <c r="F84" s="128" t="s">
        <v>5</v>
      </c>
      <c r="G84" s="484"/>
      <c r="H84" s="484">
        <v>6.380541322E9</v>
      </c>
      <c r="I84" s="272"/>
      <c r="J84" s="485"/>
      <c r="K84" s="485"/>
      <c r="L84" s="485"/>
      <c r="M84" s="131" t="s">
        <v>87</v>
      </c>
      <c r="N84" s="485" t="s">
        <v>1179</v>
      </c>
      <c r="O84" s="131" t="s">
        <v>106</v>
      </c>
      <c r="P84" s="131" t="s">
        <v>130</v>
      </c>
      <c r="Q84" s="486"/>
      <c r="R84" s="235" t="s">
        <v>68</v>
      </c>
      <c r="S84" s="486" t="s">
        <v>939</v>
      </c>
      <c r="T84" s="128"/>
      <c r="U84" s="487"/>
    </row>
    <row r="85" ht="26.25" customHeight="1">
      <c r="A85" s="173" t="s">
        <v>1183</v>
      </c>
      <c r="B85" s="65" t="s">
        <v>164</v>
      </c>
      <c r="C85" s="65"/>
      <c r="D85" s="18" t="s">
        <v>31</v>
      </c>
      <c r="E85" s="488" t="s">
        <v>1186</v>
      </c>
      <c r="F85" s="18" t="s">
        <v>5</v>
      </c>
      <c r="G85" s="48" t="s">
        <v>1187</v>
      </c>
      <c r="H85" s="70">
        <v>6.374960838E9</v>
      </c>
      <c r="I85" s="174"/>
      <c r="J85" s="175"/>
      <c r="K85" s="177"/>
      <c r="L85" s="177"/>
      <c r="M85" s="78"/>
      <c r="N85" s="177"/>
      <c r="O85" s="78"/>
      <c r="P85" s="78"/>
      <c r="Q85" s="65"/>
      <c r="R85" s="18" t="s">
        <v>125</v>
      </c>
      <c r="S85" s="65" t="s">
        <v>1193</v>
      </c>
      <c r="T85" s="18"/>
      <c r="U85" s="63"/>
    </row>
    <row r="86" ht="26.25" customHeight="1">
      <c r="A86" s="84" t="s">
        <v>817</v>
      </c>
      <c r="B86" s="86" t="s">
        <v>1196</v>
      </c>
      <c r="C86" s="86" t="s">
        <v>1197</v>
      </c>
      <c r="D86" s="18" t="s">
        <v>31</v>
      </c>
      <c r="E86" s="65" t="s">
        <v>32</v>
      </c>
      <c r="F86" s="91" t="s">
        <v>5</v>
      </c>
      <c r="G86" s="88" t="s">
        <v>64</v>
      </c>
      <c r="H86" s="102">
        <v>7.708365986E9</v>
      </c>
      <c r="I86" s="389" t="s">
        <v>1199</v>
      </c>
      <c r="J86" s="390" t="s">
        <v>1201</v>
      </c>
      <c r="K86" s="90" t="s">
        <v>164</v>
      </c>
      <c r="L86" s="90">
        <v>1.0</v>
      </c>
      <c r="M86" s="89" t="s">
        <v>87</v>
      </c>
      <c r="N86" s="90" t="s">
        <v>1203</v>
      </c>
      <c r="O86" s="87" t="s">
        <v>89</v>
      </c>
      <c r="P86" s="89" t="s">
        <v>90</v>
      </c>
      <c r="Q86" s="87" t="s">
        <v>91</v>
      </c>
      <c r="R86" s="87" t="s">
        <v>68</v>
      </c>
      <c r="S86" s="91" t="s">
        <v>126</v>
      </c>
      <c r="T86" s="106" t="s">
        <v>127</v>
      </c>
      <c r="U86" s="110">
        <v>300000.0</v>
      </c>
    </row>
    <row r="87" ht="26.25" customHeight="1">
      <c r="A87" s="45" t="s">
        <v>171</v>
      </c>
      <c r="B87" s="65" t="s">
        <v>175</v>
      </c>
      <c r="C87" s="65" t="s">
        <v>1212</v>
      </c>
      <c r="D87" s="18" t="s">
        <v>31</v>
      </c>
      <c r="E87" s="18" t="s">
        <v>366</v>
      </c>
      <c r="F87" s="65" t="s">
        <v>5</v>
      </c>
      <c r="G87" s="48" t="s">
        <v>64</v>
      </c>
      <c r="H87" s="70">
        <v>9.384233122E9</v>
      </c>
      <c r="I87" s="174"/>
      <c r="J87" s="185"/>
      <c r="K87" s="53"/>
      <c r="L87" s="53"/>
      <c r="M87" s="78" t="s">
        <v>165</v>
      </c>
      <c r="N87" s="53" t="s">
        <v>1219</v>
      </c>
      <c r="O87" s="52" t="s">
        <v>106</v>
      </c>
      <c r="P87" s="52" t="s">
        <v>130</v>
      </c>
      <c r="Q87" s="65"/>
      <c r="R87" s="18" t="s">
        <v>68</v>
      </c>
      <c r="S87" s="65" t="s">
        <v>696</v>
      </c>
      <c r="T87" s="62" t="s">
        <v>1221</v>
      </c>
      <c r="U87" s="63"/>
    </row>
    <row r="88" ht="26.25" customHeight="1">
      <c r="A88" s="84" t="s">
        <v>653</v>
      </c>
      <c r="B88" s="86" t="s">
        <v>1227</v>
      </c>
      <c r="C88" s="86" t="s">
        <v>1228</v>
      </c>
      <c r="D88" s="18" t="s">
        <v>31</v>
      </c>
      <c r="E88" s="18" t="s">
        <v>63</v>
      </c>
      <c r="F88" s="91" t="s">
        <v>5</v>
      </c>
      <c r="G88" s="48" t="s">
        <v>1081</v>
      </c>
      <c r="H88" s="102">
        <v>9.361054415E9</v>
      </c>
      <c r="I88" s="389"/>
      <c r="J88" s="390"/>
      <c r="K88" s="90"/>
      <c r="L88" s="90"/>
      <c r="M88" s="444" t="s">
        <v>165</v>
      </c>
      <c r="N88" s="90" t="s">
        <v>1232</v>
      </c>
      <c r="O88" s="87" t="s">
        <v>89</v>
      </c>
      <c r="P88" s="89" t="s">
        <v>90</v>
      </c>
      <c r="Q88" s="91"/>
      <c r="R88" s="87" t="s">
        <v>68</v>
      </c>
      <c r="S88" s="91" t="s">
        <v>405</v>
      </c>
      <c r="T88" s="106" t="s">
        <v>1236</v>
      </c>
      <c r="U88" s="95"/>
    </row>
    <row r="89" ht="26.25" customHeight="1">
      <c r="A89" s="84" t="s">
        <v>728</v>
      </c>
      <c r="B89" s="86" t="s">
        <v>1242</v>
      </c>
      <c r="C89" s="86" t="s">
        <v>1244</v>
      </c>
      <c r="D89" s="18" t="s">
        <v>31</v>
      </c>
      <c r="E89" s="65" t="s">
        <v>32</v>
      </c>
      <c r="F89" s="87" t="s">
        <v>5</v>
      </c>
      <c r="G89" s="48" t="s">
        <v>64</v>
      </c>
      <c r="H89" s="102">
        <v>9.789962388E9</v>
      </c>
      <c r="I89" s="389" t="s">
        <v>1245</v>
      </c>
      <c r="J89" s="390"/>
      <c r="K89" s="90" t="s">
        <v>1247</v>
      </c>
      <c r="L89" s="90">
        <v>1.0</v>
      </c>
      <c r="M89" s="89" t="s">
        <v>87</v>
      </c>
      <c r="N89" s="90" t="s">
        <v>1248</v>
      </c>
      <c r="O89" s="89" t="s">
        <v>106</v>
      </c>
      <c r="P89" s="89" t="s">
        <v>130</v>
      </c>
      <c r="Q89" s="87" t="s">
        <v>91</v>
      </c>
      <c r="R89" s="87" t="s">
        <v>68</v>
      </c>
      <c r="S89" s="91" t="s">
        <v>729</v>
      </c>
      <c r="T89" s="440" t="s">
        <v>1250</v>
      </c>
      <c r="U89" s="110">
        <v>300000.0</v>
      </c>
    </row>
    <row r="90" ht="26.25" customHeight="1">
      <c r="A90" s="153" t="s">
        <v>1071</v>
      </c>
      <c r="B90" s="270" t="s">
        <v>1255</v>
      </c>
      <c r="C90" s="270" t="s">
        <v>1256</v>
      </c>
      <c r="D90" s="18" t="s">
        <v>31</v>
      </c>
      <c r="E90" s="235" t="s">
        <v>425</v>
      </c>
      <c r="F90" s="128" t="s">
        <v>5</v>
      </c>
      <c r="G90" s="154"/>
      <c r="H90" s="154">
        <v>9.361455523E9</v>
      </c>
      <c r="I90" s="272"/>
      <c r="J90" s="485"/>
      <c r="K90" s="485"/>
      <c r="L90" s="485"/>
      <c r="M90" s="131" t="s">
        <v>87</v>
      </c>
      <c r="N90" s="485" t="s">
        <v>1258</v>
      </c>
      <c r="O90" s="131" t="s">
        <v>89</v>
      </c>
      <c r="P90" s="133" t="s">
        <v>1161</v>
      </c>
      <c r="Q90" s="128"/>
      <c r="R90" s="136" t="s">
        <v>68</v>
      </c>
      <c r="S90" s="255" t="s">
        <v>1073</v>
      </c>
      <c r="T90" s="138" t="s">
        <v>1261</v>
      </c>
      <c r="U90" s="140"/>
    </row>
    <row r="91" ht="26.25" customHeight="1">
      <c r="A91" s="342" t="s">
        <v>911</v>
      </c>
      <c r="B91" s="124" t="s">
        <v>1266</v>
      </c>
      <c r="C91" s="124" t="s">
        <v>1267</v>
      </c>
      <c r="D91" s="18" t="s">
        <v>31</v>
      </c>
      <c r="E91" s="65" t="s">
        <v>32</v>
      </c>
      <c r="F91" s="211" t="s">
        <v>5</v>
      </c>
      <c r="G91" s="509" t="s">
        <v>1271</v>
      </c>
      <c r="H91" s="511">
        <v>6.36976699E9</v>
      </c>
      <c r="I91" s="512"/>
      <c r="J91" s="376"/>
      <c r="K91" s="378"/>
      <c r="L91" s="378"/>
      <c r="M91" s="380" t="s">
        <v>128</v>
      </c>
      <c r="N91" s="378" t="s">
        <v>1276</v>
      </c>
      <c r="O91" s="381" t="s">
        <v>89</v>
      </c>
      <c r="P91" s="381"/>
      <c r="Q91" s="211" t="s">
        <v>37</v>
      </c>
      <c r="R91" s="514" t="s">
        <v>68</v>
      </c>
      <c r="S91" s="515" t="s">
        <v>912</v>
      </c>
      <c r="T91" s="516" t="s">
        <v>1277</v>
      </c>
      <c r="U91" s="517"/>
    </row>
    <row r="92" ht="26.25" customHeight="1">
      <c r="A92" s="173" t="s">
        <v>1283</v>
      </c>
      <c r="B92" s="65" t="s">
        <v>1285</v>
      </c>
      <c r="C92" s="65" t="s">
        <v>1286</v>
      </c>
      <c r="D92" s="65"/>
      <c r="E92" s="65"/>
      <c r="F92" s="19" t="s">
        <v>307</v>
      </c>
      <c r="G92" s="70"/>
      <c r="H92" s="70">
        <v>8.90312653E9</v>
      </c>
      <c r="I92" s="174"/>
      <c r="J92" s="185"/>
      <c r="K92" s="53"/>
      <c r="L92" s="53"/>
      <c r="M92" s="52" t="s">
        <v>87</v>
      </c>
      <c r="N92" s="53" t="s">
        <v>1289</v>
      </c>
      <c r="O92" s="52" t="s">
        <v>106</v>
      </c>
      <c r="P92" s="52" t="s">
        <v>1290</v>
      </c>
      <c r="Q92" s="65"/>
      <c r="R92" s="65"/>
      <c r="S92" s="65" t="s">
        <v>1293</v>
      </c>
      <c r="T92" s="57"/>
      <c r="U92" s="63"/>
    </row>
    <row r="93" ht="26.25" customHeight="1">
      <c r="A93" s="209" t="s">
        <v>917</v>
      </c>
      <c r="B93" s="228" t="s">
        <v>1296</v>
      </c>
      <c r="C93" s="229" t="s">
        <v>1297</v>
      </c>
      <c r="D93" s="18" t="s">
        <v>31</v>
      </c>
      <c r="E93" s="18" t="s">
        <v>366</v>
      </c>
      <c r="F93" s="19" t="s">
        <v>5</v>
      </c>
      <c r="G93" s="112" t="s">
        <v>194</v>
      </c>
      <c r="H93" s="212">
        <v>8.939724423E9</v>
      </c>
      <c r="I93" s="213"/>
      <c r="J93" s="215"/>
      <c r="K93" s="216"/>
      <c r="L93" s="216"/>
      <c r="M93" s="217" t="s">
        <v>87</v>
      </c>
      <c r="N93" s="216" t="s">
        <v>1301</v>
      </c>
      <c r="O93" s="217" t="s">
        <v>89</v>
      </c>
      <c r="P93" s="217" t="s">
        <v>90</v>
      </c>
      <c r="Q93" s="219"/>
      <c r="R93" s="30" t="s">
        <v>68</v>
      </c>
      <c r="S93" s="231" t="s">
        <v>919</v>
      </c>
      <c r="T93" s="220" t="s">
        <v>1302</v>
      </c>
      <c r="U93" s="43"/>
    </row>
    <row r="94" ht="26.25" customHeight="1">
      <c r="A94" s="84" t="s">
        <v>932</v>
      </c>
      <c r="B94" s="84" t="s">
        <v>1307</v>
      </c>
      <c r="C94" s="84" t="s">
        <v>1308</v>
      </c>
      <c r="D94" s="18" t="s">
        <v>31</v>
      </c>
      <c r="E94" s="65" t="s">
        <v>32</v>
      </c>
      <c r="F94" s="87" t="s">
        <v>5</v>
      </c>
      <c r="G94" s="509" t="s">
        <v>1271</v>
      </c>
      <c r="H94" s="448">
        <v>6.364057474E9</v>
      </c>
      <c r="I94" s="389"/>
      <c r="J94" s="390"/>
      <c r="K94" s="90"/>
      <c r="L94" s="90"/>
      <c r="M94" s="521" t="s">
        <v>87</v>
      </c>
      <c r="N94" s="90" t="s">
        <v>1312</v>
      </c>
      <c r="O94" s="521" t="s">
        <v>89</v>
      </c>
      <c r="P94" s="521" t="s">
        <v>130</v>
      </c>
      <c r="Q94" s="402" t="s">
        <v>37</v>
      </c>
      <c r="R94" s="402" t="s">
        <v>68</v>
      </c>
      <c r="S94" s="523" t="s">
        <v>905</v>
      </c>
      <c r="T94" s="106" t="s">
        <v>1313</v>
      </c>
      <c r="U94" s="95"/>
    </row>
    <row r="95" ht="26.25" customHeight="1">
      <c r="A95" s="209" t="s">
        <v>1017</v>
      </c>
      <c r="B95" s="228" t="s">
        <v>1315</v>
      </c>
      <c r="C95" s="229" t="s">
        <v>1316</v>
      </c>
      <c r="D95" s="18" t="s">
        <v>31</v>
      </c>
      <c r="E95" s="65" t="s">
        <v>32</v>
      </c>
      <c r="F95" s="19" t="s">
        <v>5</v>
      </c>
      <c r="G95" s="535" t="s">
        <v>1271</v>
      </c>
      <c r="H95" s="212">
        <v>8.610004262E9</v>
      </c>
      <c r="I95" s="213"/>
      <c r="J95" s="185"/>
      <c r="K95" s="53"/>
      <c r="L95" s="53"/>
      <c r="M95" s="52" t="s">
        <v>165</v>
      </c>
      <c r="N95" s="53" t="s">
        <v>1318</v>
      </c>
      <c r="O95" s="218" t="s">
        <v>106</v>
      </c>
      <c r="P95" s="218" t="s">
        <v>130</v>
      </c>
      <c r="Q95" s="19" t="s">
        <v>37</v>
      </c>
      <c r="R95" s="30" t="s">
        <v>68</v>
      </c>
      <c r="S95" s="231" t="s">
        <v>1018</v>
      </c>
      <c r="T95" s="220" t="s">
        <v>1321</v>
      </c>
      <c r="U95" s="43"/>
    </row>
    <row r="96" ht="26.25" customHeight="1">
      <c r="A96" s="45" t="s">
        <v>996</v>
      </c>
      <c r="B96" s="18" t="s">
        <v>1323</v>
      </c>
      <c r="C96" s="18" t="s">
        <v>1324</v>
      </c>
      <c r="D96" s="18" t="s">
        <v>31</v>
      </c>
      <c r="E96" s="65" t="s">
        <v>32</v>
      </c>
      <c r="F96" s="18" t="s">
        <v>5</v>
      </c>
      <c r="G96" s="509" t="s">
        <v>1271</v>
      </c>
      <c r="H96" s="48">
        <v>8.270345463E9</v>
      </c>
      <c r="I96" s="184"/>
      <c r="J96" s="185"/>
      <c r="K96" s="53"/>
      <c r="L96" s="53"/>
      <c r="M96" s="52" t="s">
        <v>165</v>
      </c>
      <c r="N96" s="53" t="s">
        <v>1325</v>
      </c>
      <c r="O96" s="52" t="s">
        <v>89</v>
      </c>
      <c r="P96" s="52" t="s">
        <v>182</v>
      </c>
      <c r="Q96" s="57" t="s">
        <v>37</v>
      </c>
      <c r="R96" s="549" t="s">
        <v>68</v>
      </c>
      <c r="S96" s="550" t="s">
        <v>997</v>
      </c>
      <c r="T96" s="62" t="s">
        <v>1326</v>
      </c>
      <c r="U96" s="63"/>
    </row>
    <row r="97" ht="26.25" customHeight="1">
      <c r="A97" s="483" t="s">
        <v>1000</v>
      </c>
      <c r="B97" s="483" t="s">
        <v>1328</v>
      </c>
      <c r="C97" s="483" t="s">
        <v>1329</v>
      </c>
      <c r="D97" s="18" t="s">
        <v>31</v>
      </c>
      <c r="E97" s="235" t="s">
        <v>425</v>
      </c>
      <c r="F97" s="128" t="s">
        <v>5</v>
      </c>
      <c r="G97" s="553"/>
      <c r="H97" s="553">
        <v>7.305714848E9</v>
      </c>
      <c r="I97" s="272"/>
      <c r="J97" s="554"/>
      <c r="K97" s="555"/>
      <c r="L97" s="555"/>
      <c r="M97" s="556" t="s">
        <v>87</v>
      </c>
      <c r="N97" s="555" t="s">
        <v>1331</v>
      </c>
      <c r="O97" s="556" t="s">
        <v>1059</v>
      </c>
      <c r="P97" s="556" t="s">
        <v>1332</v>
      </c>
      <c r="Q97" s="235"/>
      <c r="R97" s="235" t="s">
        <v>68</v>
      </c>
      <c r="S97" s="558" t="s">
        <v>1002</v>
      </c>
      <c r="T97" s="138" t="s">
        <v>1333</v>
      </c>
      <c r="U97" s="487"/>
    </row>
    <row r="98" ht="26.25" customHeight="1">
      <c r="A98" s="173" t="s">
        <v>1334</v>
      </c>
      <c r="B98" s="65" t="s">
        <v>164</v>
      </c>
      <c r="C98" s="65"/>
      <c r="D98" s="562"/>
      <c r="E98" s="562"/>
      <c r="F98" s="19" t="s">
        <v>307</v>
      </c>
      <c r="G98" s="70"/>
      <c r="H98" s="70">
        <v>7.84521017E9</v>
      </c>
      <c r="I98" s="174"/>
      <c r="J98" s="175"/>
      <c r="K98" s="177"/>
      <c r="L98" s="177"/>
      <c r="M98" s="78"/>
      <c r="N98" s="177"/>
      <c r="O98" s="78"/>
      <c r="P98" s="78"/>
      <c r="Q98" s="65"/>
      <c r="R98" s="65"/>
      <c r="S98" s="65" t="s">
        <v>1336</v>
      </c>
      <c r="T98" s="18"/>
      <c r="U98" s="63"/>
    </row>
    <row r="99" ht="26.25" customHeight="1">
      <c r="A99" s="45" t="s">
        <v>720</v>
      </c>
      <c r="B99" s="427" t="s">
        <v>1337</v>
      </c>
      <c r="C99" s="427" t="s">
        <v>1338</v>
      </c>
      <c r="D99" s="18" t="s">
        <v>31</v>
      </c>
      <c r="E99" s="18" t="s">
        <v>63</v>
      </c>
      <c r="F99" s="65" t="s">
        <v>5</v>
      </c>
      <c r="G99" s="48" t="s">
        <v>100</v>
      </c>
      <c r="H99" s="70">
        <v>7.200326094E9</v>
      </c>
      <c r="I99" s="174"/>
      <c r="J99" s="564"/>
      <c r="K99" s="565"/>
      <c r="L99" s="565"/>
      <c r="M99" s="78"/>
      <c r="N99" s="565"/>
      <c r="O99" s="78"/>
      <c r="P99" s="78"/>
      <c r="Q99" s="65"/>
      <c r="R99" s="18" t="s">
        <v>68</v>
      </c>
      <c r="S99" s="65" t="s">
        <v>621</v>
      </c>
      <c r="T99" s="479" t="s">
        <v>1339</v>
      </c>
      <c r="U99" s="63"/>
    </row>
    <row r="100" ht="26.25" customHeight="1">
      <c r="A100" s="45" t="s">
        <v>1341</v>
      </c>
      <c r="B100" s="47"/>
      <c r="C100" s="47"/>
      <c r="D100" s="18" t="s">
        <v>31</v>
      </c>
      <c r="E100" s="65" t="s">
        <v>32</v>
      </c>
      <c r="F100" s="18" t="s">
        <v>5</v>
      </c>
      <c r="G100" s="48" t="s">
        <v>123</v>
      </c>
      <c r="H100" s="48">
        <v>7.092922565E9</v>
      </c>
      <c r="I100" s="184" t="s">
        <v>433</v>
      </c>
      <c r="J100" s="185"/>
      <c r="K100" s="53" t="s">
        <v>164</v>
      </c>
      <c r="L100" s="53">
        <v>0.0</v>
      </c>
      <c r="M100" s="52"/>
      <c r="N100" s="53"/>
      <c r="O100" s="52"/>
      <c r="P100" s="52"/>
      <c r="Q100" s="402" t="s">
        <v>91</v>
      </c>
      <c r="R100" s="57" t="s">
        <v>68</v>
      </c>
      <c r="S100" s="57" t="s">
        <v>1149</v>
      </c>
      <c r="T100" s="62" t="s">
        <v>1342</v>
      </c>
      <c r="U100" s="83">
        <v>300000.0</v>
      </c>
    </row>
    <row r="101" ht="26.25" customHeight="1">
      <c r="A101" s="84" t="s">
        <v>756</v>
      </c>
      <c r="B101" s="86" t="s">
        <v>759</v>
      </c>
      <c r="C101" s="86" t="s">
        <v>1343</v>
      </c>
      <c r="D101" s="18" t="s">
        <v>31</v>
      </c>
      <c r="E101" s="65" t="s">
        <v>32</v>
      </c>
      <c r="F101" s="87" t="s">
        <v>5</v>
      </c>
      <c r="G101" s="88" t="s">
        <v>123</v>
      </c>
      <c r="H101" s="102">
        <v>6.382725434E9</v>
      </c>
      <c r="I101" s="389" t="s">
        <v>1345</v>
      </c>
      <c r="J101" s="390" t="s">
        <v>1346</v>
      </c>
      <c r="K101" s="90" t="s">
        <v>1347</v>
      </c>
      <c r="L101" s="90">
        <v>1.0</v>
      </c>
      <c r="M101" s="89" t="s">
        <v>87</v>
      </c>
      <c r="N101" s="90" t="s">
        <v>1348</v>
      </c>
      <c r="O101" s="89" t="s">
        <v>89</v>
      </c>
      <c r="P101" s="89" t="s">
        <v>182</v>
      </c>
      <c r="Q101" s="87" t="s">
        <v>91</v>
      </c>
      <c r="R101" s="87" t="s">
        <v>68</v>
      </c>
      <c r="S101" s="87" t="s">
        <v>754</v>
      </c>
      <c r="T101" s="109" t="s">
        <v>1349</v>
      </c>
      <c r="U101" s="110"/>
    </row>
    <row r="102" ht="26.25" customHeight="1">
      <c r="A102" s="173" t="s">
        <v>1350</v>
      </c>
      <c r="B102" s="47"/>
      <c r="C102" s="47"/>
      <c r="D102" s="65"/>
      <c r="E102" s="65"/>
      <c r="F102" s="19" t="s">
        <v>307</v>
      </c>
      <c r="G102" s="572"/>
      <c r="H102" s="572">
        <v>9.89441186E9</v>
      </c>
      <c r="I102" s="573"/>
      <c r="J102" s="574"/>
      <c r="K102" s="575"/>
      <c r="L102" s="575"/>
      <c r="M102" s="576"/>
      <c r="N102" s="575"/>
      <c r="O102" s="576"/>
      <c r="P102" s="576"/>
      <c r="Q102" s="57"/>
      <c r="R102" s="57"/>
      <c r="S102" s="577" t="s">
        <v>1207</v>
      </c>
      <c r="T102" s="18"/>
      <c r="U102" s="63"/>
    </row>
    <row r="103" ht="26.25" customHeight="1">
      <c r="A103" s="45" t="s">
        <v>279</v>
      </c>
      <c r="B103" s="65" t="s">
        <v>282</v>
      </c>
      <c r="C103" s="65" t="s">
        <v>1351</v>
      </c>
      <c r="D103" s="18" t="s">
        <v>31</v>
      </c>
      <c r="E103" s="18" t="s">
        <v>63</v>
      </c>
      <c r="F103" s="65" t="s">
        <v>5</v>
      </c>
      <c r="G103" s="48" t="s">
        <v>64</v>
      </c>
      <c r="H103" s="70">
        <v>7.200939492E9</v>
      </c>
      <c r="I103" s="174"/>
      <c r="J103" s="185"/>
      <c r="K103" s="53"/>
      <c r="L103" s="53"/>
      <c r="M103" s="52" t="s">
        <v>87</v>
      </c>
      <c r="N103" s="53" t="s">
        <v>1353</v>
      </c>
      <c r="O103" s="18" t="s">
        <v>89</v>
      </c>
      <c r="P103" s="52" t="s">
        <v>130</v>
      </c>
      <c r="Q103" s="18"/>
      <c r="R103" s="18" t="s">
        <v>68</v>
      </c>
      <c r="S103" s="18" t="s">
        <v>163</v>
      </c>
      <c r="T103" s="62" t="s">
        <v>1354</v>
      </c>
      <c r="U103" s="63"/>
    </row>
    <row r="104" ht="26.25" customHeight="1">
      <c r="A104" s="45" t="s">
        <v>1356</v>
      </c>
      <c r="B104" s="65" t="s">
        <v>296</v>
      </c>
      <c r="C104" s="65" t="s">
        <v>1357</v>
      </c>
      <c r="D104" s="18" t="s">
        <v>31</v>
      </c>
      <c r="E104" s="18" t="s">
        <v>63</v>
      </c>
      <c r="F104" s="65" t="s">
        <v>5</v>
      </c>
      <c r="G104" s="48" t="s">
        <v>1187</v>
      </c>
      <c r="H104" s="70">
        <v>9.042871766E9</v>
      </c>
      <c r="I104" s="174"/>
      <c r="J104" s="222"/>
      <c r="K104" s="223"/>
      <c r="L104" s="223"/>
      <c r="M104" s="52" t="s">
        <v>128</v>
      </c>
      <c r="N104" s="223" t="s">
        <v>1358</v>
      </c>
      <c r="O104" s="52" t="s">
        <v>89</v>
      </c>
      <c r="P104" s="52" t="s">
        <v>130</v>
      </c>
      <c r="Q104" s="65"/>
      <c r="R104" s="18" t="s">
        <v>68</v>
      </c>
      <c r="S104" s="427" t="s">
        <v>293</v>
      </c>
      <c r="T104" s="62" t="s">
        <v>1360</v>
      </c>
      <c r="U104" s="63"/>
    </row>
    <row r="105" ht="26.25" customHeight="1">
      <c r="A105" s="45" t="s">
        <v>592</v>
      </c>
      <c r="B105" s="65" t="s">
        <v>1361</v>
      </c>
      <c r="C105" s="65" t="s">
        <v>1362</v>
      </c>
      <c r="D105" s="18" t="s">
        <v>31</v>
      </c>
      <c r="E105" s="18" t="s">
        <v>63</v>
      </c>
      <c r="F105" s="65" t="s">
        <v>5</v>
      </c>
      <c r="G105" s="48" t="s">
        <v>1363</v>
      </c>
      <c r="H105" s="578">
        <v>9.790339415E9</v>
      </c>
      <c r="I105" s="174"/>
      <c r="J105" s="579"/>
      <c r="K105" s="580"/>
      <c r="L105" s="580"/>
      <c r="M105" s="78" t="s">
        <v>165</v>
      </c>
      <c r="N105" s="580" t="s">
        <v>1365</v>
      </c>
      <c r="O105" s="52" t="s">
        <v>106</v>
      </c>
      <c r="P105" s="52" t="s">
        <v>90</v>
      </c>
      <c r="Q105" s="65"/>
      <c r="R105" s="18" t="s">
        <v>68</v>
      </c>
      <c r="S105" s="427" t="s">
        <v>594</v>
      </c>
      <c r="T105" s="62" t="s">
        <v>1366</v>
      </c>
      <c r="U105" s="63"/>
    </row>
    <row r="106" ht="26.25" customHeight="1">
      <c r="A106" s="45" t="s">
        <v>1367</v>
      </c>
      <c r="B106" s="427" t="s">
        <v>1368</v>
      </c>
      <c r="C106" s="427" t="s">
        <v>1369</v>
      </c>
      <c r="D106" s="18" t="s">
        <v>31</v>
      </c>
      <c r="E106" s="65" t="s">
        <v>32</v>
      </c>
      <c r="F106" s="65" t="s">
        <v>5</v>
      </c>
      <c r="G106" s="48" t="s">
        <v>1187</v>
      </c>
      <c r="H106" s="70">
        <v>7.395956159E9</v>
      </c>
      <c r="I106" s="184" t="s">
        <v>1371</v>
      </c>
      <c r="J106" s="175"/>
      <c r="K106" s="177"/>
      <c r="L106" s="53">
        <v>2.0</v>
      </c>
      <c r="M106" s="78"/>
      <c r="N106" s="177"/>
      <c r="O106" s="159"/>
      <c r="P106" s="78"/>
      <c r="Q106" s="18" t="s">
        <v>91</v>
      </c>
      <c r="R106" s="18" t="s">
        <v>68</v>
      </c>
      <c r="S106" s="65" t="s">
        <v>83</v>
      </c>
      <c r="T106" s="62" t="s">
        <v>84</v>
      </c>
      <c r="U106" s="83">
        <v>300000.0</v>
      </c>
    </row>
    <row r="107" ht="26.25" customHeight="1">
      <c r="A107" s="454" t="s">
        <v>1372</v>
      </c>
      <c r="B107" s="581"/>
      <c r="C107" s="582"/>
      <c r="D107" s="316"/>
      <c r="E107" s="316"/>
      <c r="F107" s="19" t="s">
        <v>619</v>
      </c>
      <c r="G107" s="583"/>
      <c r="H107" s="583">
        <v>9.360124106E9</v>
      </c>
      <c r="I107" s="584"/>
      <c r="J107" s="585"/>
      <c r="K107" s="586"/>
      <c r="L107" s="586"/>
      <c r="M107" s="587"/>
      <c r="N107" s="586"/>
      <c r="O107" s="587"/>
      <c r="P107" s="587"/>
      <c r="Q107" s="219"/>
      <c r="R107" s="30"/>
      <c r="S107" s="231" t="s">
        <v>1376</v>
      </c>
      <c r="T107" s="220" t="s">
        <v>1377</v>
      </c>
      <c r="U107" s="43"/>
    </row>
    <row r="108" ht="26.25" customHeight="1">
      <c r="A108" s="123" t="s">
        <v>1115</v>
      </c>
      <c r="B108" s="270" t="s">
        <v>1378</v>
      </c>
      <c r="C108" s="270" t="s">
        <v>1379</v>
      </c>
      <c r="D108" s="18" t="s">
        <v>31</v>
      </c>
      <c r="E108" s="235" t="s">
        <v>32</v>
      </c>
      <c r="F108" s="128" t="s">
        <v>5</v>
      </c>
      <c r="G108" s="130" t="s">
        <v>466</v>
      </c>
      <c r="H108" s="130">
        <v>8.973223615E9</v>
      </c>
      <c r="I108" s="272"/>
      <c r="J108" s="265"/>
      <c r="K108" s="266"/>
      <c r="L108" s="266"/>
      <c r="M108" s="133" t="s">
        <v>165</v>
      </c>
      <c r="N108" s="266" t="s">
        <v>1380</v>
      </c>
      <c r="O108" s="133" t="s">
        <v>89</v>
      </c>
      <c r="P108" s="133" t="s">
        <v>1161</v>
      </c>
      <c r="Q108" s="128" t="s">
        <v>37</v>
      </c>
      <c r="R108" s="135" t="s">
        <v>68</v>
      </c>
      <c r="S108" s="255" t="s">
        <v>1119</v>
      </c>
      <c r="T108" s="138" t="s">
        <v>1382</v>
      </c>
      <c r="U108" s="140"/>
    </row>
    <row r="109" ht="26.25" customHeight="1">
      <c r="A109" s="257" t="s">
        <v>963</v>
      </c>
      <c r="B109" s="235" t="s">
        <v>1383</v>
      </c>
      <c r="C109" s="235" t="s">
        <v>1384</v>
      </c>
      <c r="D109" s="18" t="s">
        <v>31</v>
      </c>
      <c r="E109" s="235" t="s">
        <v>32</v>
      </c>
      <c r="F109" s="128" t="s">
        <v>5</v>
      </c>
      <c r="G109" s="130" t="s">
        <v>466</v>
      </c>
      <c r="H109" s="130">
        <v>9.840620303E9</v>
      </c>
      <c r="I109" s="238"/>
      <c r="J109" s="253"/>
      <c r="K109" s="254"/>
      <c r="L109" s="254"/>
      <c r="M109" s="133" t="s">
        <v>87</v>
      </c>
      <c r="N109" s="254" t="s">
        <v>1385</v>
      </c>
      <c r="O109" s="133" t="s">
        <v>89</v>
      </c>
      <c r="P109" s="133" t="s">
        <v>90</v>
      </c>
      <c r="Q109" s="128" t="s">
        <v>37</v>
      </c>
      <c r="R109" s="135" t="s">
        <v>68</v>
      </c>
      <c r="S109" s="255" t="s">
        <v>965</v>
      </c>
      <c r="T109" s="138" t="s">
        <v>1386</v>
      </c>
      <c r="U109" s="140"/>
    </row>
    <row r="110" ht="26.25" customHeight="1">
      <c r="A110" s="45" t="s">
        <v>1387</v>
      </c>
      <c r="B110" s="427" t="s">
        <v>1388</v>
      </c>
      <c r="C110" s="427" t="s">
        <v>1389</v>
      </c>
      <c r="D110" s="18" t="s">
        <v>31</v>
      </c>
      <c r="E110" s="18" t="s">
        <v>63</v>
      </c>
      <c r="F110" s="18" t="s">
        <v>5</v>
      </c>
      <c r="G110" s="48" t="s">
        <v>392</v>
      </c>
      <c r="H110" s="578">
        <v>9.789095971E9</v>
      </c>
      <c r="I110" s="174"/>
      <c r="J110" s="185"/>
      <c r="K110" s="53"/>
      <c r="L110" s="53"/>
      <c r="M110" s="78"/>
      <c r="N110" s="53"/>
      <c r="O110" s="78"/>
      <c r="P110" s="78"/>
      <c r="Q110" s="65"/>
      <c r="R110" s="18" t="s">
        <v>68</v>
      </c>
      <c r="S110" s="65" t="s">
        <v>350</v>
      </c>
      <c r="T110" s="116" t="s">
        <v>1391</v>
      </c>
      <c r="U110" s="83"/>
    </row>
    <row r="111" ht="26.25" customHeight="1">
      <c r="A111" s="173" t="s">
        <v>942</v>
      </c>
      <c r="B111" s="47"/>
      <c r="C111" s="47"/>
      <c r="D111" s="65"/>
      <c r="E111" s="65"/>
      <c r="F111" s="19" t="s">
        <v>307</v>
      </c>
      <c r="G111" s="588"/>
      <c r="H111" s="588">
        <v>9.566834018E9</v>
      </c>
      <c r="I111" s="589"/>
      <c r="J111" s="590"/>
      <c r="K111" s="591"/>
      <c r="L111" s="591"/>
      <c r="M111" s="592"/>
      <c r="N111" s="591"/>
      <c r="O111" s="592"/>
      <c r="P111" s="592"/>
      <c r="Q111" s="57"/>
      <c r="R111" s="57"/>
      <c r="S111" s="57" t="s">
        <v>1393</v>
      </c>
      <c r="T111" s="18" t="s">
        <v>359</v>
      </c>
      <c r="U111" s="63"/>
    </row>
    <row r="112" ht="26.25" customHeight="1">
      <c r="A112" s="483" t="s">
        <v>922</v>
      </c>
      <c r="B112" s="483" t="s">
        <v>1394</v>
      </c>
      <c r="C112" s="483" t="s">
        <v>1395</v>
      </c>
      <c r="D112" s="18" t="s">
        <v>31</v>
      </c>
      <c r="E112" s="235" t="s">
        <v>63</v>
      </c>
      <c r="F112" s="128" t="s">
        <v>5</v>
      </c>
      <c r="G112" s="130" t="s">
        <v>230</v>
      </c>
      <c r="H112" s="553" t="s">
        <v>924</v>
      </c>
      <c r="I112" s="272"/>
      <c r="J112" s="418"/>
      <c r="K112" s="132"/>
      <c r="L112" s="132"/>
      <c r="M112" s="131"/>
      <c r="N112" s="132"/>
      <c r="O112" s="131"/>
      <c r="P112" s="131"/>
      <c r="Q112" s="486"/>
      <c r="R112" s="235" t="s">
        <v>68</v>
      </c>
      <c r="S112" s="486" t="s">
        <v>361</v>
      </c>
      <c r="T112" s="138" t="s">
        <v>368</v>
      </c>
      <c r="U112" s="487"/>
    </row>
    <row r="113" ht="26.25" customHeight="1">
      <c r="A113" s="45" t="s">
        <v>658</v>
      </c>
      <c r="B113" s="47"/>
      <c r="C113" s="47"/>
      <c r="D113" s="18" t="s">
        <v>31</v>
      </c>
      <c r="E113" s="18" t="s">
        <v>366</v>
      </c>
      <c r="F113" s="18" t="s">
        <v>5</v>
      </c>
      <c r="G113" s="48" t="s">
        <v>1271</v>
      </c>
      <c r="H113" s="70">
        <v>8.438532004E9</v>
      </c>
      <c r="I113" s="174"/>
      <c r="J113" s="593"/>
      <c r="K113" s="594"/>
      <c r="L113" s="594"/>
      <c r="M113" s="78"/>
      <c r="N113" s="594"/>
      <c r="O113" s="78"/>
      <c r="P113" s="78"/>
      <c r="Q113" s="156"/>
      <c r="R113" s="57" t="s">
        <v>68</v>
      </c>
      <c r="S113" s="156" t="s">
        <v>659</v>
      </c>
      <c r="T113" s="62" t="s">
        <v>1398</v>
      </c>
      <c r="U113" s="63"/>
    </row>
    <row r="114" ht="26.25" customHeight="1">
      <c r="A114" s="45" t="s">
        <v>762</v>
      </c>
      <c r="B114" s="65" t="s">
        <v>1399</v>
      </c>
      <c r="C114" s="65" t="s">
        <v>1400</v>
      </c>
      <c r="D114" s="18" t="s">
        <v>31</v>
      </c>
      <c r="E114" s="18" t="s">
        <v>63</v>
      </c>
      <c r="F114" s="65" t="s">
        <v>5</v>
      </c>
      <c r="G114" s="48" t="s">
        <v>1069</v>
      </c>
      <c r="H114" s="70">
        <v>9.025314278E9</v>
      </c>
      <c r="I114" s="174"/>
      <c r="J114" s="222"/>
      <c r="K114" s="223"/>
      <c r="L114" s="223"/>
      <c r="M114" s="52" t="s">
        <v>165</v>
      </c>
      <c r="N114" s="223" t="s">
        <v>1401</v>
      </c>
      <c r="O114" s="52" t="s">
        <v>89</v>
      </c>
      <c r="P114" s="52" t="s">
        <v>130</v>
      </c>
      <c r="Q114" s="65"/>
      <c r="R114" s="18" t="s">
        <v>68</v>
      </c>
      <c r="S114" s="427" t="s">
        <v>763</v>
      </c>
      <c r="T114" s="595" t="s">
        <v>1402</v>
      </c>
      <c r="U114" s="63"/>
    </row>
    <row r="115" ht="26.25" customHeight="1">
      <c r="A115" s="153" t="s">
        <v>1226</v>
      </c>
      <c r="B115" s="596" t="s">
        <v>1403</v>
      </c>
      <c r="C115" s="270" t="s">
        <v>1404</v>
      </c>
      <c r="D115" s="18" t="s">
        <v>31</v>
      </c>
      <c r="E115" s="235" t="s">
        <v>425</v>
      </c>
      <c r="F115" s="128" t="s">
        <v>5</v>
      </c>
      <c r="G115" s="130"/>
      <c r="H115" s="130">
        <v>9.150479903E9</v>
      </c>
      <c r="I115" s="272"/>
      <c r="J115" s="418"/>
      <c r="K115" s="132"/>
      <c r="L115" s="132"/>
      <c r="M115" s="131" t="s">
        <v>87</v>
      </c>
      <c r="N115" s="132" t="s">
        <v>1405</v>
      </c>
      <c r="O115" s="131" t="s">
        <v>89</v>
      </c>
      <c r="P115" s="134" t="s">
        <v>90</v>
      </c>
      <c r="Q115" s="241"/>
      <c r="R115" s="136" t="s">
        <v>68</v>
      </c>
      <c r="S115" s="597" t="s">
        <v>1229</v>
      </c>
      <c r="T115" s="138" t="s">
        <v>1406</v>
      </c>
      <c r="U115" s="140"/>
    </row>
    <row r="116" ht="26.25" customHeight="1">
      <c r="A116" s="598" t="s">
        <v>1260</v>
      </c>
      <c r="B116" s="235" t="s">
        <v>1407</v>
      </c>
      <c r="C116" s="235" t="s">
        <v>1408</v>
      </c>
      <c r="D116" s="18" t="s">
        <v>31</v>
      </c>
      <c r="E116" s="235" t="s">
        <v>32</v>
      </c>
      <c r="F116" s="128" t="s">
        <v>5</v>
      </c>
      <c r="G116" s="130" t="s">
        <v>466</v>
      </c>
      <c r="H116" s="130">
        <v>9.003530044E9</v>
      </c>
      <c r="I116" s="238"/>
      <c r="J116" s="253"/>
      <c r="K116" s="254"/>
      <c r="L116" s="254"/>
      <c r="M116" s="133" t="s">
        <v>165</v>
      </c>
      <c r="N116" s="254" t="s">
        <v>1409</v>
      </c>
      <c r="O116" s="133" t="s">
        <v>89</v>
      </c>
      <c r="P116" s="133" t="s">
        <v>1161</v>
      </c>
      <c r="Q116" s="128" t="s">
        <v>37</v>
      </c>
      <c r="R116" s="135" t="s">
        <v>68</v>
      </c>
      <c r="S116" s="255" t="s">
        <v>689</v>
      </c>
      <c r="T116" s="138" t="s">
        <v>1410</v>
      </c>
      <c r="U116" s="140"/>
    </row>
    <row r="117" ht="26.25" customHeight="1">
      <c r="A117" s="45" t="s">
        <v>598</v>
      </c>
      <c r="B117" s="65" t="s">
        <v>1411</v>
      </c>
      <c r="C117" s="65" t="s">
        <v>1412</v>
      </c>
      <c r="D117" s="18" t="s">
        <v>31</v>
      </c>
      <c r="E117" s="18" t="s">
        <v>63</v>
      </c>
      <c r="F117" s="65" t="s">
        <v>5</v>
      </c>
      <c r="G117" s="48" t="s">
        <v>1101</v>
      </c>
      <c r="H117" s="70">
        <v>8.939077434E9</v>
      </c>
      <c r="I117" s="174"/>
      <c r="J117" s="185"/>
      <c r="K117" s="53"/>
      <c r="L117" s="53"/>
      <c r="M117" s="52" t="s">
        <v>87</v>
      </c>
      <c r="N117" s="53" t="s">
        <v>1413</v>
      </c>
      <c r="O117" s="18" t="s">
        <v>89</v>
      </c>
      <c r="P117" s="52" t="s">
        <v>90</v>
      </c>
      <c r="Q117" s="65"/>
      <c r="R117" s="18" t="s">
        <v>68</v>
      </c>
      <c r="S117" s="65" t="s">
        <v>600</v>
      </c>
      <c r="T117" s="62" t="s">
        <v>1414</v>
      </c>
      <c r="U117" s="63"/>
    </row>
    <row r="118" ht="26.25" customHeight="1">
      <c r="A118" s="483" t="s">
        <v>249</v>
      </c>
      <c r="B118" s="599" t="s">
        <v>252</v>
      </c>
      <c r="C118" s="599" t="s">
        <v>1416</v>
      </c>
      <c r="D118" s="18" t="s">
        <v>31</v>
      </c>
      <c r="E118" s="235" t="s">
        <v>32</v>
      </c>
      <c r="F118" s="128" t="s">
        <v>5</v>
      </c>
      <c r="G118" s="130" t="s">
        <v>466</v>
      </c>
      <c r="H118" s="484">
        <v>9.962764646E9</v>
      </c>
      <c r="I118" s="600"/>
      <c r="J118" s="418"/>
      <c r="K118" s="132"/>
      <c r="L118" s="132"/>
      <c r="M118" s="131" t="s">
        <v>87</v>
      </c>
      <c r="N118" s="132" t="s">
        <v>1417</v>
      </c>
      <c r="O118" s="131" t="s">
        <v>89</v>
      </c>
      <c r="P118" s="131" t="s">
        <v>90</v>
      </c>
      <c r="Q118" s="128" t="s">
        <v>37</v>
      </c>
      <c r="R118" s="128" t="s">
        <v>68</v>
      </c>
      <c r="S118" s="599" t="s">
        <v>248</v>
      </c>
      <c r="T118" s="138" t="s">
        <v>1418</v>
      </c>
      <c r="U118" s="487"/>
    </row>
    <row r="119" ht="26.25" customHeight="1">
      <c r="A119" s="483" t="s">
        <v>1065</v>
      </c>
      <c r="B119" s="483" t="s">
        <v>1419</v>
      </c>
      <c r="C119" s="483" t="s">
        <v>1420</v>
      </c>
      <c r="D119" s="18" t="s">
        <v>31</v>
      </c>
      <c r="E119" s="235" t="s">
        <v>32</v>
      </c>
      <c r="F119" s="128" t="s">
        <v>5</v>
      </c>
      <c r="G119" s="130" t="s">
        <v>466</v>
      </c>
      <c r="H119" s="484">
        <v>8.87097621E9</v>
      </c>
      <c r="I119" s="272"/>
      <c r="J119" s="601"/>
      <c r="K119" s="602"/>
      <c r="L119" s="602"/>
      <c r="M119" s="131" t="s">
        <v>165</v>
      </c>
      <c r="N119" s="602" t="s">
        <v>1422</v>
      </c>
      <c r="O119" s="131" t="s">
        <v>106</v>
      </c>
      <c r="P119" s="131" t="s">
        <v>130</v>
      </c>
      <c r="Q119" s="235" t="s">
        <v>91</v>
      </c>
      <c r="R119" s="235" t="s">
        <v>68</v>
      </c>
      <c r="S119" s="235" t="s">
        <v>1067</v>
      </c>
      <c r="T119" s="261" t="s">
        <v>1423</v>
      </c>
      <c r="U119" s="487"/>
    </row>
    <row r="120" ht="26.25" customHeight="1">
      <c r="A120" s="603" t="s">
        <v>1220</v>
      </c>
      <c r="B120" s="270" t="s">
        <v>1424</v>
      </c>
      <c r="C120" s="270" t="s">
        <v>1425</v>
      </c>
      <c r="D120" s="275" t="s">
        <v>555</v>
      </c>
      <c r="E120" s="235" t="s">
        <v>425</v>
      </c>
      <c r="F120" s="235" t="s">
        <v>5</v>
      </c>
      <c r="G120" s="605"/>
      <c r="H120" s="605">
        <v>8.056096632E9</v>
      </c>
      <c r="I120" s="606"/>
      <c r="J120" s="554"/>
      <c r="K120" s="555"/>
      <c r="L120" s="555"/>
      <c r="M120" s="133" t="s">
        <v>87</v>
      </c>
      <c r="N120" s="555" t="s">
        <v>1426</v>
      </c>
      <c r="O120" s="133" t="s">
        <v>89</v>
      </c>
      <c r="P120" s="133" t="s">
        <v>90</v>
      </c>
      <c r="Q120" s="607"/>
      <c r="R120" s="597" t="s">
        <v>68</v>
      </c>
      <c r="S120" s="558" t="s">
        <v>1222</v>
      </c>
      <c r="T120" s="608" t="s">
        <v>1427</v>
      </c>
      <c r="U120" s="140"/>
    </row>
    <row r="121" ht="26.25" customHeight="1">
      <c r="A121" s="45" t="s">
        <v>1428</v>
      </c>
      <c r="B121" s="609" t="s">
        <v>1429</v>
      </c>
      <c r="C121" s="427"/>
      <c r="D121" s="18" t="s">
        <v>31</v>
      </c>
      <c r="E121" s="18" t="s">
        <v>63</v>
      </c>
      <c r="F121" s="65" t="s">
        <v>5</v>
      </c>
      <c r="G121" s="48" t="s">
        <v>1430</v>
      </c>
      <c r="H121" s="70">
        <v>8.12268775E9</v>
      </c>
      <c r="I121" s="174"/>
      <c r="J121" s="175"/>
      <c r="K121" s="177"/>
      <c r="L121" s="177"/>
      <c r="M121" s="78"/>
      <c r="N121" s="177"/>
      <c r="O121" s="78"/>
      <c r="P121" s="78"/>
      <c r="Q121" s="65"/>
      <c r="R121" s="18" t="s">
        <v>68</v>
      </c>
      <c r="S121" s="65" t="s">
        <v>725</v>
      </c>
      <c r="T121" s="41" t="s">
        <v>1431</v>
      </c>
      <c r="U121" s="63"/>
    </row>
    <row r="122" ht="26.25" customHeight="1">
      <c r="A122" s="483" t="s">
        <v>881</v>
      </c>
      <c r="B122" s="128" t="s">
        <v>1433</v>
      </c>
      <c r="C122" s="128" t="s">
        <v>1434</v>
      </c>
      <c r="D122" s="18" t="s">
        <v>31</v>
      </c>
      <c r="E122" s="235" t="s">
        <v>425</v>
      </c>
      <c r="F122" s="128" t="s">
        <v>5</v>
      </c>
      <c r="G122" s="553"/>
      <c r="H122" s="553">
        <v>8.667282961E9</v>
      </c>
      <c r="I122" s="272"/>
      <c r="J122" s="418"/>
      <c r="K122" s="132"/>
      <c r="L122" s="132"/>
      <c r="M122" s="131" t="s">
        <v>165</v>
      </c>
      <c r="N122" s="132" t="s">
        <v>1437</v>
      </c>
      <c r="O122" s="131" t="s">
        <v>106</v>
      </c>
      <c r="P122" s="131" t="s">
        <v>130</v>
      </c>
      <c r="Q122" s="128"/>
      <c r="R122" s="128" t="s">
        <v>68</v>
      </c>
      <c r="S122" s="128" t="s">
        <v>885</v>
      </c>
      <c r="T122" s="616" t="s">
        <v>1439</v>
      </c>
      <c r="U122" s="618"/>
    </row>
    <row r="123" ht="26.25" customHeight="1">
      <c r="A123" s="257" t="s">
        <v>1048</v>
      </c>
      <c r="B123" s="235" t="s">
        <v>1444</v>
      </c>
      <c r="C123" s="235" t="s">
        <v>1445</v>
      </c>
      <c r="D123" s="18" t="s">
        <v>31</v>
      </c>
      <c r="E123" s="235" t="s">
        <v>425</v>
      </c>
      <c r="F123" s="128" t="s">
        <v>5</v>
      </c>
      <c r="G123" s="622"/>
      <c r="H123" s="622">
        <v>8.610961896E9</v>
      </c>
      <c r="I123" s="624"/>
      <c r="J123" s="418"/>
      <c r="K123" s="132"/>
      <c r="L123" s="132"/>
      <c r="M123" s="134" t="s">
        <v>165</v>
      </c>
      <c r="N123" s="132" t="s">
        <v>1447</v>
      </c>
      <c r="O123" s="131" t="s">
        <v>89</v>
      </c>
      <c r="P123" s="134" t="s">
        <v>182</v>
      </c>
      <c r="Q123" s="241"/>
      <c r="R123" s="136" t="s">
        <v>68</v>
      </c>
      <c r="S123" s="136" t="s">
        <v>1050</v>
      </c>
      <c r="T123" s="138" t="s">
        <v>1448</v>
      </c>
      <c r="U123" s="140"/>
    </row>
    <row r="124" ht="26.25" customHeight="1">
      <c r="A124" s="45" t="s">
        <v>620</v>
      </c>
      <c r="B124" s="65" t="s">
        <v>164</v>
      </c>
      <c r="C124" s="65"/>
      <c r="D124" s="18" t="s">
        <v>31</v>
      </c>
      <c r="E124" s="18" t="s">
        <v>63</v>
      </c>
      <c r="F124" s="65" t="s">
        <v>5</v>
      </c>
      <c r="G124" s="48" t="s">
        <v>1187</v>
      </c>
      <c r="H124" s="70">
        <v>8.939747045E9</v>
      </c>
      <c r="I124" s="174"/>
      <c r="J124" s="175"/>
      <c r="K124" s="177"/>
      <c r="L124" s="177"/>
      <c r="M124" s="78"/>
      <c r="N124" s="177"/>
      <c r="O124" s="78"/>
      <c r="P124" s="78"/>
      <c r="Q124" s="65"/>
      <c r="R124" s="18" t="s">
        <v>68</v>
      </c>
      <c r="S124" s="65" t="s">
        <v>622</v>
      </c>
      <c r="T124" s="62" t="s">
        <v>1452</v>
      </c>
      <c r="U124" s="63"/>
    </row>
    <row r="125" ht="26.25" customHeight="1">
      <c r="A125" s="483" t="s">
        <v>769</v>
      </c>
      <c r="B125" s="599" t="s">
        <v>1454</v>
      </c>
      <c r="C125" s="599" t="s">
        <v>1456</v>
      </c>
      <c r="D125" s="18" t="s">
        <v>31</v>
      </c>
      <c r="E125" s="235"/>
      <c r="F125" s="128" t="s">
        <v>1457</v>
      </c>
      <c r="G125" s="484"/>
      <c r="H125" s="484">
        <v>9.042934637E9</v>
      </c>
      <c r="I125" s="600"/>
      <c r="J125" s="418"/>
      <c r="K125" s="132"/>
      <c r="L125" s="132"/>
      <c r="M125" s="131" t="s">
        <v>128</v>
      </c>
      <c r="N125" s="132" t="s">
        <v>1458</v>
      </c>
      <c r="O125" s="131" t="s">
        <v>106</v>
      </c>
      <c r="P125" s="131" t="s">
        <v>130</v>
      </c>
      <c r="Q125" s="599"/>
      <c r="R125" s="128" t="s">
        <v>68</v>
      </c>
      <c r="S125" s="599" t="s">
        <v>421</v>
      </c>
      <c r="T125" s="633" t="s">
        <v>1460</v>
      </c>
      <c r="U125" s="487"/>
    </row>
    <row r="126" ht="26.25" customHeight="1">
      <c r="A126" s="45" t="s">
        <v>604</v>
      </c>
      <c r="B126" s="65" t="s">
        <v>459</v>
      </c>
      <c r="C126" s="65" t="s">
        <v>1462</v>
      </c>
      <c r="D126" s="18" t="s">
        <v>31</v>
      </c>
      <c r="E126" s="18" t="s">
        <v>63</v>
      </c>
      <c r="F126" s="65" t="s">
        <v>5</v>
      </c>
      <c r="G126" s="48" t="s">
        <v>936</v>
      </c>
      <c r="H126" s="70">
        <v>7.539960504E9</v>
      </c>
      <c r="I126" s="174"/>
      <c r="J126" s="185"/>
      <c r="K126" s="53"/>
      <c r="L126" s="53"/>
      <c r="M126" s="52" t="s">
        <v>128</v>
      </c>
      <c r="N126" s="53" t="s">
        <v>1464</v>
      </c>
      <c r="O126" s="52" t="s">
        <v>89</v>
      </c>
      <c r="P126" s="52" t="s">
        <v>90</v>
      </c>
      <c r="Q126" s="65"/>
      <c r="R126" s="18" t="s">
        <v>68</v>
      </c>
      <c r="S126" s="65" t="s">
        <v>454</v>
      </c>
      <c r="T126" s="41" t="s">
        <v>1465</v>
      </c>
      <c r="U126" s="63"/>
    </row>
    <row r="127" ht="26.25" customHeight="1">
      <c r="A127" s="45" t="s">
        <v>750</v>
      </c>
      <c r="B127" s="427" t="s">
        <v>1468</v>
      </c>
      <c r="C127" s="427" t="s">
        <v>1469</v>
      </c>
      <c r="D127" s="18" t="s">
        <v>31</v>
      </c>
      <c r="E127" s="18" t="s">
        <v>63</v>
      </c>
      <c r="F127" s="65" t="s">
        <v>5</v>
      </c>
      <c r="G127" s="48" t="s">
        <v>936</v>
      </c>
      <c r="H127" s="70">
        <v>6.38133723E9</v>
      </c>
      <c r="I127" s="174"/>
      <c r="J127" s="528"/>
      <c r="K127" s="528"/>
      <c r="L127" s="528"/>
      <c r="M127" s="78"/>
      <c r="N127" s="528"/>
      <c r="O127" s="78"/>
      <c r="P127" s="78"/>
      <c r="Q127" s="65"/>
      <c r="R127" s="18" t="s">
        <v>68</v>
      </c>
      <c r="S127" s="65" t="s">
        <v>469</v>
      </c>
      <c r="T127" s="434" t="s">
        <v>1471</v>
      </c>
      <c r="U127" s="83"/>
    </row>
    <row r="128" ht="26.25" customHeight="1">
      <c r="A128" s="497" t="s">
        <v>1473</v>
      </c>
      <c r="B128" s="581"/>
      <c r="C128" s="641"/>
      <c r="D128" s="219"/>
      <c r="E128" s="219"/>
      <c r="F128" s="19" t="s">
        <v>307</v>
      </c>
      <c r="G128" s="310"/>
      <c r="H128" s="310">
        <v>7.358998645E9</v>
      </c>
      <c r="I128" s="303"/>
      <c r="J128" s="304"/>
      <c r="K128" s="23"/>
      <c r="L128" s="23"/>
      <c r="M128" s="25"/>
      <c r="N128" s="23"/>
      <c r="O128" s="25"/>
      <c r="P128" s="25"/>
      <c r="Q128" s="219"/>
      <c r="R128" s="30"/>
      <c r="S128" s="643" t="s">
        <v>1397</v>
      </c>
      <c r="T128" s="219"/>
      <c r="U128" s="43"/>
    </row>
    <row r="129" ht="26.25" customHeight="1">
      <c r="A129" s="153" t="s">
        <v>1090</v>
      </c>
      <c r="B129" s="254" t="s">
        <v>1475</v>
      </c>
      <c r="C129" s="645" t="s">
        <v>1476</v>
      </c>
      <c r="D129" s="18" t="s">
        <v>31</v>
      </c>
      <c r="E129" s="235" t="s">
        <v>425</v>
      </c>
      <c r="F129" s="128" t="s">
        <v>5</v>
      </c>
      <c r="G129" s="154"/>
      <c r="H129" s="154">
        <v>9.176775477E9</v>
      </c>
      <c r="I129" s="272"/>
      <c r="J129" s="418"/>
      <c r="K129" s="132"/>
      <c r="L129" s="132"/>
      <c r="M129" s="133" t="s">
        <v>87</v>
      </c>
      <c r="N129" s="132" t="s">
        <v>1478</v>
      </c>
      <c r="O129" s="133" t="s">
        <v>89</v>
      </c>
      <c r="P129" s="134" t="s">
        <v>90</v>
      </c>
      <c r="Q129" s="241"/>
      <c r="R129" s="136" t="s">
        <v>68</v>
      </c>
      <c r="S129" s="157" t="s">
        <v>929</v>
      </c>
      <c r="T129" s="138" t="s">
        <v>1479</v>
      </c>
      <c r="U129" s="140"/>
    </row>
    <row r="130" ht="26.25" customHeight="1">
      <c r="A130" s="84" t="s">
        <v>992</v>
      </c>
      <c r="B130" s="84" t="s">
        <v>488</v>
      </c>
      <c r="C130" s="84" t="s">
        <v>1482</v>
      </c>
      <c r="D130" s="18" t="s">
        <v>31</v>
      </c>
      <c r="E130" s="18" t="s">
        <v>63</v>
      </c>
      <c r="F130" s="87" t="s">
        <v>5</v>
      </c>
      <c r="G130" s="112" t="s">
        <v>194</v>
      </c>
      <c r="H130" s="88">
        <v>8.148232205E9</v>
      </c>
      <c r="I130" s="389"/>
      <c r="J130" s="647"/>
      <c r="K130" s="647"/>
      <c r="L130" s="647"/>
      <c r="M130" s="89" t="s">
        <v>128</v>
      </c>
      <c r="N130" s="647" t="s">
        <v>1484</v>
      </c>
      <c r="O130" s="89" t="s">
        <v>89</v>
      </c>
      <c r="P130" s="89" t="s">
        <v>130</v>
      </c>
      <c r="Q130" s="402"/>
      <c r="R130" s="648" t="s">
        <v>68</v>
      </c>
      <c r="S130" s="189" t="s">
        <v>994</v>
      </c>
      <c r="T130" s="106" t="s">
        <v>1485</v>
      </c>
      <c r="U130" s="95"/>
    </row>
    <row r="131" ht="26.25" customHeight="1">
      <c r="A131" s="45" t="s">
        <v>790</v>
      </c>
      <c r="B131" s="427" t="s">
        <v>1487</v>
      </c>
      <c r="C131" s="427" t="s">
        <v>1488</v>
      </c>
      <c r="D131" s="18" t="s">
        <v>31</v>
      </c>
      <c r="E131" s="65" t="s">
        <v>32</v>
      </c>
      <c r="F131" s="65" t="s">
        <v>5</v>
      </c>
      <c r="G131" s="48" t="s">
        <v>100</v>
      </c>
      <c r="H131" s="70">
        <v>8.092225251E9</v>
      </c>
      <c r="I131" s="184" t="s">
        <v>1490</v>
      </c>
      <c r="J131" s="185" t="s">
        <v>1491</v>
      </c>
      <c r="K131" s="90" t="s">
        <v>147</v>
      </c>
      <c r="L131" s="53">
        <v>3.0</v>
      </c>
      <c r="M131" s="52" t="s">
        <v>87</v>
      </c>
      <c r="N131" s="177"/>
      <c r="O131" s="78"/>
      <c r="P131" s="78"/>
      <c r="Q131" s="18" t="s">
        <v>91</v>
      </c>
      <c r="R131" s="18" t="s">
        <v>68</v>
      </c>
      <c r="S131" s="65" t="s">
        <v>291</v>
      </c>
      <c r="T131" s="82" t="s">
        <v>292</v>
      </c>
      <c r="U131" s="83">
        <v>300000.0</v>
      </c>
    </row>
    <row r="132" ht="26.25" customHeight="1">
      <c r="A132" s="257" t="s">
        <v>1124</v>
      </c>
      <c r="B132" s="235" t="s">
        <v>1496</v>
      </c>
      <c r="C132" s="235" t="s">
        <v>1497</v>
      </c>
      <c r="D132" s="18" t="s">
        <v>31</v>
      </c>
      <c r="E132" s="235" t="s">
        <v>63</v>
      </c>
      <c r="F132" s="128" t="s">
        <v>5</v>
      </c>
      <c r="G132" s="130" t="s">
        <v>230</v>
      </c>
      <c r="H132" s="130">
        <v>9.080265174E9</v>
      </c>
      <c r="I132" s="238"/>
      <c r="J132" s="253"/>
      <c r="K132" s="254"/>
      <c r="L132" s="254"/>
      <c r="M132" s="133" t="s">
        <v>165</v>
      </c>
      <c r="N132" s="254" t="s">
        <v>1498</v>
      </c>
      <c r="O132" s="133" t="s">
        <v>89</v>
      </c>
      <c r="P132" s="133" t="s">
        <v>1161</v>
      </c>
      <c r="Q132" s="241"/>
      <c r="R132" s="135" t="s">
        <v>68</v>
      </c>
      <c r="S132" s="255" t="s">
        <v>522</v>
      </c>
      <c r="T132" s="138" t="s">
        <v>1501</v>
      </c>
      <c r="U132" s="140"/>
    </row>
    <row r="133" ht="26.25" customHeight="1">
      <c r="A133" s="653" t="s">
        <v>781</v>
      </c>
      <c r="B133" s="427" t="s">
        <v>404</v>
      </c>
      <c r="C133" s="427" t="s">
        <v>1503</v>
      </c>
      <c r="D133" s="18" t="s">
        <v>31</v>
      </c>
      <c r="E133" s="65" t="s">
        <v>32</v>
      </c>
      <c r="F133" s="65" t="s">
        <v>5</v>
      </c>
      <c r="G133" s="48" t="s">
        <v>100</v>
      </c>
      <c r="H133" s="70">
        <v>9.380184164E9</v>
      </c>
      <c r="I133" s="184" t="s">
        <v>1504</v>
      </c>
      <c r="J133" s="175"/>
      <c r="K133" s="177"/>
      <c r="L133" s="53">
        <v>4.0</v>
      </c>
      <c r="M133" s="52" t="s">
        <v>1505</v>
      </c>
      <c r="N133" s="177"/>
      <c r="O133" s="78"/>
      <c r="P133" s="78"/>
      <c r="Q133" s="18" t="s">
        <v>91</v>
      </c>
      <c r="R133" s="18" t="s">
        <v>68</v>
      </c>
      <c r="S133" s="18" t="s">
        <v>299</v>
      </c>
      <c r="T133" s="62" t="s">
        <v>300</v>
      </c>
      <c r="U133" s="83">
        <v>300000.0</v>
      </c>
    </row>
    <row r="134" ht="26.25" customHeight="1">
      <c r="A134" s="45" t="s">
        <v>1508</v>
      </c>
      <c r="B134" s="65" t="s">
        <v>540</v>
      </c>
      <c r="C134" s="65" t="s">
        <v>1509</v>
      </c>
      <c r="D134" s="18" t="s">
        <v>31</v>
      </c>
      <c r="E134" s="18" t="s">
        <v>63</v>
      </c>
      <c r="F134" s="65" t="s">
        <v>5</v>
      </c>
      <c r="G134" s="48" t="s">
        <v>1363</v>
      </c>
      <c r="H134" s="578">
        <v>8.148522265E9</v>
      </c>
      <c r="I134" s="174"/>
      <c r="J134" s="185"/>
      <c r="K134" s="53"/>
      <c r="L134" s="53"/>
      <c r="M134" s="52" t="s">
        <v>87</v>
      </c>
      <c r="N134" s="53" t="s">
        <v>1511</v>
      </c>
      <c r="O134" s="18" t="s">
        <v>89</v>
      </c>
      <c r="P134" s="52" t="s">
        <v>130</v>
      </c>
      <c r="Q134" s="65"/>
      <c r="R134" s="18" t="s">
        <v>68</v>
      </c>
      <c r="S134" s="65" t="s">
        <v>316</v>
      </c>
      <c r="T134" s="62" t="s">
        <v>1512</v>
      </c>
      <c r="U134" s="63"/>
    </row>
    <row r="135" ht="26.25" customHeight="1">
      <c r="A135" s="45" t="s">
        <v>557</v>
      </c>
      <c r="B135" s="156"/>
      <c r="C135" s="47"/>
      <c r="D135" s="18" t="s">
        <v>31</v>
      </c>
      <c r="E135" s="18" t="s">
        <v>366</v>
      </c>
      <c r="F135" s="18" t="s">
        <v>5</v>
      </c>
      <c r="G135" s="112" t="s">
        <v>194</v>
      </c>
      <c r="H135" s="70">
        <v>9.705933771E9</v>
      </c>
      <c r="I135" s="174"/>
      <c r="J135" s="175"/>
      <c r="K135" s="177"/>
      <c r="L135" s="177"/>
      <c r="M135" s="78"/>
      <c r="N135" s="177"/>
      <c r="O135" s="78"/>
      <c r="P135" s="78"/>
      <c r="Q135" s="156"/>
      <c r="R135" s="57" t="s">
        <v>68</v>
      </c>
      <c r="S135" s="156" t="s">
        <v>556</v>
      </c>
      <c r="T135" s="62" t="s">
        <v>1507</v>
      </c>
      <c r="U135" s="63"/>
    </row>
    <row r="136" ht="26.25" customHeight="1">
      <c r="A136" s="45" t="s">
        <v>647</v>
      </c>
      <c r="B136" s="65" t="s">
        <v>164</v>
      </c>
      <c r="C136" s="65"/>
      <c r="D136" s="18" t="s">
        <v>31</v>
      </c>
      <c r="E136" s="65" t="s">
        <v>32</v>
      </c>
      <c r="F136" s="65" t="s">
        <v>5</v>
      </c>
      <c r="G136" s="48" t="s">
        <v>1069</v>
      </c>
      <c r="H136" s="70">
        <v>9.791005395E9</v>
      </c>
      <c r="I136" s="192" t="s">
        <v>336</v>
      </c>
      <c r="J136" s="175"/>
      <c r="K136" s="53" t="s">
        <v>1517</v>
      </c>
      <c r="L136" s="53">
        <v>2.0</v>
      </c>
      <c r="M136" s="52" t="s">
        <v>87</v>
      </c>
      <c r="N136" s="177"/>
      <c r="O136" s="78"/>
      <c r="P136" s="78"/>
      <c r="Q136" s="18" t="s">
        <v>91</v>
      </c>
      <c r="R136" s="65"/>
      <c r="S136" s="65" t="s">
        <v>235</v>
      </c>
      <c r="T136" s="62" t="s">
        <v>236</v>
      </c>
      <c r="U136" s="83">
        <v>297000.0</v>
      </c>
    </row>
    <row r="137" ht="26.25" customHeight="1">
      <c r="A137" s="45" t="s">
        <v>615</v>
      </c>
      <c r="B137" s="65" t="s">
        <v>591</v>
      </c>
      <c r="C137" s="65" t="s">
        <v>1520</v>
      </c>
      <c r="D137" s="18" t="s">
        <v>31</v>
      </c>
      <c r="E137" s="18" t="s">
        <v>63</v>
      </c>
      <c r="F137" s="65" t="s">
        <v>5</v>
      </c>
      <c r="G137" s="48" t="s">
        <v>1069</v>
      </c>
      <c r="H137" s="70">
        <v>6.385256271E9</v>
      </c>
      <c r="I137" s="174"/>
      <c r="J137" s="185"/>
      <c r="K137" s="53"/>
      <c r="L137" s="53"/>
      <c r="M137" s="78" t="s">
        <v>165</v>
      </c>
      <c r="N137" s="53" t="s">
        <v>1522</v>
      </c>
      <c r="O137" s="52" t="s">
        <v>106</v>
      </c>
      <c r="P137" s="52" t="s">
        <v>130</v>
      </c>
      <c r="Q137" s="65"/>
      <c r="R137" s="18" t="s">
        <v>68</v>
      </c>
      <c r="S137" s="65" t="s">
        <v>455</v>
      </c>
      <c r="T137" s="82" t="s">
        <v>1524</v>
      </c>
      <c r="U137" s="63"/>
    </row>
    <row r="138" ht="26.25" customHeight="1">
      <c r="A138" s="483" t="s">
        <v>1198</v>
      </c>
      <c r="B138" s="128" t="s">
        <v>1526</v>
      </c>
      <c r="C138" s="128" t="s">
        <v>1527</v>
      </c>
      <c r="D138" s="18" t="s">
        <v>31</v>
      </c>
      <c r="E138" s="235" t="s">
        <v>366</v>
      </c>
      <c r="F138" s="128" t="s">
        <v>5</v>
      </c>
      <c r="G138" s="130" t="s">
        <v>466</v>
      </c>
      <c r="H138" s="553">
        <v>8.807800947E9</v>
      </c>
      <c r="I138" s="272"/>
      <c r="J138" s="418"/>
      <c r="K138" s="132"/>
      <c r="L138" s="132"/>
      <c r="M138" s="131" t="s">
        <v>165</v>
      </c>
      <c r="N138" s="132" t="s">
        <v>1529</v>
      </c>
      <c r="O138" s="131"/>
      <c r="P138" s="131" t="s">
        <v>90</v>
      </c>
      <c r="Q138" s="128"/>
      <c r="R138" s="128" t="s">
        <v>68</v>
      </c>
      <c r="S138" s="656" t="s">
        <v>385</v>
      </c>
      <c r="T138" s="616" t="s">
        <v>1531</v>
      </c>
      <c r="U138" s="618"/>
    </row>
    <row r="139" ht="26.25" customHeight="1">
      <c r="A139" s="45" t="s">
        <v>866</v>
      </c>
      <c r="B139" s="581" t="s">
        <v>1535</v>
      </c>
      <c r="C139" s="219" t="s">
        <v>1536</v>
      </c>
      <c r="D139" s="18" t="s">
        <v>31</v>
      </c>
      <c r="E139" s="18" t="s">
        <v>366</v>
      </c>
      <c r="F139" s="18" t="s">
        <v>5</v>
      </c>
      <c r="G139" s="48" t="s">
        <v>209</v>
      </c>
      <c r="H139" s="70">
        <v>6.374990762E9</v>
      </c>
      <c r="I139" s="174"/>
      <c r="J139" s="185"/>
      <c r="K139" s="53"/>
      <c r="L139" s="53"/>
      <c r="M139" s="217" t="s">
        <v>165</v>
      </c>
      <c r="N139" s="53" t="s">
        <v>1538</v>
      </c>
      <c r="O139" s="52" t="s">
        <v>89</v>
      </c>
      <c r="P139" s="52" t="s">
        <v>130</v>
      </c>
      <c r="Q139" s="156"/>
      <c r="R139" s="57" t="s">
        <v>68</v>
      </c>
      <c r="S139" s="156" t="s">
        <v>511</v>
      </c>
      <c r="T139" s="62" t="s">
        <v>1539</v>
      </c>
      <c r="U139" s="63"/>
    </row>
    <row r="140" ht="26.25" customHeight="1">
      <c r="A140" s="257" t="s">
        <v>1238</v>
      </c>
      <c r="B140" s="235"/>
      <c r="C140" s="235"/>
      <c r="D140" s="18" t="s">
        <v>31</v>
      </c>
      <c r="E140" s="235" t="s">
        <v>425</v>
      </c>
      <c r="F140" s="128" t="s">
        <v>5</v>
      </c>
      <c r="G140" s="130"/>
      <c r="H140" s="130">
        <v>6.380652935E9</v>
      </c>
      <c r="I140" s="238"/>
      <c r="J140" s="265"/>
      <c r="K140" s="266"/>
      <c r="L140" s="266"/>
      <c r="M140" s="133"/>
      <c r="N140" s="266"/>
      <c r="O140" s="133"/>
      <c r="P140" s="133"/>
      <c r="Q140" s="241"/>
      <c r="R140" s="136" t="s">
        <v>68</v>
      </c>
      <c r="S140" s="597" t="s">
        <v>1240</v>
      </c>
      <c r="T140" s="261" t="s">
        <v>1543</v>
      </c>
      <c r="U140" s="140"/>
    </row>
    <row r="141" ht="26.25" customHeight="1">
      <c r="A141" s="209" t="s">
        <v>1025</v>
      </c>
      <c r="B141" s="228" t="s">
        <v>1544</v>
      </c>
      <c r="C141" s="228" t="s">
        <v>1545</v>
      </c>
      <c r="D141" s="18" t="s">
        <v>31</v>
      </c>
      <c r="E141" s="18" t="s">
        <v>366</v>
      </c>
      <c r="F141" s="19" t="s">
        <v>5</v>
      </c>
      <c r="G141" s="212" t="s">
        <v>1271</v>
      </c>
      <c r="H141" s="212">
        <v>6.38278593E9</v>
      </c>
      <c r="I141" s="213"/>
      <c r="J141" s="185"/>
      <c r="K141" s="53"/>
      <c r="L141" s="53"/>
      <c r="M141" s="52" t="s">
        <v>165</v>
      </c>
      <c r="N141" s="53" t="s">
        <v>1547</v>
      </c>
      <c r="O141" s="218" t="s">
        <v>106</v>
      </c>
      <c r="P141" s="218" t="s">
        <v>90</v>
      </c>
      <c r="Q141" s="219"/>
      <c r="R141" s="30" t="s">
        <v>68</v>
      </c>
      <c r="S141" s="231" t="s">
        <v>1026</v>
      </c>
      <c r="T141" s="658" t="s">
        <v>1548</v>
      </c>
      <c r="U141" s="43"/>
    </row>
    <row r="142" ht="26.25" customHeight="1">
      <c r="A142" s="45" t="s">
        <v>836</v>
      </c>
      <c r="B142" s="451" t="s">
        <v>164</v>
      </c>
      <c r="C142" s="451"/>
      <c r="D142" s="18" t="s">
        <v>31</v>
      </c>
      <c r="E142" s="65" t="s">
        <v>32</v>
      </c>
      <c r="F142" s="65" t="s">
        <v>5</v>
      </c>
      <c r="G142" s="48" t="s">
        <v>1069</v>
      </c>
      <c r="H142" s="70">
        <v>9.790004554E9</v>
      </c>
      <c r="I142" s="184" t="s">
        <v>85</v>
      </c>
      <c r="J142" s="175"/>
      <c r="K142" s="53" t="s">
        <v>164</v>
      </c>
      <c r="L142" s="53">
        <v>1.0</v>
      </c>
      <c r="M142" s="52" t="s">
        <v>87</v>
      </c>
      <c r="N142" s="53" t="s">
        <v>1552</v>
      </c>
      <c r="O142" s="52" t="s">
        <v>106</v>
      </c>
      <c r="P142" s="78"/>
      <c r="Q142" s="659" t="s">
        <v>91</v>
      </c>
      <c r="R142" s="660"/>
      <c r="S142" s="660" t="s">
        <v>255</v>
      </c>
      <c r="T142" s="116" t="s">
        <v>1554</v>
      </c>
      <c r="U142" s="83">
        <v>300000.0</v>
      </c>
    </row>
    <row r="143" ht="26.25" customHeight="1">
      <c r="A143" s="45" t="s">
        <v>840</v>
      </c>
      <c r="B143" s="19" t="s">
        <v>571</v>
      </c>
      <c r="C143" s="661" t="s">
        <v>1556</v>
      </c>
      <c r="D143" s="18" t="s">
        <v>31</v>
      </c>
      <c r="E143" s="65" t="s">
        <v>32</v>
      </c>
      <c r="F143" s="18" t="s">
        <v>5</v>
      </c>
      <c r="G143" s="48" t="s">
        <v>209</v>
      </c>
      <c r="H143" s="70">
        <v>8.825987128E9</v>
      </c>
      <c r="I143" s="184" t="s">
        <v>1558</v>
      </c>
      <c r="J143" s="528"/>
      <c r="K143" s="246" t="s">
        <v>164</v>
      </c>
      <c r="L143" s="246">
        <v>2.0</v>
      </c>
      <c r="M143" s="52" t="s">
        <v>165</v>
      </c>
      <c r="N143" s="662" t="s">
        <v>1559</v>
      </c>
      <c r="O143" s="52" t="s">
        <v>1560</v>
      </c>
      <c r="P143" s="78"/>
      <c r="Q143" s="87" t="s">
        <v>91</v>
      </c>
      <c r="R143" s="18" t="s">
        <v>68</v>
      </c>
      <c r="S143" s="65" t="s">
        <v>568</v>
      </c>
      <c r="T143" s="62" t="s">
        <v>1562</v>
      </c>
      <c r="U143" s="63"/>
    </row>
    <row r="144" ht="26.25" customHeight="1">
      <c r="A144" s="84" t="s">
        <v>950</v>
      </c>
      <c r="B144" s="664" t="s">
        <v>1567</v>
      </c>
      <c r="C144" s="664" t="s">
        <v>1568</v>
      </c>
      <c r="D144" s="18" t="s">
        <v>31</v>
      </c>
      <c r="E144" s="65" t="s">
        <v>32</v>
      </c>
      <c r="F144" s="87" t="s">
        <v>5</v>
      </c>
      <c r="G144" s="509" t="s">
        <v>392</v>
      </c>
      <c r="H144" s="224">
        <v>9.884065356E9</v>
      </c>
      <c r="I144" s="389" t="s">
        <v>1569</v>
      </c>
      <c r="J144" s="390" t="s">
        <v>164</v>
      </c>
      <c r="K144" s="90" t="s">
        <v>147</v>
      </c>
      <c r="L144" s="90">
        <v>2.0</v>
      </c>
      <c r="M144" s="89" t="s">
        <v>87</v>
      </c>
      <c r="N144" s="90" t="s">
        <v>1571</v>
      </c>
      <c r="O144" s="89" t="s">
        <v>106</v>
      </c>
      <c r="P144" s="89" t="s">
        <v>182</v>
      </c>
      <c r="Q144" s="57" t="s">
        <v>91</v>
      </c>
      <c r="R144" s="87" t="s">
        <v>68</v>
      </c>
      <c r="S144" s="87" t="s">
        <v>952</v>
      </c>
      <c r="T144" s="106" t="s">
        <v>1572</v>
      </c>
      <c r="U144" s="95"/>
    </row>
    <row r="145" ht="26.25" customHeight="1">
      <c r="A145" s="483" t="s">
        <v>989</v>
      </c>
      <c r="B145" s="128" t="s">
        <v>1573</v>
      </c>
      <c r="C145" s="128" t="s">
        <v>1574</v>
      </c>
      <c r="D145" s="18" t="s">
        <v>31</v>
      </c>
      <c r="E145" s="235" t="s">
        <v>366</v>
      </c>
      <c r="F145" s="128" t="s">
        <v>5</v>
      </c>
      <c r="G145" s="130" t="s">
        <v>230</v>
      </c>
      <c r="H145" s="553">
        <v>9.15062444E9</v>
      </c>
      <c r="I145" s="272"/>
      <c r="J145" s="418"/>
      <c r="K145" s="132"/>
      <c r="L145" s="132"/>
      <c r="M145" s="131"/>
      <c r="N145" s="132"/>
      <c r="O145" s="131"/>
      <c r="P145" s="131"/>
      <c r="Q145" s="235"/>
      <c r="R145" s="667" t="s">
        <v>68</v>
      </c>
      <c r="S145" s="558" t="s">
        <v>974</v>
      </c>
      <c r="T145" s="138" t="s">
        <v>1577</v>
      </c>
      <c r="U145" s="487"/>
    </row>
    <row r="146" ht="26.25" customHeight="1">
      <c r="A146" s="45" t="s">
        <v>809</v>
      </c>
      <c r="B146" s="65" t="s">
        <v>693</v>
      </c>
      <c r="C146" s="65" t="s">
        <v>1578</v>
      </c>
      <c r="D146" s="18" t="s">
        <v>31</v>
      </c>
      <c r="E146" s="18" t="s">
        <v>63</v>
      </c>
      <c r="F146" s="65" t="s">
        <v>5</v>
      </c>
      <c r="G146" s="48" t="s">
        <v>1069</v>
      </c>
      <c r="H146" s="70">
        <v>7.094149367E9</v>
      </c>
      <c r="I146" s="174"/>
      <c r="J146" s="185"/>
      <c r="K146" s="53"/>
      <c r="L146" s="53"/>
      <c r="M146" s="78" t="s">
        <v>165</v>
      </c>
      <c r="N146" s="53" t="s">
        <v>1580</v>
      </c>
      <c r="O146" s="18" t="s">
        <v>89</v>
      </c>
      <c r="P146" s="52" t="s">
        <v>130</v>
      </c>
      <c r="Q146" s="65"/>
      <c r="R146" s="275" t="s">
        <v>68</v>
      </c>
      <c r="S146" s="65" t="s">
        <v>142</v>
      </c>
      <c r="T146" s="62" t="s">
        <v>1581</v>
      </c>
      <c r="U146" s="63"/>
    </row>
    <row r="147" ht="26.25" customHeight="1">
      <c r="A147" s="497" t="s">
        <v>1582</v>
      </c>
      <c r="B147" s="581"/>
      <c r="C147" s="668"/>
      <c r="D147" s="19"/>
      <c r="E147" s="19" t="s">
        <v>1584</v>
      </c>
      <c r="F147" s="19" t="s">
        <v>307</v>
      </c>
      <c r="G147" s="310"/>
      <c r="H147" s="310">
        <v>9.840635778E9</v>
      </c>
      <c r="I147" s="303"/>
      <c r="J147" s="507"/>
      <c r="K147" s="507"/>
      <c r="L147" s="507"/>
      <c r="M147" s="25"/>
      <c r="N147" s="507"/>
      <c r="O147" s="25"/>
      <c r="P147" s="25"/>
      <c r="Q147" s="219"/>
      <c r="R147" s="30"/>
      <c r="S147" s="670" t="s">
        <v>1586</v>
      </c>
      <c r="T147" s="219"/>
      <c r="U147" s="43"/>
    </row>
    <row r="148" ht="26.25" customHeight="1">
      <c r="A148" s="45" t="s">
        <v>1103</v>
      </c>
      <c r="B148" s="47"/>
      <c r="C148" s="47"/>
      <c r="D148" s="18" t="s">
        <v>31</v>
      </c>
      <c r="E148" s="65" t="s">
        <v>32</v>
      </c>
      <c r="F148" s="18" t="s">
        <v>5</v>
      </c>
      <c r="G148" s="672" t="s">
        <v>392</v>
      </c>
      <c r="H148" s="673">
        <v>9.500194696E9</v>
      </c>
      <c r="I148" s="164" t="s">
        <v>1588</v>
      </c>
      <c r="J148" s="500"/>
      <c r="K148" s="500" t="s">
        <v>147</v>
      </c>
      <c r="L148" s="500">
        <v>5.0</v>
      </c>
      <c r="M148" s="169" t="s">
        <v>87</v>
      </c>
      <c r="N148" s="500" t="s">
        <v>1331</v>
      </c>
      <c r="O148" s="169" t="s">
        <v>89</v>
      </c>
      <c r="P148" s="169"/>
      <c r="Q148" s="57" t="s">
        <v>91</v>
      </c>
      <c r="R148" s="18" t="s">
        <v>68</v>
      </c>
      <c r="S148" s="57" t="s">
        <v>864</v>
      </c>
      <c r="T148" s="62" t="s">
        <v>1493</v>
      </c>
      <c r="U148" s="172"/>
    </row>
    <row r="149" ht="26.25" customHeight="1">
      <c r="A149" s="84" t="s">
        <v>899</v>
      </c>
      <c r="B149" s="173" t="s">
        <v>1592</v>
      </c>
      <c r="C149" s="173" t="s">
        <v>1593</v>
      </c>
      <c r="D149" s="18" t="s">
        <v>31</v>
      </c>
      <c r="E149" s="18" t="s">
        <v>63</v>
      </c>
      <c r="F149" s="87" t="s">
        <v>5</v>
      </c>
      <c r="G149" s="48" t="s">
        <v>1271</v>
      </c>
      <c r="H149" s="102">
        <v>9.342242802E9</v>
      </c>
      <c r="I149" s="389"/>
      <c r="J149" s="674"/>
      <c r="K149" s="674"/>
      <c r="L149" s="674"/>
      <c r="M149" s="444"/>
      <c r="N149" s="674"/>
      <c r="O149" s="444"/>
      <c r="P149" s="444"/>
      <c r="Q149" s="523"/>
      <c r="R149" s="402" t="s">
        <v>68</v>
      </c>
      <c r="S149" s="523" t="s">
        <v>900</v>
      </c>
      <c r="T149" s="106" t="s">
        <v>1594</v>
      </c>
      <c r="U149" s="95"/>
    </row>
    <row r="150" ht="26.25" customHeight="1">
      <c r="A150" s="45" t="s">
        <v>875</v>
      </c>
      <c r="B150" s="52"/>
      <c r="C150" s="65"/>
      <c r="D150" s="18" t="s">
        <v>31</v>
      </c>
      <c r="E150" s="18" t="s">
        <v>63</v>
      </c>
      <c r="F150" s="18" t="s">
        <v>5</v>
      </c>
      <c r="G150" s="48" t="s">
        <v>1271</v>
      </c>
      <c r="H150" s="48">
        <v>8.10687252E9</v>
      </c>
      <c r="I150" s="184"/>
      <c r="J150" s="246"/>
      <c r="K150" s="246"/>
      <c r="L150" s="246"/>
      <c r="M150" s="52"/>
      <c r="N150" s="246"/>
      <c r="O150" s="52"/>
      <c r="P150" s="52"/>
      <c r="Q150" s="65"/>
      <c r="R150" s="18" t="s">
        <v>68</v>
      </c>
      <c r="S150" s="65" t="s">
        <v>877</v>
      </c>
      <c r="T150" s="62" t="s">
        <v>1598</v>
      </c>
      <c r="U150" s="63"/>
    </row>
    <row r="151" ht="26.25" customHeight="1">
      <c r="A151" s="675" t="s">
        <v>1012</v>
      </c>
      <c r="B151" s="483" t="s">
        <v>1600</v>
      </c>
      <c r="C151" s="483" t="s">
        <v>1600</v>
      </c>
      <c r="D151" s="18" t="s">
        <v>31</v>
      </c>
      <c r="E151" s="235" t="s">
        <v>63</v>
      </c>
      <c r="F151" s="128" t="s">
        <v>5</v>
      </c>
      <c r="G151" s="130" t="s">
        <v>466</v>
      </c>
      <c r="H151" s="676">
        <v>9.361579843E9</v>
      </c>
      <c r="I151" s="272"/>
      <c r="J151" s="418"/>
      <c r="K151" s="132"/>
      <c r="L151" s="132"/>
      <c r="M151" s="677"/>
      <c r="N151" s="132"/>
      <c r="O151" s="131"/>
      <c r="P151" s="131"/>
      <c r="Q151" s="128"/>
      <c r="R151" s="128" t="s">
        <v>68</v>
      </c>
      <c r="S151" s="128" t="s">
        <v>1014</v>
      </c>
      <c r="T151" s="616" t="s">
        <v>1603</v>
      </c>
      <c r="U151" s="618"/>
    </row>
    <row r="152" ht="26.25" customHeight="1">
      <c r="A152" s="173" t="s">
        <v>701</v>
      </c>
      <c r="B152" s="65" t="s">
        <v>1606</v>
      </c>
      <c r="C152" s="65" t="s">
        <v>1607</v>
      </c>
      <c r="D152" s="18" t="s">
        <v>31</v>
      </c>
      <c r="E152" s="18" t="s">
        <v>63</v>
      </c>
      <c r="F152" s="18" t="s">
        <v>5</v>
      </c>
      <c r="G152" s="48" t="s">
        <v>64</v>
      </c>
      <c r="H152" s="70">
        <v>9.944039984E9</v>
      </c>
      <c r="I152" s="174"/>
      <c r="J152" s="246"/>
      <c r="K152" s="246"/>
      <c r="L152" s="246"/>
      <c r="M152" s="52" t="s">
        <v>87</v>
      </c>
      <c r="N152" s="246" t="s">
        <v>1608</v>
      </c>
      <c r="O152" s="52" t="s">
        <v>89</v>
      </c>
      <c r="P152" s="52" t="s">
        <v>130</v>
      </c>
      <c r="Q152" s="65"/>
      <c r="R152" s="18" t="s">
        <v>68</v>
      </c>
      <c r="S152" s="65" t="s">
        <v>703</v>
      </c>
      <c r="T152" s="18"/>
      <c r="U152" s="63"/>
    </row>
    <row r="153" ht="26.25" customHeight="1">
      <c r="A153" s="45" t="s">
        <v>669</v>
      </c>
      <c r="B153" s="18" t="s">
        <v>1611</v>
      </c>
      <c r="C153" s="18" t="s">
        <v>1612</v>
      </c>
      <c r="D153" s="18" t="s">
        <v>31</v>
      </c>
      <c r="E153" s="18" t="s">
        <v>366</v>
      </c>
      <c r="F153" s="18" t="s">
        <v>5</v>
      </c>
      <c r="G153" s="130" t="s">
        <v>466</v>
      </c>
      <c r="H153" s="48">
        <v>9.363197584E9</v>
      </c>
      <c r="I153" s="184"/>
      <c r="J153" s="246"/>
      <c r="K153" s="246"/>
      <c r="L153" s="246"/>
      <c r="M153" s="52" t="s">
        <v>87</v>
      </c>
      <c r="N153" s="246" t="s">
        <v>1613</v>
      </c>
      <c r="O153" s="52" t="s">
        <v>106</v>
      </c>
      <c r="P153" s="52" t="s">
        <v>90</v>
      </c>
      <c r="Q153" s="18"/>
      <c r="R153" s="18" t="s">
        <v>68</v>
      </c>
      <c r="S153" s="18" t="s">
        <v>670</v>
      </c>
      <c r="T153" s="62" t="s">
        <v>1616</v>
      </c>
      <c r="U153" s="63"/>
    </row>
    <row r="154" ht="26.25" customHeight="1">
      <c r="A154" s="45" t="s">
        <v>1618</v>
      </c>
      <c r="B154" s="19" t="s">
        <v>715</v>
      </c>
      <c r="C154" s="19" t="s">
        <v>1619</v>
      </c>
      <c r="D154" s="18" t="s">
        <v>31</v>
      </c>
      <c r="E154" s="18" t="s">
        <v>366</v>
      </c>
      <c r="F154" s="65" t="s">
        <v>5</v>
      </c>
      <c r="G154" s="48" t="s">
        <v>403</v>
      </c>
      <c r="H154" s="70">
        <v>9.843930292E9</v>
      </c>
      <c r="I154" s="174"/>
      <c r="J154" s="246"/>
      <c r="K154" s="246"/>
      <c r="L154" s="246"/>
      <c r="M154" s="52" t="s">
        <v>128</v>
      </c>
      <c r="N154" s="246" t="s">
        <v>1620</v>
      </c>
      <c r="O154" s="52" t="s">
        <v>89</v>
      </c>
      <c r="P154" s="52" t="s">
        <v>130</v>
      </c>
      <c r="Q154" s="18"/>
      <c r="R154" s="18" t="s">
        <v>68</v>
      </c>
      <c r="S154" s="275" t="s">
        <v>709</v>
      </c>
      <c r="T154" s="679" t="s">
        <v>1622</v>
      </c>
      <c r="U154" s="680"/>
    </row>
    <row r="155" ht="26.25" customHeight="1">
      <c r="A155" s="45" t="s">
        <v>814</v>
      </c>
      <c r="B155" s="65" t="s">
        <v>1624</v>
      </c>
      <c r="C155" s="65" t="s">
        <v>1625</v>
      </c>
      <c r="D155" s="18" t="s">
        <v>31</v>
      </c>
      <c r="E155" s="18" t="s">
        <v>63</v>
      </c>
      <c r="F155" s="65" t="s">
        <v>5</v>
      </c>
      <c r="G155" s="48" t="s">
        <v>1101</v>
      </c>
      <c r="H155" s="48">
        <v>7.358254947E9</v>
      </c>
      <c r="I155" s="184"/>
      <c r="J155" s="185"/>
      <c r="K155" s="53"/>
      <c r="L155" s="53"/>
      <c r="M155" s="52" t="s">
        <v>128</v>
      </c>
      <c r="N155" s="53" t="s">
        <v>1626</v>
      </c>
      <c r="O155" s="18" t="s">
        <v>89</v>
      </c>
      <c r="P155" s="52" t="s">
        <v>130</v>
      </c>
      <c r="Q155" s="156"/>
      <c r="R155" s="18" t="s">
        <v>68</v>
      </c>
      <c r="S155" s="156" t="s">
        <v>287</v>
      </c>
      <c r="T155" s="62" t="s">
        <v>1627</v>
      </c>
      <c r="U155" s="63"/>
    </row>
    <row r="156" ht="26.25" customHeight="1">
      <c r="A156" s="209" t="s">
        <v>1629</v>
      </c>
      <c r="B156" s="228" t="s">
        <v>1630</v>
      </c>
      <c r="C156" s="683" t="s">
        <v>1631</v>
      </c>
      <c r="D156" s="18" t="s">
        <v>31</v>
      </c>
      <c r="E156" s="65" t="s">
        <v>32</v>
      </c>
      <c r="F156" s="19" t="s">
        <v>5</v>
      </c>
      <c r="G156" s="535" t="s">
        <v>392</v>
      </c>
      <c r="H156" s="684">
        <v>8.754864334E9</v>
      </c>
      <c r="I156" s="213" t="s">
        <v>1632</v>
      </c>
      <c r="J156" s="246" t="s">
        <v>1633</v>
      </c>
      <c r="K156" s="246" t="s">
        <v>1517</v>
      </c>
      <c r="L156" s="246">
        <v>1.0</v>
      </c>
      <c r="M156" s="52" t="s">
        <v>165</v>
      </c>
      <c r="N156" s="246" t="s">
        <v>1635</v>
      </c>
      <c r="O156" s="218" t="s">
        <v>89</v>
      </c>
      <c r="P156" s="218" t="s">
        <v>90</v>
      </c>
      <c r="Q156" s="57" t="s">
        <v>91</v>
      </c>
      <c r="R156" s="30" t="s">
        <v>68</v>
      </c>
      <c r="S156" s="686" t="s">
        <v>603</v>
      </c>
      <c r="T156" s="220" t="s">
        <v>1637</v>
      </c>
      <c r="U156" s="43"/>
    </row>
    <row r="157" ht="26.25" customHeight="1">
      <c r="A157" s="45" t="s">
        <v>776</v>
      </c>
      <c r="B157" s="18" t="s">
        <v>1638</v>
      </c>
      <c r="C157" s="18" t="s">
        <v>1639</v>
      </c>
      <c r="D157" s="18" t="s">
        <v>31</v>
      </c>
      <c r="E157" s="65" t="s">
        <v>32</v>
      </c>
      <c r="F157" s="18" t="s">
        <v>5</v>
      </c>
      <c r="G157" s="145" t="s">
        <v>256</v>
      </c>
      <c r="H157" s="70">
        <v>9.79163837E9</v>
      </c>
      <c r="I157" s="184"/>
      <c r="J157" s="185"/>
      <c r="K157" s="53"/>
      <c r="L157" s="53"/>
      <c r="M157" s="78" t="s">
        <v>165</v>
      </c>
      <c r="N157" s="53" t="s">
        <v>1641</v>
      </c>
      <c r="O157" s="52" t="s">
        <v>89</v>
      </c>
      <c r="P157" s="52" t="s">
        <v>90</v>
      </c>
      <c r="Q157" s="65"/>
      <c r="R157" s="18" t="s">
        <v>68</v>
      </c>
      <c r="S157" s="65" t="s">
        <v>117</v>
      </c>
      <c r="T157" s="116" t="s">
        <v>1642</v>
      </c>
      <c r="U157" s="83"/>
    </row>
    <row r="158" ht="26.25" customHeight="1">
      <c r="A158" s="45" t="s">
        <v>1644</v>
      </c>
      <c r="B158" s="65" t="s">
        <v>1645</v>
      </c>
      <c r="C158" s="65" t="s">
        <v>1646</v>
      </c>
      <c r="D158" s="18" t="s">
        <v>31</v>
      </c>
      <c r="E158" s="65" t="s">
        <v>32</v>
      </c>
      <c r="F158" s="65" t="s">
        <v>5</v>
      </c>
      <c r="G158" s="145" t="s">
        <v>256</v>
      </c>
      <c r="H158" s="70">
        <v>9.791896178E9</v>
      </c>
      <c r="I158" s="184" t="s">
        <v>1647</v>
      </c>
      <c r="J158" s="185"/>
      <c r="K158" s="53" t="s">
        <v>86</v>
      </c>
      <c r="L158" s="53">
        <v>2.0</v>
      </c>
      <c r="M158" s="52" t="s">
        <v>128</v>
      </c>
      <c r="N158" s="53" t="s">
        <v>1648</v>
      </c>
      <c r="O158" s="52" t="s">
        <v>106</v>
      </c>
      <c r="P158" s="52" t="s">
        <v>130</v>
      </c>
      <c r="Q158" s="659" t="s">
        <v>91</v>
      </c>
      <c r="R158" s="18" t="s">
        <v>68</v>
      </c>
      <c r="S158" s="65" t="s">
        <v>826</v>
      </c>
      <c r="T158" s="62" t="s">
        <v>1533</v>
      </c>
      <c r="U158" s="63"/>
    </row>
    <row r="159" ht="26.25" customHeight="1">
      <c r="A159" s="173" t="s">
        <v>850</v>
      </c>
      <c r="B159" s="65"/>
      <c r="C159" s="65"/>
      <c r="D159" s="18" t="s">
        <v>31</v>
      </c>
      <c r="E159" s="18" t="s">
        <v>63</v>
      </c>
      <c r="F159" s="18" t="s">
        <v>5</v>
      </c>
      <c r="G159" s="48" t="s">
        <v>331</v>
      </c>
      <c r="H159" s="70">
        <v>8.610254655E9</v>
      </c>
      <c r="I159" s="174"/>
      <c r="J159" s="175"/>
      <c r="K159" s="177"/>
      <c r="L159" s="177"/>
      <c r="M159" s="78"/>
      <c r="N159" s="177"/>
      <c r="O159" s="78"/>
      <c r="P159" s="78"/>
      <c r="Q159" s="65"/>
      <c r="R159" s="18" t="s">
        <v>68</v>
      </c>
      <c r="S159" s="451" t="s">
        <v>448</v>
      </c>
      <c r="T159" s="18"/>
      <c r="U159" s="63"/>
    </row>
    <row r="160" ht="26.25" customHeight="1">
      <c r="A160" s="689" t="s">
        <v>1077</v>
      </c>
      <c r="B160" s="690" t="s">
        <v>1651</v>
      </c>
      <c r="C160" s="691" t="s">
        <v>1653</v>
      </c>
      <c r="D160" s="18" t="s">
        <v>31</v>
      </c>
      <c r="E160" s="65" t="s">
        <v>32</v>
      </c>
      <c r="F160" s="526" t="s">
        <v>5</v>
      </c>
      <c r="G160" s="692" t="s">
        <v>256</v>
      </c>
      <c r="H160" s="693">
        <v>9.600447671E9</v>
      </c>
      <c r="I160" s="694" t="s">
        <v>1654</v>
      </c>
      <c r="J160" s="695" t="s">
        <v>164</v>
      </c>
      <c r="K160" s="695" t="s">
        <v>164</v>
      </c>
      <c r="L160" s="695">
        <v>2.0</v>
      </c>
      <c r="M160" s="696" t="s">
        <v>149</v>
      </c>
      <c r="N160" s="695" t="s">
        <v>1655</v>
      </c>
      <c r="O160" s="696" t="s">
        <v>89</v>
      </c>
      <c r="P160" s="697" t="s">
        <v>90</v>
      </c>
      <c r="Q160" s="698" t="s">
        <v>91</v>
      </c>
      <c r="R160" s="699" t="s">
        <v>68</v>
      </c>
      <c r="S160" s="552" t="s">
        <v>1078</v>
      </c>
      <c r="T160" s="701" t="s">
        <v>1656</v>
      </c>
      <c r="U160" s="702"/>
    </row>
    <row r="161" ht="26.25" customHeight="1">
      <c r="A161" s="703" t="s">
        <v>942</v>
      </c>
      <c r="B161" s="705"/>
      <c r="C161" s="705"/>
      <c r="D161" s="18" t="s">
        <v>31</v>
      </c>
      <c r="E161" s="235" t="s">
        <v>425</v>
      </c>
      <c r="F161" s="707" t="s">
        <v>5</v>
      </c>
      <c r="G161" s="484"/>
      <c r="H161" s="708">
        <v>9.566834018E9</v>
      </c>
      <c r="I161" s="710"/>
      <c r="J161" s="711"/>
      <c r="K161" s="711"/>
      <c r="L161" s="711"/>
      <c r="M161" s="712"/>
      <c r="N161" s="711"/>
      <c r="O161" s="710"/>
      <c r="P161" s="710"/>
      <c r="Q161" s="714"/>
      <c r="R161" s="714" t="s">
        <v>68</v>
      </c>
      <c r="S161" s="714" t="s">
        <v>943</v>
      </c>
      <c r="T161" s="715" t="s">
        <v>1660</v>
      </c>
      <c r="U161" s="716"/>
    </row>
    <row r="162" ht="26.25" customHeight="1">
      <c r="A162" s="717" t="s">
        <v>794</v>
      </c>
      <c r="B162" s="451" t="s">
        <v>1661</v>
      </c>
      <c r="C162" s="451" t="s">
        <v>1662</v>
      </c>
      <c r="D162" s="18" t="s">
        <v>31</v>
      </c>
      <c r="E162" s="18" t="s">
        <v>63</v>
      </c>
      <c r="F162" s="451" t="s">
        <v>5</v>
      </c>
      <c r="G162" s="48" t="s">
        <v>1187</v>
      </c>
      <c r="H162" s="720">
        <v>8.122302503E9</v>
      </c>
      <c r="I162" s="723"/>
      <c r="J162" s="246"/>
      <c r="K162" s="246"/>
      <c r="L162" s="246"/>
      <c r="M162" s="52" t="s">
        <v>87</v>
      </c>
      <c r="N162" s="246" t="s">
        <v>1665</v>
      </c>
      <c r="O162" s="725" t="s">
        <v>106</v>
      </c>
      <c r="P162" s="725" t="s">
        <v>130</v>
      </c>
      <c r="Q162" s="451"/>
      <c r="R162" s="275" t="s">
        <v>68</v>
      </c>
      <c r="S162" s="451" t="s">
        <v>796</v>
      </c>
      <c r="T162" s="726" t="s">
        <v>1666</v>
      </c>
      <c r="U162" s="680"/>
    </row>
    <row r="163" ht="26.25" customHeight="1">
      <c r="A163" s="727" t="s">
        <v>1667</v>
      </c>
      <c r="B163" s="728"/>
      <c r="C163" s="728"/>
      <c r="D163" s="65"/>
      <c r="E163" s="65"/>
      <c r="F163" s="526" t="s">
        <v>307</v>
      </c>
      <c r="G163" s="588"/>
      <c r="H163" s="729">
        <v>8.825629722E9</v>
      </c>
      <c r="I163" s="730"/>
      <c r="M163" s="592"/>
      <c r="O163" s="730"/>
      <c r="P163" s="730"/>
      <c r="Q163" s="731"/>
      <c r="R163" s="731"/>
      <c r="S163" s="731" t="s">
        <v>1575</v>
      </c>
      <c r="T163" s="275" t="s">
        <v>359</v>
      </c>
      <c r="U163" s="680"/>
    </row>
    <row r="164" ht="26.25" customHeight="1">
      <c r="A164" s="717" t="s">
        <v>631</v>
      </c>
      <c r="B164" s="451" t="s">
        <v>1669</v>
      </c>
      <c r="C164" s="451" t="s">
        <v>1670</v>
      </c>
      <c r="D164" s="18" t="s">
        <v>31</v>
      </c>
      <c r="E164" s="18" t="s">
        <v>63</v>
      </c>
      <c r="F164" s="451" t="s">
        <v>5</v>
      </c>
      <c r="G164" s="48" t="s">
        <v>1187</v>
      </c>
      <c r="H164" s="720">
        <v>8.681879364E9</v>
      </c>
      <c r="I164" s="723"/>
      <c r="J164" s="246"/>
      <c r="K164" s="246"/>
      <c r="L164" s="246"/>
      <c r="M164" s="52" t="s">
        <v>87</v>
      </c>
      <c r="N164" s="246" t="s">
        <v>1671</v>
      </c>
      <c r="O164" s="275" t="s">
        <v>106</v>
      </c>
      <c r="P164" s="725" t="s">
        <v>90</v>
      </c>
      <c r="Q164" s="451"/>
      <c r="R164" s="275" t="s">
        <v>68</v>
      </c>
      <c r="S164" s="451" t="s">
        <v>634</v>
      </c>
      <c r="T164" s="726" t="s">
        <v>1658</v>
      </c>
      <c r="U164" s="680"/>
    </row>
    <row r="165" ht="26.25" customHeight="1">
      <c r="A165" s="727" t="s">
        <v>1673</v>
      </c>
      <c r="B165" s="732" t="s">
        <v>1674</v>
      </c>
      <c r="C165" s="451" t="s">
        <v>1675</v>
      </c>
      <c r="D165" s="65"/>
      <c r="E165" s="65"/>
      <c r="F165" s="526" t="s">
        <v>307</v>
      </c>
      <c r="G165" s="70"/>
      <c r="H165" s="720" t="s">
        <v>164</v>
      </c>
      <c r="I165" s="723"/>
      <c r="J165" s="528"/>
      <c r="K165" s="528"/>
      <c r="L165" s="528"/>
      <c r="M165" s="723"/>
      <c r="N165" s="528"/>
      <c r="O165" s="723"/>
      <c r="P165" s="723"/>
      <c r="Q165" s="451"/>
      <c r="R165" s="451"/>
      <c r="S165" s="451" t="s">
        <v>1677</v>
      </c>
      <c r="T165" s="275"/>
      <c r="U165" s="680"/>
    </row>
    <row r="166" ht="26.25" customHeight="1">
      <c r="A166" s="733" t="s">
        <v>890</v>
      </c>
      <c r="B166" s="733"/>
      <c r="C166" s="733"/>
      <c r="D166" s="18" t="s">
        <v>31</v>
      </c>
      <c r="E166" s="18" t="s">
        <v>366</v>
      </c>
      <c r="F166" s="734" t="s">
        <v>5</v>
      </c>
      <c r="G166" s="212" t="s">
        <v>1271</v>
      </c>
      <c r="H166" s="735">
        <v>9.626316318E9</v>
      </c>
      <c r="I166" s="736"/>
      <c r="J166" s="647"/>
      <c r="K166" s="647"/>
      <c r="L166" s="647"/>
      <c r="M166" s="736" t="s">
        <v>128</v>
      </c>
      <c r="N166" s="647" t="s">
        <v>1678</v>
      </c>
      <c r="O166" s="736" t="s">
        <v>106</v>
      </c>
      <c r="P166" s="736" t="s">
        <v>1679</v>
      </c>
      <c r="Q166" s="737"/>
      <c r="R166" s="737" t="s">
        <v>68</v>
      </c>
      <c r="S166" s="737" t="s">
        <v>894</v>
      </c>
      <c r="T166" s="739" t="s">
        <v>1680</v>
      </c>
      <c r="U166" s="740"/>
    </row>
    <row r="167" ht="26.25" customHeight="1">
      <c r="A167" s="727" t="s">
        <v>1565</v>
      </c>
      <c r="B167" s="451"/>
      <c r="C167" s="451"/>
      <c r="D167" s="275" t="s">
        <v>1682</v>
      </c>
      <c r="E167" s="65" t="s">
        <v>32</v>
      </c>
      <c r="F167" s="275" t="s">
        <v>1566</v>
      </c>
      <c r="G167" s="741" t="s">
        <v>1683</v>
      </c>
      <c r="H167" s="741"/>
      <c r="I167" s="725"/>
      <c r="J167" s="246"/>
      <c r="K167" s="246"/>
      <c r="L167" s="246"/>
      <c r="M167" s="725"/>
      <c r="N167" s="246"/>
      <c r="O167" s="725"/>
      <c r="P167" s="725"/>
      <c r="Q167" s="275" t="s">
        <v>164</v>
      </c>
      <c r="R167" s="275"/>
      <c r="S167" s="275"/>
      <c r="T167" s="275"/>
      <c r="U167" s="680">
        <v>196000.0</v>
      </c>
    </row>
    <row r="168" ht="26.25" customHeight="1">
      <c r="A168" s="733" t="s">
        <v>831</v>
      </c>
      <c r="B168" s="742" t="s">
        <v>855</v>
      </c>
      <c r="C168" s="742" t="s">
        <v>1685</v>
      </c>
      <c r="D168" s="18" t="s">
        <v>31</v>
      </c>
      <c r="E168" s="275" t="s">
        <v>63</v>
      </c>
      <c r="F168" s="734" t="s">
        <v>5</v>
      </c>
      <c r="G168" s="735" t="s">
        <v>123</v>
      </c>
      <c r="H168" s="743">
        <v>8.903672237E9</v>
      </c>
      <c r="I168" s="736"/>
      <c r="J168" s="647"/>
      <c r="K168" s="647"/>
      <c r="L168" s="647"/>
      <c r="M168" s="467"/>
      <c r="N168" s="647" t="s">
        <v>1686</v>
      </c>
      <c r="O168" s="467"/>
      <c r="P168" s="736" t="s">
        <v>130</v>
      </c>
      <c r="Q168" s="745"/>
      <c r="R168" s="734" t="s">
        <v>68</v>
      </c>
      <c r="S168" s="745" t="s">
        <v>832</v>
      </c>
      <c r="T168" s="739" t="s">
        <v>1687</v>
      </c>
      <c r="U168" s="740"/>
    </row>
    <row r="169" ht="26.25" customHeight="1">
      <c r="A169" s="727" t="s">
        <v>1643</v>
      </c>
      <c r="B169" s="728"/>
      <c r="C169" s="728"/>
      <c r="D169" s="275" t="s">
        <v>1690</v>
      </c>
      <c r="E169" s="65" t="s">
        <v>32</v>
      </c>
      <c r="F169" s="18" t="s">
        <v>1566</v>
      </c>
      <c r="G169" s="741"/>
      <c r="H169" s="741">
        <v>7.9042366E9</v>
      </c>
      <c r="I169" s="725"/>
      <c r="J169" s="747"/>
      <c r="K169" s="747"/>
      <c r="L169" s="747"/>
      <c r="M169" s="748"/>
      <c r="N169" s="747"/>
      <c r="O169" s="725"/>
      <c r="P169" s="725"/>
      <c r="Q169" s="275" t="s">
        <v>91</v>
      </c>
      <c r="R169" s="749"/>
      <c r="S169" s="275" t="s">
        <v>1650</v>
      </c>
      <c r="T169" s="275"/>
      <c r="U169" s="680">
        <v>200000.0</v>
      </c>
    </row>
    <row r="170" ht="26.25" customHeight="1">
      <c r="A170" s="750" t="s">
        <v>1691</v>
      </c>
      <c r="B170" s="714" t="s">
        <v>1692</v>
      </c>
      <c r="C170" s="714" t="s">
        <v>1693</v>
      </c>
      <c r="D170" s="275" t="s">
        <v>555</v>
      </c>
      <c r="E170" s="235" t="s">
        <v>425</v>
      </c>
      <c r="F170" s="128" t="s">
        <v>5</v>
      </c>
      <c r="G170" s="751"/>
      <c r="H170" s="751">
        <v>9.994608057E9</v>
      </c>
      <c r="I170" s="752"/>
      <c r="J170" s="753"/>
      <c r="K170" s="753"/>
      <c r="L170" s="753"/>
      <c r="M170" s="752" t="s">
        <v>87</v>
      </c>
      <c r="N170" s="753" t="s">
        <v>1695</v>
      </c>
      <c r="O170" s="752" t="s">
        <v>1696</v>
      </c>
      <c r="P170" s="752" t="s">
        <v>1161</v>
      </c>
      <c r="Q170" s="705"/>
      <c r="R170" s="754" t="s">
        <v>68</v>
      </c>
      <c r="S170" s="754" t="s">
        <v>1190</v>
      </c>
      <c r="T170" s="715" t="s">
        <v>1697</v>
      </c>
      <c r="U170" s="755"/>
    </row>
    <row r="171" ht="26.25" customHeight="1">
      <c r="A171" s="508" t="s">
        <v>1210</v>
      </c>
      <c r="B171" s="714" t="s">
        <v>1699</v>
      </c>
      <c r="C171" s="714" t="s">
        <v>1700</v>
      </c>
      <c r="D171" s="275" t="s">
        <v>31</v>
      </c>
      <c r="E171" s="714" t="s">
        <v>425</v>
      </c>
      <c r="F171" s="128" t="s">
        <v>5</v>
      </c>
      <c r="G171" s="751" t="str">
        <f>IFERROR(__xludf.DUMMYFUNCTION("AI(""Fill an appropriate value for this cell based on the table context"")"),"")</f>
        <v/>
      </c>
      <c r="H171" s="751">
        <v>9.597312212E9</v>
      </c>
      <c r="I171" s="752"/>
      <c r="J171" s="753"/>
      <c r="K171" s="753"/>
      <c r="L171" s="753"/>
      <c r="M171" s="752" t="s">
        <v>128</v>
      </c>
      <c r="N171" s="753" t="s">
        <v>1701</v>
      </c>
      <c r="O171" s="752" t="s">
        <v>89</v>
      </c>
      <c r="P171" s="752" t="s">
        <v>90</v>
      </c>
      <c r="Q171" s="705"/>
      <c r="R171" s="754" t="s">
        <v>68</v>
      </c>
      <c r="S171" s="756" t="s">
        <v>1211</v>
      </c>
      <c r="T171" s="715" t="s">
        <v>1702</v>
      </c>
      <c r="U171" s="755"/>
    </row>
    <row r="172" ht="26.25" customHeight="1">
      <c r="A172" s="513" t="s">
        <v>1705</v>
      </c>
      <c r="B172" s="757"/>
      <c r="C172" s="758"/>
      <c r="D172" s="537"/>
      <c r="E172" s="219"/>
      <c r="F172" s="526" t="s">
        <v>307</v>
      </c>
      <c r="G172" s="759"/>
      <c r="H172" s="759">
        <v>9.383475378E9</v>
      </c>
      <c r="I172" s="760"/>
      <c r="J172" s="761"/>
      <c r="K172" s="761"/>
      <c r="L172" s="761"/>
      <c r="M172" s="760"/>
      <c r="N172" s="761"/>
      <c r="O172" s="760"/>
      <c r="P172" s="760"/>
      <c r="Q172" s="537"/>
      <c r="R172" s="699"/>
      <c r="S172" s="552"/>
      <c r="T172" s="537"/>
      <c r="U172" s="702"/>
    </row>
    <row r="173" ht="26.25" customHeight="1">
      <c r="A173" s="699" t="s">
        <v>1706</v>
      </c>
      <c r="B173" s="757"/>
      <c r="C173" s="762"/>
      <c r="D173" s="537"/>
      <c r="E173" s="219"/>
      <c r="F173" s="526" t="s">
        <v>307</v>
      </c>
      <c r="G173" s="692"/>
      <c r="H173" s="692">
        <v>7.806858018E9</v>
      </c>
      <c r="I173" s="694"/>
      <c r="J173" s="763"/>
      <c r="K173" s="763"/>
      <c r="L173" s="763"/>
      <c r="M173" s="694"/>
      <c r="N173" s="763"/>
      <c r="O173" s="694"/>
      <c r="P173" s="694"/>
      <c r="Q173" s="537"/>
      <c r="R173" s="699"/>
      <c r="S173" s="552"/>
      <c r="T173" s="537"/>
      <c r="U173" s="702"/>
    </row>
    <row r="174" ht="26.25" customHeight="1">
      <c r="A174" s="764" t="s">
        <v>1708</v>
      </c>
      <c r="B174" s="757"/>
      <c r="C174" s="758"/>
      <c r="D174" s="537"/>
      <c r="E174" s="219"/>
      <c r="F174" s="526" t="s">
        <v>307</v>
      </c>
      <c r="G174" s="693"/>
      <c r="H174" s="693">
        <v>8.610211319E9</v>
      </c>
      <c r="I174" s="765"/>
      <c r="J174" s="766"/>
      <c r="K174" s="766"/>
      <c r="L174" s="766"/>
      <c r="M174" s="765"/>
      <c r="N174" s="766"/>
      <c r="O174" s="765"/>
      <c r="P174" s="765"/>
      <c r="Q174" s="537"/>
      <c r="R174" s="699"/>
      <c r="S174" s="552"/>
      <c r="T174" s="537"/>
      <c r="U174" s="702"/>
    </row>
    <row r="175" ht="26.25" customHeight="1">
      <c r="A175" s="717" t="s">
        <v>1709</v>
      </c>
      <c r="B175" s="275"/>
      <c r="C175" s="728"/>
      <c r="D175" s="451"/>
      <c r="E175" s="65" t="s">
        <v>32</v>
      </c>
      <c r="F175" s="18" t="s">
        <v>1566</v>
      </c>
      <c r="G175" s="720"/>
      <c r="H175" s="720">
        <v>9.841454141E9</v>
      </c>
      <c r="I175" s="723"/>
      <c r="J175" s="528"/>
      <c r="K175" s="528"/>
      <c r="L175" s="528"/>
      <c r="M175" s="723"/>
      <c r="N175" s="528"/>
      <c r="O175" s="723"/>
      <c r="P175" s="723"/>
      <c r="Q175" s="275" t="s">
        <v>91</v>
      </c>
      <c r="R175" s="749"/>
      <c r="S175" s="749" t="s">
        <v>702</v>
      </c>
      <c r="T175" s="275"/>
      <c r="U175" s="680">
        <v>500000.0</v>
      </c>
    </row>
    <row r="176" ht="26.25" customHeight="1">
      <c r="A176" s="767" t="s">
        <v>1712</v>
      </c>
      <c r="B176" s="18" t="s">
        <v>1713</v>
      </c>
      <c r="C176" s="451"/>
      <c r="D176" s="275" t="s">
        <v>1682</v>
      </c>
      <c r="E176" s="65" t="s">
        <v>32</v>
      </c>
      <c r="F176" s="275" t="s">
        <v>1566</v>
      </c>
      <c r="G176" s="720"/>
      <c r="H176" s="70">
        <v>7.092028561E9</v>
      </c>
      <c r="I176" s="723"/>
      <c r="J176" s="528"/>
      <c r="K176" s="528"/>
      <c r="L176" s="528"/>
      <c r="M176" s="723"/>
      <c r="N176" s="528"/>
      <c r="O176" s="723"/>
      <c r="P176" s="723"/>
      <c r="Q176" s="275" t="s">
        <v>91</v>
      </c>
      <c r="R176" s="749"/>
      <c r="S176" s="159"/>
      <c r="T176" s="749"/>
      <c r="U176" s="680">
        <v>200000.0</v>
      </c>
    </row>
    <row r="177" ht="26.25" customHeight="1">
      <c r="A177" s="727" t="s">
        <v>1715</v>
      </c>
      <c r="C177" s="451"/>
      <c r="D177" s="275" t="s">
        <v>1716</v>
      </c>
      <c r="E177" s="65" t="s">
        <v>32</v>
      </c>
      <c r="F177" s="275" t="s">
        <v>1566</v>
      </c>
      <c r="G177" s="741"/>
      <c r="H177" s="741">
        <v>6.39810111E9</v>
      </c>
      <c r="I177" s="725"/>
      <c r="J177" s="246"/>
      <c r="K177" s="246"/>
      <c r="L177" s="246"/>
      <c r="M177" s="725"/>
      <c r="N177" s="246"/>
      <c r="O177" s="725"/>
      <c r="P177" s="725"/>
      <c r="Q177" s="275" t="s">
        <v>91</v>
      </c>
      <c r="R177" s="275"/>
      <c r="S177" s="18"/>
      <c r="T177" s="275"/>
      <c r="U177" s="680">
        <v>160000.0</v>
      </c>
    </row>
    <row r="178" ht="26.25" customHeight="1">
      <c r="A178" s="727" t="s">
        <v>1717</v>
      </c>
      <c r="B178" s="451" t="s">
        <v>1718</v>
      </c>
      <c r="C178" s="451" t="s">
        <v>1720</v>
      </c>
      <c r="D178" s="451"/>
      <c r="E178" s="65"/>
      <c r="F178" s="526" t="s">
        <v>307</v>
      </c>
      <c r="G178" s="720"/>
      <c r="H178" s="720">
        <v>9.597080088E9</v>
      </c>
      <c r="I178" s="723"/>
      <c r="J178" s="528"/>
      <c r="K178" s="528"/>
      <c r="L178" s="528"/>
      <c r="M178" s="723"/>
      <c r="N178" s="528"/>
      <c r="O178" s="723"/>
      <c r="P178" s="723"/>
      <c r="Q178" s="275"/>
      <c r="R178" s="275"/>
      <c r="S178" s="18"/>
      <c r="T178" s="275" t="s">
        <v>359</v>
      </c>
      <c r="U178" s="680"/>
    </row>
    <row r="179" ht="26.25" customHeight="1">
      <c r="A179" s="727" t="s">
        <v>1722</v>
      </c>
      <c r="B179" s="451"/>
      <c r="C179" s="451"/>
      <c r="D179" s="275" t="s">
        <v>1682</v>
      </c>
      <c r="E179" s="65" t="s">
        <v>32</v>
      </c>
      <c r="F179" s="275" t="s">
        <v>1566</v>
      </c>
      <c r="G179" s="741"/>
      <c r="H179" s="741"/>
      <c r="I179" s="725"/>
      <c r="J179" s="246"/>
      <c r="K179" s="246"/>
      <c r="L179" s="246"/>
      <c r="M179" s="725"/>
      <c r="N179" s="246"/>
      <c r="O179" s="725"/>
      <c r="P179" s="725"/>
      <c r="Q179" s="275" t="s">
        <v>164</v>
      </c>
      <c r="R179" s="275"/>
      <c r="S179" s="18"/>
      <c r="T179" s="275"/>
      <c r="U179" s="680">
        <v>200000.0</v>
      </c>
    </row>
    <row r="180" ht="26.25" customHeight="1">
      <c r="A180" s="769"/>
      <c r="B180" s="770"/>
      <c r="C180" s="771"/>
      <c r="D180" s="714"/>
      <c r="E180" s="235"/>
      <c r="F180" s="707"/>
      <c r="G180" s="772"/>
      <c r="H180" s="772"/>
      <c r="I180" s="773"/>
      <c r="J180" s="510"/>
      <c r="K180" s="510"/>
      <c r="L180" s="510"/>
      <c r="M180" s="773"/>
      <c r="N180" s="510"/>
      <c r="O180" s="773"/>
      <c r="P180" s="773"/>
      <c r="Q180" s="705"/>
      <c r="R180" s="754"/>
      <c r="S180" s="774"/>
      <c r="T180" s="705"/>
      <c r="U180" s="755"/>
    </row>
    <row r="181" ht="26.25" customHeight="1">
      <c r="A181" s="769"/>
      <c r="B181" s="770"/>
      <c r="C181" s="771"/>
      <c r="D181" s="705"/>
      <c r="E181" s="705"/>
      <c r="F181" s="707"/>
      <c r="G181" s="772"/>
      <c r="H181" s="772"/>
      <c r="I181" s="773"/>
      <c r="J181" s="510"/>
      <c r="K181" s="510"/>
      <c r="L181" s="510"/>
      <c r="M181" s="773"/>
      <c r="N181" s="510"/>
      <c r="O181" s="773"/>
      <c r="P181" s="773"/>
      <c r="Q181" s="705"/>
      <c r="R181" s="754"/>
      <c r="S181" s="774"/>
      <c r="T181" s="705"/>
      <c r="U181" s="755"/>
    </row>
    <row r="182" ht="26.25" customHeight="1">
      <c r="A182" s="769"/>
      <c r="B182" s="770"/>
      <c r="C182" s="771"/>
      <c r="D182" s="705"/>
      <c r="E182" s="705"/>
      <c r="F182" s="707"/>
      <c r="G182" s="772"/>
      <c r="H182" s="772"/>
      <c r="I182" s="773"/>
      <c r="J182" s="510"/>
      <c r="K182" s="510"/>
      <c r="L182" s="510"/>
      <c r="M182" s="773"/>
      <c r="N182" s="510"/>
      <c r="O182" s="773"/>
      <c r="P182" s="773"/>
      <c r="Q182" s="705"/>
      <c r="R182" s="754"/>
      <c r="S182" s="774"/>
      <c r="T182" s="705"/>
      <c r="U182" s="755"/>
    </row>
    <row r="183" ht="26.25" customHeight="1">
      <c r="A183" s="769"/>
      <c r="B183" s="770"/>
      <c r="C183" s="771"/>
      <c r="D183" s="705"/>
      <c r="E183" s="705"/>
      <c r="F183" s="707"/>
      <c r="G183" s="772"/>
      <c r="H183" s="772"/>
      <c r="I183" s="773"/>
      <c r="J183" s="510"/>
      <c r="K183" s="510"/>
      <c r="L183" s="510"/>
      <c r="M183" s="773"/>
      <c r="N183" s="510"/>
      <c r="O183" s="773"/>
      <c r="P183" s="773"/>
      <c r="Q183" s="705"/>
      <c r="R183" s="754"/>
      <c r="S183" s="774"/>
      <c r="T183" s="705"/>
      <c r="U183" s="755"/>
    </row>
    <row r="184" ht="26.25" customHeight="1">
      <c r="A184" s="769"/>
      <c r="B184" s="770"/>
      <c r="C184" s="771"/>
      <c r="D184" s="705"/>
      <c r="E184" s="705"/>
      <c r="F184" s="707"/>
      <c r="G184" s="772"/>
      <c r="H184" s="772"/>
      <c r="I184" s="773"/>
      <c r="J184" s="510"/>
      <c r="K184" s="510"/>
      <c r="L184" s="510"/>
      <c r="M184" s="773"/>
      <c r="N184" s="510"/>
      <c r="O184" s="773"/>
      <c r="P184" s="773"/>
      <c r="Q184" s="705"/>
      <c r="R184" s="754"/>
      <c r="S184" s="774"/>
      <c r="T184" s="705"/>
      <c r="U184" s="755"/>
    </row>
    <row r="185" ht="26.25" customHeight="1">
      <c r="A185" s="769"/>
      <c r="B185" s="770"/>
      <c r="C185" s="771"/>
      <c r="D185" s="705"/>
      <c r="E185" s="705"/>
      <c r="F185" s="707"/>
      <c r="G185" s="772"/>
      <c r="H185" s="772"/>
      <c r="I185" s="773"/>
      <c r="J185" s="510"/>
      <c r="K185" s="510"/>
      <c r="L185" s="510"/>
      <c r="M185" s="773"/>
      <c r="N185" s="510"/>
      <c r="O185" s="773"/>
      <c r="P185" s="773"/>
      <c r="Q185" s="705"/>
      <c r="R185" s="754"/>
      <c r="S185" s="774"/>
      <c r="T185" s="705"/>
      <c r="U185" s="755"/>
    </row>
    <row r="186" ht="26.25" customHeight="1">
      <c r="A186" s="769"/>
      <c r="B186" s="770"/>
      <c r="C186" s="771"/>
      <c r="D186" s="705"/>
      <c r="E186" s="705"/>
      <c r="F186" s="707"/>
      <c r="G186" s="772"/>
      <c r="H186" s="772"/>
      <c r="I186" s="773"/>
      <c r="J186" s="510"/>
      <c r="K186" s="510"/>
      <c r="L186" s="510"/>
      <c r="M186" s="773"/>
      <c r="N186" s="510"/>
      <c r="O186" s="773"/>
      <c r="P186" s="773"/>
      <c r="Q186" s="705"/>
      <c r="R186" s="754"/>
      <c r="S186" s="774"/>
      <c r="T186" s="705"/>
      <c r="U186" s="755"/>
    </row>
    <row r="187" ht="26.25" customHeight="1">
      <c r="A187" s="769"/>
      <c r="B187" s="770"/>
      <c r="C187" s="771"/>
      <c r="D187" s="705"/>
      <c r="E187" s="705"/>
      <c r="F187" s="707"/>
      <c r="G187" s="772"/>
      <c r="H187" s="772"/>
      <c r="I187" s="773"/>
      <c r="J187" s="510"/>
      <c r="K187" s="510"/>
      <c r="L187" s="510"/>
      <c r="M187" s="773"/>
      <c r="N187" s="510"/>
      <c r="O187" s="773"/>
      <c r="P187" s="773"/>
      <c r="Q187" s="705"/>
      <c r="R187" s="754"/>
      <c r="S187" s="774"/>
      <c r="T187" s="705"/>
      <c r="U187" s="755"/>
    </row>
    <row r="188" ht="26.25" customHeight="1">
      <c r="A188" s="769"/>
      <c r="B188" s="770"/>
      <c r="C188" s="771"/>
      <c r="D188" s="705"/>
      <c r="E188" s="705"/>
      <c r="F188" s="707"/>
      <c r="G188" s="772"/>
      <c r="H188" s="772"/>
      <c r="I188" s="773"/>
      <c r="J188" s="510"/>
      <c r="K188" s="510"/>
      <c r="L188" s="510"/>
      <c r="M188" s="773"/>
      <c r="N188" s="510"/>
      <c r="O188" s="773"/>
      <c r="P188" s="773"/>
      <c r="Q188" s="705"/>
      <c r="R188" s="754"/>
      <c r="S188" s="774"/>
      <c r="T188" s="705"/>
      <c r="U188" s="755"/>
    </row>
    <row r="189" ht="26.25" customHeight="1">
      <c r="A189" s="769"/>
      <c r="B189" s="770"/>
      <c r="C189" s="771"/>
      <c r="D189" s="705"/>
      <c r="E189" s="705"/>
      <c r="F189" s="707"/>
      <c r="G189" s="772"/>
      <c r="H189" s="772"/>
      <c r="I189" s="773"/>
      <c r="J189" s="510"/>
      <c r="K189" s="510"/>
      <c r="L189" s="510"/>
      <c r="M189" s="773"/>
      <c r="N189" s="510"/>
      <c r="O189" s="773"/>
      <c r="P189" s="773"/>
      <c r="Q189" s="705"/>
      <c r="R189" s="754"/>
      <c r="S189" s="774"/>
      <c r="T189" s="705"/>
      <c r="U189" s="755"/>
    </row>
    <row r="190" ht="26.25" customHeight="1">
      <c r="A190" s="769"/>
      <c r="B190" s="770"/>
      <c r="C190" s="771"/>
      <c r="D190" s="705"/>
      <c r="E190" s="705"/>
      <c r="F190" s="707"/>
      <c r="G190" s="772"/>
      <c r="H190" s="772"/>
      <c r="I190" s="773"/>
      <c r="J190" s="510"/>
      <c r="K190" s="510"/>
      <c r="L190" s="510"/>
      <c r="M190" s="773"/>
      <c r="N190" s="510"/>
      <c r="O190" s="773"/>
      <c r="P190" s="773"/>
      <c r="Q190" s="705"/>
      <c r="R190" s="754"/>
      <c r="S190" s="774"/>
      <c r="T190" s="705"/>
      <c r="U190" s="755"/>
    </row>
    <row r="191" ht="26.25" customHeight="1">
      <c r="A191" s="769"/>
      <c r="B191" s="770"/>
      <c r="C191" s="771"/>
      <c r="D191" s="705"/>
      <c r="E191" s="705"/>
      <c r="F191" s="707"/>
      <c r="G191" s="772"/>
      <c r="H191" s="772"/>
      <c r="I191" s="773"/>
      <c r="J191" s="510"/>
      <c r="K191" s="510"/>
      <c r="L191" s="510"/>
      <c r="M191" s="773"/>
      <c r="N191" s="510"/>
      <c r="O191" s="773"/>
      <c r="P191" s="773"/>
      <c r="Q191" s="705"/>
      <c r="R191" s="754"/>
      <c r="S191" s="774"/>
      <c r="T191" s="705"/>
      <c r="U191" s="755"/>
    </row>
    <row r="192" ht="26.25" customHeight="1">
      <c r="A192" s="769"/>
      <c r="B192" s="770"/>
      <c r="C192" s="771"/>
      <c r="D192" s="705"/>
      <c r="E192" s="705"/>
      <c r="F192" s="707"/>
      <c r="G192" s="772"/>
      <c r="H192" s="772"/>
      <c r="I192" s="773"/>
      <c r="J192" s="510"/>
      <c r="K192" s="510"/>
      <c r="L192" s="510"/>
      <c r="M192" s="773"/>
      <c r="N192" s="510"/>
      <c r="O192" s="773"/>
      <c r="P192" s="773"/>
      <c r="Q192" s="705"/>
      <c r="R192" s="754"/>
      <c r="S192" s="774"/>
      <c r="T192" s="705"/>
      <c r="U192" s="755"/>
    </row>
    <row r="193" ht="26.25" customHeight="1">
      <c r="A193" s="769"/>
      <c r="B193" s="770"/>
      <c r="C193" s="771"/>
      <c r="D193" s="705"/>
      <c r="E193" s="705"/>
      <c r="F193" s="707"/>
      <c r="G193" s="772"/>
      <c r="H193" s="772"/>
      <c r="I193" s="773"/>
      <c r="J193" s="510"/>
      <c r="K193" s="510"/>
      <c r="L193" s="510"/>
      <c r="M193" s="773"/>
      <c r="N193" s="510"/>
      <c r="O193" s="773"/>
      <c r="P193" s="773"/>
      <c r="Q193" s="705"/>
      <c r="R193" s="754"/>
      <c r="S193" s="774"/>
      <c r="T193" s="705"/>
      <c r="U193" s="755"/>
    </row>
    <row r="194" ht="26.25" customHeight="1">
      <c r="A194" s="769"/>
      <c r="B194" s="770"/>
      <c r="C194" s="771"/>
      <c r="D194" s="705"/>
      <c r="E194" s="705"/>
      <c r="F194" s="707"/>
      <c r="G194" s="772"/>
      <c r="H194" s="772"/>
      <c r="I194" s="773"/>
      <c r="J194" s="510"/>
      <c r="K194" s="510"/>
      <c r="L194" s="510"/>
      <c r="M194" s="773"/>
      <c r="N194" s="510"/>
      <c r="O194" s="773"/>
      <c r="P194" s="773"/>
      <c r="Q194" s="705"/>
      <c r="R194" s="754"/>
      <c r="S194" s="774"/>
      <c r="T194" s="705"/>
      <c r="U194" s="755"/>
    </row>
    <row r="195" ht="26.25" customHeight="1">
      <c r="A195" s="769"/>
      <c r="B195" s="770"/>
      <c r="C195" s="771"/>
      <c r="D195" s="705"/>
      <c r="E195" s="705"/>
      <c r="F195" s="707"/>
      <c r="G195" s="772"/>
      <c r="H195" s="772"/>
      <c r="I195" s="773"/>
      <c r="J195" s="510"/>
      <c r="K195" s="510"/>
      <c r="L195" s="510"/>
      <c r="M195" s="773"/>
      <c r="N195" s="510"/>
      <c r="O195" s="773"/>
      <c r="P195" s="773"/>
      <c r="Q195" s="705"/>
      <c r="R195" s="754"/>
      <c r="S195" s="787"/>
      <c r="T195" s="705"/>
      <c r="U195" s="755"/>
    </row>
    <row r="196" ht="26.25" customHeight="1">
      <c r="A196" s="769"/>
      <c r="B196" s="770"/>
      <c r="C196" s="771"/>
      <c r="D196" s="705"/>
      <c r="E196" s="705"/>
      <c r="F196" s="707"/>
      <c r="G196" s="772"/>
      <c r="H196" s="772"/>
      <c r="I196" s="773"/>
      <c r="J196" s="510"/>
      <c r="K196" s="510"/>
      <c r="L196" s="510"/>
      <c r="M196" s="773"/>
      <c r="N196" s="510"/>
      <c r="O196" s="773"/>
      <c r="P196" s="773"/>
      <c r="Q196" s="705"/>
      <c r="R196" s="754"/>
      <c r="S196" s="774"/>
      <c r="T196" s="705"/>
      <c r="U196" s="755"/>
    </row>
    <row r="197" ht="26.25" customHeight="1">
      <c r="A197" s="769"/>
      <c r="B197" s="770"/>
      <c r="C197" s="771"/>
      <c r="D197" s="705"/>
      <c r="E197" s="705"/>
      <c r="F197" s="707"/>
      <c r="G197" s="772"/>
      <c r="H197" s="772"/>
      <c r="I197" s="773"/>
      <c r="J197" s="510"/>
      <c r="K197" s="510"/>
      <c r="L197" s="510"/>
      <c r="M197" s="773"/>
      <c r="N197" s="510"/>
      <c r="O197" s="773"/>
      <c r="P197" s="773"/>
      <c r="Q197" s="705"/>
      <c r="R197" s="754"/>
      <c r="S197" s="789"/>
      <c r="T197" s="705"/>
      <c r="U197" s="755"/>
    </row>
    <row r="198" ht="26.25" customHeight="1">
      <c r="A198" s="769"/>
      <c r="B198" s="770"/>
      <c r="C198" s="771"/>
      <c r="D198" s="705"/>
      <c r="E198" s="705"/>
      <c r="F198" s="707"/>
      <c r="G198" s="772"/>
      <c r="H198" s="772"/>
      <c r="I198" s="773"/>
      <c r="J198" s="510"/>
      <c r="K198" s="510"/>
      <c r="L198" s="510"/>
      <c r="M198" s="773"/>
      <c r="N198" s="510"/>
      <c r="O198" s="773"/>
      <c r="P198" s="773"/>
      <c r="Q198" s="705"/>
      <c r="R198" s="754"/>
      <c r="S198" s="789"/>
      <c r="T198" s="705"/>
      <c r="U198" s="755"/>
    </row>
    <row r="199" ht="26.25" customHeight="1">
      <c r="A199" s="769"/>
      <c r="B199" s="770"/>
      <c r="C199" s="771"/>
      <c r="D199" s="705"/>
      <c r="E199" s="705"/>
      <c r="F199" s="707"/>
      <c r="G199" s="772"/>
      <c r="H199" s="772"/>
      <c r="I199" s="773"/>
      <c r="J199" s="510"/>
      <c r="K199" s="510"/>
      <c r="L199" s="510"/>
      <c r="M199" s="773"/>
      <c r="N199" s="510"/>
      <c r="O199" s="773"/>
      <c r="P199" s="773"/>
      <c r="Q199" s="705"/>
      <c r="R199" s="754"/>
      <c r="S199" s="789"/>
      <c r="T199" s="705"/>
      <c r="U199" s="755"/>
    </row>
    <row r="200" ht="26.25" customHeight="1">
      <c r="A200" s="769"/>
      <c r="B200" s="770"/>
      <c r="C200" s="771"/>
      <c r="D200" s="705"/>
      <c r="E200" s="705"/>
      <c r="F200" s="707"/>
      <c r="G200" s="772"/>
      <c r="H200" s="772"/>
      <c r="I200" s="773"/>
      <c r="J200" s="510"/>
      <c r="K200" s="510"/>
      <c r="L200" s="510"/>
      <c r="M200" s="773"/>
      <c r="N200" s="510"/>
      <c r="O200" s="773"/>
      <c r="P200" s="773"/>
      <c r="Q200" s="705"/>
      <c r="R200" s="754"/>
      <c r="S200" s="789"/>
      <c r="T200" s="705"/>
      <c r="U200" s="755"/>
    </row>
    <row r="201" ht="26.25" customHeight="1">
      <c r="A201" s="769"/>
      <c r="B201" s="770"/>
      <c r="C201" s="771"/>
      <c r="D201" s="705"/>
      <c r="E201" s="705"/>
      <c r="F201" s="707"/>
      <c r="G201" s="772"/>
      <c r="H201" s="772"/>
      <c r="I201" s="773"/>
      <c r="J201" s="510"/>
      <c r="K201" s="510"/>
      <c r="L201" s="510"/>
      <c r="M201" s="773"/>
      <c r="N201" s="510"/>
      <c r="O201" s="773"/>
      <c r="P201" s="773"/>
      <c r="Q201" s="705"/>
      <c r="R201" s="754"/>
      <c r="S201" s="789"/>
      <c r="T201" s="705"/>
      <c r="U201" s="755"/>
    </row>
    <row r="202" ht="26.25" customHeight="1">
      <c r="A202" s="769"/>
      <c r="B202" s="770"/>
      <c r="C202" s="771"/>
      <c r="D202" s="705"/>
      <c r="E202" s="705"/>
      <c r="F202" s="707"/>
      <c r="G202" s="772"/>
      <c r="H202" s="772"/>
      <c r="I202" s="773"/>
      <c r="J202" s="510"/>
      <c r="K202" s="510"/>
      <c r="L202" s="510"/>
      <c r="M202" s="773"/>
      <c r="N202" s="510"/>
      <c r="O202" s="773"/>
      <c r="P202" s="773"/>
      <c r="Q202" s="705"/>
      <c r="R202" s="754"/>
      <c r="S202" s="789"/>
      <c r="T202" s="705"/>
      <c r="U202" s="755"/>
    </row>
    <row r="203" ht="26.25" customHeight="1">
      <c r="A203" s="769"/>
      <c r="B203" s="770"/>
      <c r="C203" s="771"/>
      <c r="D203" s="705"/>
      <c r="E203" s="705"/>
      <c r="F203" s="707"/>
      <c r="G203" s="772"/>
      <c r="H203" s="772"/>
      <c r="I203" s="773"/>
      <c r="J203" s="510"/>
      <c r="K203" s="510"/>
      <c r="L203" s="510"/>
      <c r="M203" s="773"/>
      <c r="N203" s="510"/>
      <c r="O203" s="773"/>
      <c r="P203" s="773"/>
      <c r="Q203" s="705"/>
      <c r="R203" s="754"/>
      <c r="S203" s="789"/>
      <c r="T203" s="705"/>
      <c r="U203" s="755"/>
    </row>
    <row r="204" ht="26.25" customHeight="1">
      <c r="A204" s="769"/>
      <c r="B204" s="770"/>
      <c r="C204" s="771"/>
      <c r="D204" s="705"/>
      <c r="E204" s="705"/>
      <c r="F204" s="707"/>
      <c r="G204" s="772"/>
      <c r="H204" s="772"/>
      <c r="I204" s="773"/>
      <c r="J204" s="510"/>
      <c r="K204" s="510"/>
      <c r="L204" s="510"/>
      <c r="M204" s="773"/>
      <c r="N204" s="510"/>
      <c r="O204" s="773"/>
      <c r="P204" s="773"/>
      <c r="Q204" s="705"/>
      <c r="R204" s="754"/>
      <c r="S204" s="789"/>
      <c r="T204" s="705"/>
      <c r="U204" s="755"/>
    </row>
    <row r="205" ht="26.25" customHeight="1">
      <c r="A205" s="769"/>
      <c r="B205" s="770"/>
      <c r="C205" s="771"/>
      <c r="D205" s="705"/>
      <c r="E205" s="705"/>
      <c r="F205" s="707"/>
      <c r="G205" s="772"/>
      <c r="H205" s="772"/>
      <c r="I205" s="773"/>
      <c r="J205" s="510"/>
      <c r="K205" s="510"/>
      <c r="L205" s="510"/>
      <c r="M205" s="773"/>
      <c r="N205" s="510"/>
      <c r="O205" s="773"/>
      <c r="P205" s="773"/>
      <c r="Q205" s="705"/>
      <c r="R205" s="754"/>
      <c r="S205" s="789"/>
      <c r="T205" s="705"/>
      <c r="U205" s="755"/>
    </row>
    <row r="206" ht="26.25" customHeight="1">
      <c r="A206" s="769"/>
      <c r="B206" s="770"/>
      <c r="C206" s="771"/>
      <c r="D206" s="705"/>
      <c r="E206" s="705"/>
      <c r="F206" s="707" t="s">
        <v>5</v>
      </c>
      <c r="G206" s="772"/>
      <c r="H206" s="772"/>
      <c r="I206" s="773"/>
      <c r="J206" s="510"/>
      <c r="K206" s="510"/>
      <c r="L206" s="510"/>
      <c r="M206" s="773"/>
      <c r="N206" s="510"/>
      <c r="O206" s="773"/>
      <c r="P206" s="773"/>
      <c r="Q206" s="705"/>
      <c r="R206" s="754"/>
      <c r="S206" s="789"/>
      <c r="T206" s="705"/>
      <c r="U206" s="755"/>
    </row>
    <row r="207" ht="26.25" customHeight="1">
      <c r="A207" s="769"/>
      <c r="B207" s="770"/>
      <c r="C207" s="771"/>
      <c r="D207" s="705"/>
      <c r="E207" s="705"/>
      <c r="F207" s="707" t="s">
        <v>5</v>
      </c>
      <c r="G207" s="772"/>
      <c r="H207" s="772"/>
      <c r="I207" s="773"/>
      <c r="J207" s="510"/>
      <c r="K207" s="510"/>
      <c r="L207" s="510"/>
      <c r="M207" s="773"/>
      <c r="N207" s="510"/>
      <c r="O207" s="773"/>
      <c r="P207" s="773"/>
      <c r="Q207" s="705"/>
      <c r="R207" s="754"/>
      <c r="S207" s="789"/>
      <c r="T207" s="705"/>
      <c r="U207" s="755"/>
    </row>
    <row r="208" ht="26.25" customHeight="1">
      <c r="A208" s="769"/>
      <c r="B208" s="770"/>
      <c r="C208" s="771"/>
      <c r="D208" s="705"/>
      <c r="E208" s="705"/>
      <c r="F208" s="707" t="s">
        <v>5</v>
      </c>
      <c r="G208" s="772"/>
      <c r="H208" s="772"/>
      <c r="I208" s="773"/>
      <c r="J208" s="510"/>
      <c r="K208" s="510"/>
      <c r="L208" s="510"/>
      <c r="M208" s="773"/>
      <c r="N208" s="510"/>
      <c r="O208" s="773"/>
      <c r="P208" s="773"/>
      <c r="Q208" s="705"/>
      <c r="R208" s="754"/>
      <c r="S208" s="789"/>
      <c r="T208" s="705"/>
      <c r="U208" s="755"/>
    </row>
    <row r="209" ht="26.25" customHeight="1">
      <c r="A209" s="769"/>
      <c r="B209" s="770"/>
      <c r="C209" s="771"/>
      <c r="D209" s="705"/>
      <c r="E209" s="705"/>
      <c r="F209" s="707" t="s">
        <v>5</v>
      </c>
      <c r="G209" s="772"/>
      <c r="H209" s="772"/>
      <c r="I209" s="773"/>
      <c r="J209" s="510"/>
      <c r="K209" s="510"/>
      <c r="L209" s="510"/>
      <c r="M209" s="773"/>
      <c r="N209" s="510"/>
      <c r="O209" s="773"/>
      <c r="P209" s="773"/>
      <c r="Q209" s="705"/>
      <c r="R209" s="754"/>
      <c r="S209" s="789"/>
      <c r="T209" s="705"/>
      <c r="U209" s="755"/>
    </row>
    <row r="210" ht="26.25" customHeight="1">
      <c r="A210" s="769"/>
      <c r="B210" s="770"/>
      <c r="C210" s="771"/>
      <c r="D210" s="705"/>
      <c r="E210" s="705"/>
      <c r="F210" s="707" t="s">
        <v>5</v>
      </c>
      <c r="G210" s="772"/>
      <c r="H210" s="772"/>
      <c r="I210" s="773"/>
      <c r="J210" s="510"/>
      <c r="K210" s="510"/>
      <c r="L210" s="510"/>
      <c r="M210" s="773"/>
      <c r="N210" s="510"/>
      <c r="O210" s="773"/>
      <c r="P210" s="773"/>
      <c r="Q210" s="705"/>
      <c r="R210" s="754"/>
      <c r="S210" s="789"/>
      <c r="T210" s="705"/>
      <c r="U210" s="755"/>
    </row>
    <row r="211" ht="26.25" customHeight="1">
      <c r="A211" s="769"/>
      <c r="B211" s="770"/>
      <c r="C211" s="771"/>
      <c r="D211" s="705"/>
      <c r="E211" s="705"/>
      <c r="F211" s="707" t="s">
        <v>5</v>
      </c>
      <c r="G211" s="772"/>
      <c r="H211" s="772"/>
      <c r="I211" s="773"/>
      <c r="J211" s="510"/>
      <c r="K211" s="510"/>
      <c r="L211" s="510"/>
      <c r="M211" s="773"/>
      <c r="N211" s="510"/>
      <c r="O211" s="773"/>
      <c r="P211" s="773"/>
      <c r="Q211" s="705"/>
      <c r="R211" s="754"/>
      <c r="S211" s="789"/>
      <c r="T211" s="705"/>
      <c r="U211" s="755"/>
    </row>
    <row r="212" ht="26.25" customHeight="1">
      <c r="A212" s="769"/>
      <c r="B212" s="770"/>
      <c r="C212" s="771"/>
      <c r="D212" s="705"/>
      <c r="E212" s="705"/>
      <c r="F212" s="707" t="s">
        <v>5</v>
      </c>
      <c r="G212" s="772"/>
      <c r="H212" s="772"/>
      <c r="I212" s="773"/>
      <c r="J212" s="510"/>
      <c r="K212" s="510"/>
      <c r="L212" s="510"/>
      <c r="M212" s="773"/>
      <c r="N212" s="510"/>
      <c r="O212" s="773"/>
      <c r="P212" s="773"/>
      <c r="Q212" s="705"/>
      <c r="R212" s="754"/>
      <c r="S212" s="789"/>
      <c r="T212" s="705"/>
      <c r="U212" s="755"/>
    </row>
    <row r="213" ht="26.25" customHeight="1">
      <c r="A213" s="769"/>
      <c r="B213" s="770"/>
      <c r="C213" s="771"/>
      <c r="D213" s="705"/>
      <c r="E213" s="705"/>
      <c r="F213" s="707" t="s">
        <v>5</v>
      </c>
      <c r="G213" s="772"/>
      <c r="H213" s="772"/>
      <c r="I213" s="773"/>
      <c r="J213" s="510"/>
      <c r="K213" s="510"/>
      <c r="L213" s="510"/>
      <c r="M213" s="773"/>
      <c r="N213" s="510"/>
      <c r="O213" s="773"/>
      <c r="P213" s="773"/>
      <c r="Q213" s="705"/>
      <c r="R213" s="754"/>
      <c r="S213" s="789"/>
      <c r="T213" s="705"/>
      <c r="U213" s="755"/>
    </row>
    <row r="214" ht="26.25" customHeight="1">
      <c r="A214" s="769"/>
      <c r="B214" s="770"/>
      <c r="C214" s="771"/>
      <c r="D214" s="705"/>
      <c r="E214" s="705"/>
      <c r="F214" s="707" t="s">
        <v>5</v>
      </c>
      <c r="G214" s="772"/>
      <c r="H214" s="772"/>
      <c r="I214" s="773"/>
      <c r="J214" s="510"/>
      <c r="K214" s="510"/>
      <c r="L214" s="510"/>
      <c r="M214" s="773"/>
      <c r="N214" s="510"/>
      <c r="O214" s="773"/>
      <c r="P214" s="773"/>
      <c r="Q214" s="705"/>
      <c r="R214" s="754"/>
      <c r="S214" s="789"/>
      <c r="T214" s="705"/>
      <c r="U214" s="755"/>
    </row>
    <row r="215" ht="26.25" customHeight="1">
      <c r="A215" s="769"/>
      <c r="B215" s="770"/>
      <c r="C215" s="771"/>
      <c r="D215" s="705"/>
      <c r="E215" s="705"/>
      <c r="F215" s="707" t="s">
        <v>5</v>
      </c>
      <c r="G215" s="772"/>
      <c r="H215" s="772"/>
      <c r="I215" s="773"/>
      <c r="J215" s="510"/>
      <c r="K215" s="510"/>
      <c r="L215" s="510"/>
      <c r="M215" s="773"/>
      <c r="N215" s="510"/>
      <c r="O215" s="773"/>
      <c r="P215" s="773"/>
      <c r="Q215" s="705"/>
      <c r="R215" s="754"/>
      <c r="S215" s="789"/>
      <c r="T215" s="705"/>
      <c r="U215" s="755"/>
    </row>
    <row r="216" ht="26.25" customHeight="1">
      <c r="A216" s="769"/>
      <c r="B216" s="770"/>
      <c r="C216" s="771"/>
      <c r="D216" s="705"/>
      <c r="E216" s="705"/>
      <c r="F216" s="707" t="s">
        <v>5</v>
      </c>
      <c r="G216" s="772"/>
      <c r="H216" s="772"/>
      <c r="I216" s="773"/>
      <c r="J216" s="510"/>
      <c r="K216" s="510"/>
      <c r="L216" s="510"/>
      <c r="M216" s="773"/>
      <c r="N216" s="510"/>
      <c r="O216" s="773"/>
      <c r="P216" s="773"/>
      <c r="Q216" s="705"/>
      <c r="R216" s="754"/>
      <c r="S216" s="789"/>
      <c r="T216" s="705"/>
      <c r="U216" s="755"/>
    </row>
    <row r="217" ht="26.25" customHeight="1">
      <c r="A217" s="769"/>
      <c r="B217" s="770"/>
      <c r="C217" s="771"/>
      <c r="D217" s="705"/>
      <c r="E217" s="705"/>
      <c r="F217" s="707" t="s">
        <v>5</v>
      </c>
      <c r="G217" s="772"/>
      <c r="H217" s="772"/>
      <c r="I217" s="773"/>
      <c r="J217" s="510"/>
      <c r="K217" s="510"/>
      <c r="L217" s="510"/>
      <c r="M217" s="773"/>
      <c r="N217" s="510"/>
      <c r="O217" s="773"/>
      <c r="P217" s="773"/>
      <c r="Q217" s="705"/>
      <c r="R217" s="754"/>
      <c r="S217" s="789"/>
      <c r="T217" s="705"/>
      <c r="U217" s="755"/>
    </row>
    <row r="218" ht="26.25" customHeight="1">
      <c r="A218" s="769"/>
      <c r="B218" s="770"/>
      <c r="C218" s="771"/>
      <c r="D218" s="705"/>
      <c r="E218" s="705"/>
      <c r="F218" s="707"/>
      <c r="G218" s="772"/>
      <c r="H218" s="772"/>
      <c r="I218" s="773"/>
      <c r="J218" s="510"/>
      <c r="K218" s="510"/>
      <c r="L218" s="510"/>
      <c r="M218" s="773"/>
      <c r="N218" s="510"/>
      <c r="O218" s="773"/>
      <c r="P218" s="773"/>
      <c r="Q218" s="705"/>
      <c r="R218" s="754"/>
      <c r="S218" s="789"/>
      <c r="T218" s="705"/>
      <c r="U218" s="755"/>
    </row>
    <row r="219" ht="26.25" customHeight="1">
      <c r="A219" s="769"/>
      <c r="B219" s="770"/>
      <c r="C219" s="771"/>
      <c r="D219" s="705"/>
      <c r="E219" s="705"/>
      <c r="F219" s="707"/>
      <c r="G219" s="772"/>
      <c r="H219" s="772"/>
      <c r="I219" s="773"/>
      <c r="J219" s="510"/>
      <c r="K219" s="510"/>
      <c r="L219" s="510"/>
      <c r="M219" s="773"/>
      <c r="N219" s="510"/>
      <c r="O219" s="773"/>
      <c r="P219" s="773"/>
      <c r="Q219" s="705"/>
      <c r="R219" s="754"/>
      <c r="S219" s="789"/>
      <c r="T219" s="705"/>
      <c r="U219" s="755"/>
    </row>
    <row r="220" ht="26.25" customHeight="1">
      <c r="A220" s="769"/>
      <c r="B220" s="770"/>
      <c r="C220" s="771"/>
      <c r="D220" s="705"/>
      <c r="E220" s="705"/>
      <c r="F220" s="707"/>
      <c r="G220" s="772"/>
      <c r="H220" s="772"/>
      <c r="I220" s="773"/>
      <c r="J220" s="510"/>
      <c r="K220" s="510"/>
      <c r="L220" s="510"/>
      <c r="M220" s="773"/>
      <c r="N220" s="510"/>
      <c r="O220" s="773"/>
      <c r="P220" s="773"/>
      <c r="Q220" s="705"/>
      <c r="R220" s="754"/>
      <c r="S220" s="789"/>
      <c r="T220" s="705"/>
      <c r="U220" s="755"/>
    </row>
    <row r="221" ht="26.25" customHeight="1">
      <c r="A221" s="769"/>
      <c r="B221" s="770"/>
      <c r="C221" s="771"/>
      <c r="D221" s="705"/>
      <c r="E221" s="705"/>
      <c r="F221" s="707"/>
      <c r="G221" s="772"/>
      <c r="H221" s="772"/>
      <c r="I221" s="773"/>
      <c r="J221" s="510"/>
      <c r="K221" s="510"/>
      <c r="L221" s="510"/>
      <c r="M221" s="773"/>
      <c r="N221" s="510"/>
      <c r="O221" s="773"/>
      <c r="P221" s="773"/>
      <c r="Q221" s="705"/>
      <c r="R221" s="754"/>
      <c r="S221" s="789"/>
      <c r="T221" s="705"/>
      <c r="U221" s="755"/>
    </row>
    <row r="222" ht="26.25" customHeight="1">
      <c r="A222" s="769"/>
      <c r="B222" s="770"/>
      <c r="C222" s="771"/>
      <c r="D222" s="705"/>
      <c r="E222" s="705"/>
      <c r="F222" s="707"/>
      <c r="G222" s="772"/>
      <c r="H222" s="772"/>
      <c r="I222" s="773"/>
      <c r="J222" s="510"/>
      <c r="K222" s="510"/>
      <c r="L222" s="510"/>
      <c r="M222" s="773"/>
      <c r="N222" s="510"/>
      <c r="O222" s="773"/>
      <c r="P222" s="773"/>
      <c r="Q222" s="705"/>
      <c r="R222" s="754"/>
      <c r="S222" s="789"/>
      <c r="T222" s="705"/>
      <c r="U222" s="755"/>
    </row>
    <row r="223" ht="26.25" customHeight="1">
      <c r="A223" s="769"/>
      <c r="B223" s="770"/>
      <c r="C223" s="771"/>
      <c r="D223" s="705"/>
      <c r="E223" s="705"/>
      <c r="F223" s="707"/>
      <c r="G223" s="772"/>
      <c r="H223" s="772"/>
      <c r="I223" s="773"/>
      <c r="J223" s="510"/>
      <c r="K223" s="510"/>
      <c r="L223" s="510"/>
      <c r="M223" s="773"/>
      <c r="N223" s="510"/>
      <c r="O223" s="773"/>
      <c r="P223" s="773"/>
      <c r="Q223" s="705"/>
      <c r="R223" s="754"/>
      <c r="S223" s="789"/>
      <c r="T223" s="705"/>
      <c r="U223" s="755"/>
    </row>
    <row r="224" ht="26.25" customHeight="1">
      <c r="A224" s="769"/>
      <c r="B224" s="770"/>
      <c r="C224" s="771"/>
      <c r="D224" s="705"/>
      <c r="E224" s="705"/>
      <c r="F224" s="707"/>
      <c r="G224" s="772"/>
      <c r="H224" s="772"/>
      <c r="I224" s="773"/>
      <c r="J224" s="510"/>
      <c r="K224" s="510"/>
      <c r="L224" s="510"/>
      <c r="M224" s="773"/>
      <c r="N224" s="510"/>
      <c r="O224" s="773"/>
      <c r="P224" s="773"/>
      <c r="Q224" s="705"/>
      <c r="R224" s="754"/>
      <c r="S224" s="789"/>
      <c r="T224" s="705"/>
      <c r="U224" s="755"/>
    </row>
    <row r="225" ht="26.25" customHeight="1">
      <c r="A225" s="769"/>
      <c r="B225" s="770"/>
      <c r="C225" s="771"/>
      <c r="D225" s="705"/>
      <c r="E225" s="705"/>
      <c r="F225" s="707"/>
      <c r="G225" s="772"/>
      <c r="H225" s="772"/>
      <c r="I225" s="773"/>
      <c r="J225" s="510"/>
      <c r="K225" s="510"/>
      <c r="L225" s="510"/>
      <c r="M225" s="773"/>
      <c r="N225" s="510"/>
      <c r="O225" s="773"/>
      <c r="P225" s="773"/>
      <c r="Q225" s="705"/>
      <c r="R225" s="754"/>
      <c r="S225" s="789"/>
      <c r="T225" s="705"/>
      <c r="U225" s="755"/>
    </row>
    <row r="226" ht="26.25" customHeight="1">
      <c r="A226" s="769"/>
      <c r="B226" s="770"/>
      <c r="C226" s="771"/>
      <c r="D226" s="705"/>
      <c r="E226" s="705"/>
      <c r="F226" s="707"/>
      <c r="G226" s="772"/>
      <c r="H226" s="772"/>
      <c r="I226" s="773"/>
      <c r="J226" s="510"/>
      <c r="K226" s="510"/>
      <c r="L226" s="510"/>
      <c r="M226" s="773"/>
      <c r="N226" s="510"/>
      <c r="O226" s="773"/>
      <c r="P226" s="773"/>
      <c r="Q226" s="705"/>
      <c r="R226" s="754"/>
      <c r="S226" s="789"/>
      <c r="T226" s="705"/>
      <c r="U226" s="755"/>
    </row>
    <row r="227" ht="26.25" customHeight="1">
      <c r="A227" s="769"/>
      <c r="B227" s="770"/>
      <c r="C227" s="771"/>
      <c r="D227" s="705"/>
      <c r="E227" s="705"/>
      <c r="F227" s="707"/>
      <c r="G227" s="772"/>
      <c r="H227" s="772"/>
      <c r="I227" s="773"/>
      <c r="J227" s="510"/>
      <c r="K227" s="510"/>
      <c r="L227" s="510"/>
      <c r="M227" s="773"/>
      <c r="N227" s="510"/>
      <c r="O227" s="773"/>
      <c r="P227" s="773"/>
      <c r="Q227" s="705"/>
      <c r="R227" s="754"/>
      <c r="S227" s="789"/>
      <c r="T227" s="705"/>
      <c r="U227" s="755"/>
    </row>
    <row r="228" ht="26.25" customHeight="1">
      <c r="A228" s="769"/>
      <c r="B228" s="770"/>
      <c r="C228" s="771"/>
      <c r="D228" s="705"/>
      <c r="E228" s="705"/>
      <c r="F228" s="707"/>
      <c r="G228" s="772"/>
      <c r="H228" s="772"/>
      <c r="I228" s="773"/>
      <c r="J228" s="510"/>
      <c r="K228" s="510"/>
      <c r="L228" s="510"/>
      <c r="M228" s="773"/>
      <c r="N228" s="510"/>
      <c r="O228" s="773"/>
      <c r="P228" s="773"/>
      <c r="Q228" s="705"/>
      <c r="R228" s="754"/>
      <c r="S228" s="789"/>
      <c r="T228" s="705"/>
      <c r="U228" s="755"/>
    </row>
    <row r="229" ht="26.25" customHeight="1">
      <c r="A229" s="769"/>
      <c r="B229" s="770"/>
      <c r="C229" s="771"/>
      <c r="D229" s="705"/>
      <c r="E229" s="705"/>
      <c r="F229" s="707"/>
      <c r="G229" s="772"/>
      <c r="H229" s="772"/>
      <c r="I229" s="773"/>
      <c r="J229" s="510"/>
      <c r="K229" s="510"/>
      <c r="L229" s="510"/>
      <c r="M229" s="773"/>
      <c r="N229" s="510"/>
      <c r="O229" s="773"/>
      <c r="P229" s="773"/>
      <c r="Q229" s="705"/>
      <c r="R229" s="754"/>
      <c r="S229" s="789"/>
      <c r="T229" s="705"/>
      <c r="U229" s="755"/>
    </row>
    <row r="230" ht="26.25" customHeight="1">
      <c r="A230" s="769"/>
      <c r="B230" s="770"/>
      <c r="C230" s="771"/>
      <c r="D230" s="705"/>
      <c r="E230" s="705"/>
      <c r="F230" s="707"/>
      <c r="G230" s="772"/>
      <c r="H230" s="772"/>
      <c r="I230" s="773"/>
      <c r="J230" s="510"/>
      <c r="K230" s="510"/>
      <c r="L230" s="510"/>
      <c r="M230" s="773"/>
      <c r="N230" s="510"/>
      <c r="O230" s="773"/>
      <c r="P230" s="773"/>
      <c r="Q230" s="705"/>
      <c r="R230" s="754"/>
      <c r="S230" s="789"/>
      <c r="T230" s="705"/>
      <c r="U230" s="755"/>
    </row>
    <row r="231" ht="26.25" customHeight="1">
      <c r="A231" s="769"/>
      <c r="B231" s="770"/>
      <c r="C231" s="771"/>
      <c r="D231" s="705"/>
      <c r="E231" s="705"/>
      <c r="F231" s="707"/>
      <c r="G231" s="772"/>
      <c r="H231" s="772"/>
      <c r="I231" s="773"/>
      <c r="J231" s="510"/>
      <c r="K231" s="510"/>
      <c r="L231" s="510"/>
      <c r="M231" s="773"/>
      <c r="N231" s="510"/>
      <c r="O231" s="773"/>
      <c r="P231" s="773"/>
      <c r="Q231" s="705"/>
      <c r="R231" s="754"/>
      <c r="S231" s="789"/>
      <c r="T231" s="705"/>
      <c r="U231" s="755"/>
    </row>
    <row r="232" ht="26.25" customHeight="1">
      <c r="A232" s="769"/>
      <c r="B232" s="770"/>
      <c r="C232" s="771"/>
      <c r="D232" s="705"/>
      <c r="E232" s="705"/>
      <c r="F232" s="707"/>
      <c r="G232" s="772"/>
      <c r="H232" s="772"/>
      <c r="I232" s="773"/>
      <c r="J232" s="510"/>
      <c r="K232" s="510"/>
      <c r="L232" s="510"/>
      <c r="M232" s="773"/>
      <c r="N232" s="510"/>
      <c r="O232" s="773"/>
      <c r="P232" s="773"/>
      <c r="Q232" s="705"/>
      <c r="R232" s="754"/>
      <c r="S232" s="789"/>
      <c r="T232" s="705"/>
      <c r="U232" s="755"/>
    </row>
    <row r="233" ht="26.25" customHeight="1">
      <c r="A233" s="769"/>
      <c r="B233" s="770"/>
      <c r="C233" s="771"/>
      <c r="D233" s="705"/>
      <c r="E233" s="705"/>
      <c r="F233" s="707"/>
      <c r="G233" s="772"/>
      <c r="H233" s="772"/>
      <c r="I233" s="773"/>
      <c r="J233" s="510"/>
      <c r="K233" s="510"/>
      <c r="L233" s="510"/>
      <c r="M233" s="773"/>
      <c r="N233" s="510"/>
      <c r="O233" s="773"/>
      <c r="P233" s="773"/>
      <c r="Q233" s="705"/>
      <c r="R233" s="754"/>
      <c r="S233" s="789"/>
      <c r="T233" s="705"/>
      <c r="U233" s="755"/>
    </row>
    <row r="234" ht="26.25" customHeight="1">
      <c r="A234" s="769"/>
      <c r="B234" s="770"/>
      <c r="C234" s="771"/>
      <c r="D234" s="705"/>
      <c r="E234" s="705"/>
      <c r="F234" s="707"/>
      <c r="G234" s="772"/>
      <c r="H234" s="772"/>
      <c r="I234" s="773"/>
      <c r="J234" s="510"/>
      <c r="K234" s="510"/>
      <c r="L234" s="510"/>
      <c r="M234" s="773"/>
      <c r="N234" s="510"/>
      <c r="O234" s="773"/>
      <c r="P234" s="773"/>
      <c r="Q234" s="705"/>
      <c r="R234" s="754"/>
      <c r="S234" s="789"/>
      <c r="T234" s="705"/>
      <c r="U234" s="755"/>
    </row>
    <row r="235" ht="26.25" customHeight="1">
      <c r="A235" s="769"/>
      <c r="B235" s="770"/>
      <c r="C235" s="771"/>
      <c r="D235" s="705"/>
      <c r="E235" s="705"/>
      <c r="F235" s="707"/>
      <c r="G235" s="772"/>
      <c r="H235" s="772"/>
      <c r="I235" s="773"/>
      <c r="J235" s="510"/>
      <c r="K235" s="510"/>
      <c r="L235" s="510"/>
      <c r="M235" s="773"/>
      <c r="N235" s="510"/>
      <c r="O235" s="773"/>
      <c r="P235" s="773"/>
      <c r="Q235" s="705"/>
      <c r="R235" s="754"/>
      <c r="S235" s="789"/>
      <c r="T235" s="705"/>
      <c r="U235" s="755"/>
    </row>
    <row r="236" ht="26.25" customHeight="1">
      <c r="A236" s="769"/>
      <c r="B236" s="770"/>
      <c r="C236" s="771"/>
      <c r="D236" s="705"/>
      <c r="E236" s="705"/>
      <c r="F236" s="707"/>
      <c r="G236" s="772"/>
      <c r="H236" s="772"/>
      <c r="I236" s="773"/>
      <c r="J236" s="510"/>
      <c r="K236" s="510"/>
      <c r="L236" s="510"/>
      <c r="M236" s="773"/>
      <c r="N236" s="510"/>
      <c r="O236" s="773"/>
      <c r="P236" s="773"/>
      <c r="Q236" s="705"/>
      <c r="R236" s="754"/>
      <c r="S236" s="789"/>
      <c r="T236" s="705"/>
      <c r="U236" s="755"/>
    </row>
    <row r="237" ht="26.25" customHeight="1">
      <c r="A237" s="769"/>
      <c r="B237" s="770"/>
      <c r="C237" s="771"/>
      <c r="D237" s="705"/>
      <c r="E237" s="705"/>
      <c r="F237" s="707"/>
      <c r="G237" s="772"/>
      <c r="H237" s="772"/>
      <c r="I237" s="773"/>
      <c r="J237" s="510"/>
      <c r="K237" s="510"/>
      <c r="L237" s="510"/>
      <c r="M237" s="773"/>
      <c r="N237" s="510"/>
      <c r="O237" s="773"/>
      <c r="P237" s="773"/>
      <c r="Q237" s="705"/>
      <c r="R237" s="754"/>
      <c r="S237" s="789"/>
      <c r="T237" s="705"/>
      <c r="U237" s="755"/>
    </row>
    <row r="238" ht="26.25" customHeight="1">
      <c r="A238" s="769"/>
      <c r="B238" s="770"/>
      <c r="C238" s="771"/>
      <c r="D238" s="705"/>
      <c r="E238" s="705"/>
      <c r="F238" s="707"/>
      <c r="G238" s="772"/>
      <c r="H238" s="772"/>
      <c r="I238" s="773"/>
      <c r="J238" s="510"/>
      <c r="K238" s="510"/>
      <c r="L238" s="510"/>
      <c r="M238" s="773"/>
      <c r="N238" s="510"/>
      <c r="O238" s="773"/>
      <c r="P238" s="773"/>
      <c r="Q238" s="705"/>
      <c r="R238" s="754"/>
      <c r="S238" s="789"/>
      <c r="T238" s="705"/>
      <c r="U238" s="755"/>
    </row>
    <row r="239" ht="26.25" customHeight="1">
      <c r="A239" s="769"/>
      <c r="B239" s="770"/>
      <c r="C239" s="771"/>
      <c r="D239" s="705"/>
      <c r="E239" s="705"/>
      <c r="F239" s="707"/>
      <c r="G239" s="772"/>
      <c r="H239" s="772"/>
      <c r="I239" s="773"/>
      <c r="J239" s="510"/>
      <c r="K239" s="510"/>
      <c r="L239" s="510"/>
      <c r="M239" s="773"/>
      <c r="N239" s="510"/>
      <c r="O239" s="773"/>
      <c r="P239" s="773"/>
      <c r="Q239" s="705"/>
      <c r="R239" s="754"/>
      <c r="S239" s="789"/>
      <c r="T239" s="705"/>
      <c r="U239" s="755"/>
    </row>
    <row r="240" ht="26.25" customHeight="1">
      <c r="A240" s="769"/>
      <c r="B240" s="770"/>
      <c r="C240" s="771"/>
      <c r="D240" s="705"/>
      <c r="E240" s="705"/>
      <c r="F240" s="707"/>
      <c r="G240" s="772"/>
      <c r="H240" s="772"/>
      <c r="I240" s="773"/>
      <c r="J240" s="510"/>
      <c r="K240" s="510"/>
      <c r="L240" s="510"/>
      <c r="M240" s="773"/>
      <c r="N240" s="510"/>
      <c r="O240" s="773"/>
      <c r="P240" s="773"/>
      <c r="Q240" s="705"/>
      <c r="R240" s="754"/>
      <c r="S240" s="789"/>
      <c r="T240" s="705"/>
      <c r="U240" s="755"/>
    </row>
    <row r="241" ht="26.25" customHeight="1">
      <c r="A241" s="769"/>
      <c r="B241" s="770"/>
      <c r="C241" s="771"/>
      <c r="D241" s="705"/>
      <c r="E241" s="705"/>
      <c r="F241" s="707"/>
      <c r="G241" s="772"/>
      <c r="H241" s="772"/>
      <c r="I241" s="773"/>
      <c r="J241" s="510"/>
      <c r="K241" s="510"/>
      <c r="L241" s="510"/>
      <c r="M241" s="773"/>
      <c r="N241" s="510"/>
      <c r="O241" s="773"/>
      <c r="P241" s="773"/>
      <c r="Q241" s="705"/>
      <c r="R241" s="754"/>
      <c r="S241" s="789"/>
      <c r="T241" s="705"/>
      <c r="U241" s="755"/>
    </row>
    <row r="242" ht="26.25" customHeight="1">
      <c r="A242" s="769"/>
      <c r="B242" s="770"/>
      <c r="C242" s="771"/>
      <c r="D242" s="705"/>
      <c r="E242" s="705"/>
      <c r="F242" s="707"/>
      <c r="G242" s="772"/>
      <c r="H242" s="772"/>
      <c r="I242" s="773"/>
      <c r="J242" s="510"/>
      <c r="K242" s="510"/>
      <c r="L242" s="510"/>
      <c r="M242" s="773"/>
      <c r="N242" s="510"/>
      <c r="O242" s="773"/>
      <c r="P242" s="773"/>
      <c r="Q242" s="705"/>
      <c r="R242" s="754"/>
      <c r="S242" s="789"/>
      <c r="T242" s="705"/>
      <c r="U242" s="755"/>
    </row>
    <row r="243" ht="26.25" customHeight="1">
      <c r="A243" s="769"/>
      <c r="B243" s="770"/>
      <c r="C243" s="771"/>
      <c r="D243" s="705"/>
      <c r="E243" s="705"/>
      <c r="F243" s="707"/>
      <c r="G243" s="772"/>
      <c r="H243" s="772"/>
      <c r="I243" s="773"/>
      <c r="J243" s="510"/>
      <c r="K243" s="510"/>
      <c r="L243" s="510"/>
      <c r="M243" s="773"/>
      <c r="N243" s="510"/>
      <c r="O243" s="773"/>
      <c r="P243" s="773"/>
      <c r="Q243" s="705"/>
      <c r="R243" s="754"/>
      <c r="S243" s="789"/>
      <c r="T243" s="705"/>
      <c r="U243" s="755"/>
    </row>
    <row r="244" ht="26.25" customHeight="1">
      <c r="A244" s="769"/>
      <c r="B244" s="770"/>
      <c r="C244" s="771"/>
      <c r="D244" s="705"/>
      <c r="E244" s="705"/>
      <c r="F244" s="707"/>
      <c r="G244" s="772"/>
      <c r="H244" s="772"/>
      <c r="I244" s="773"/>
      <c r="J244" s="510"/>
      <c r="K244" s="510"/>
      <c r="L244" s="510"/>
      <c r="M244" s="773"/>
      <c r="N244" s="510"/>
      <c r="O244" s="773"/>
      <c r="P244" s="773"/>
      <c r="Q244" s="705"/>
      <c r="R244" s="754"/>
      <c r="S244" s="789"/>
      <c r="T244" s="705"/>
      <c r="U244" s="755"/>
    </row>
    <row r="245" ht="26.25" customHeight="1">
      <c r="A245" s="769"/>
      <c r="B245" s="770"/>
      <c r="C245" s="771"/>
      <c r="D245" s="705"/>
      <c r="E245" s="705"/>
      <c r="F245" s="707"/>
      <c r="G245" s="772"/>
      <c r="H245" s="772"/>
      <c r="I245" s="773"/>
      <c r="J245" s="510"/>
      <c r="K245" s="510"/>
      <c r="L245" s="510"/>
      <c r="M245" s="773"/>
      <c r="N245" s="510"/>
      <c r="O245" s="773"/>
      <c r="P245" s="773"/>
      <c r="Q245" s="705"/>
      <c r="R245" s="754"/>
      <c r="S245" s="789"/>
      <c r="T245" s="705"/>
      <c r="U245" s="755"/>
    </row>
    <row r="246" ht="26.25" customHeight="1">
      <c r="A246" s="769"/>
      <c r="B246" s="770"/>
      <c r="C246" s="771"/>
      <c r="D246" s="705"/>
      <c r="E246" s="705"/>
      <c r="F246" s="707"/>
      <c r="G246" s="772"/>
      <c r="H246" s="772"/>
      <c r="I246" s="773"/>
      <c r="J246" s="510"/>
      <c r="K246" s="510"/>
      <c r="L246" s="510"/>
      <c r="M246" s="773"/>
      <c r="N246" s="510"/>
      <c r="O246" s="773"/>
      <c r="P246" s="773"/>
      <c r="Q246" s="705"/>
      <c r="R246" s="754"/>
      <c r="S246" s="789"/>
      <c r="T246" s="705"/>
      <c r="U246" s="755"/>
    </row>
    <row r="247" ht="26.25" customHeight="1">
      <c r="A247" s="769"/>
      <c r="B247" s="770"/>
      <c r="C247" s="771"/>
      <c r="D247" s="705"/>
      <c r="E247" s="705"/>
      <c r="F247" s="707"/>
      <c r="G247" s="772"/>
      <c r="H247" s="772"/>
      <c r="I247" s="773"/>
      <c r="J247" s="510"/>
      <c r="K247" s="510"/>
      <c r="L247" s="510"/>
      <c r="M247" s="773"/>
      <c r="N247" s="510"/>
      <c r="O247" s="773"/>
      <c r="P247" s="773"/>
      <c r="Q247" s="705"/>
      <c r="R247" s="754"/>
      <c r="S247" s="789"/>
      <c r="T247" s="705"/>
      <c r="U247" s="755"/>
    </row>
    <row r="248" ht="26.25" customHeight="1">
      <c r="A248" s="769"/>
      <c r="B248" s="770"/>
      <c r="C248" s="771"/>
      <c r="D248" s="705"/>
      <c r="E248" s="705"/>
      <c r="F248" s="707"/>
      <c r="G248" s="772"/>
      <c r="H248" s="772"/>
      <c r="I248" s="773"/>
      <c r="J248" s="510"/>
      <c r="K248" s="510"/>
      <c r="L248" s="510"/>
      <c r="M248" s="773"/>
      <c r="N248" s="510"/>
      <c r="O248" s="773"/>
      <c r="P248" s="773"/>
      <c r="Q248" s="705"/>
      <c r="R248" s="754"/>
      <c r="S248" s="789"/>
      <c r="T248" s="705"/>
      <c r="U248" s="755"/>
    </row>
    <row r="249" ht="26.25" customHeight="1">
      <c r="A249" s="769"/>
      <c r="B249" s="770"/>
      <c r="C249" s="771"/>
      <c r="D249" s="705"/>
      <c r="E249" s="705"/>
      <c r="F249" s="707"/>
      <c r="G249" s="772"/>
      <c r="H249" s="772"/>
      <c r="I249" s="773"/>
      <c r="J249" s="510"/>
      <c r="K249" s="510"/>
      <c r="L249" s="510"/>
      <c r="M249" s="773"/>
      <c r="N249" s="510"/>
      <c r="O249" s="773"/>
      <c r="P249" s="773"/>
      <c r="Q249" s="705"/>
      <c r="R249" s="754"/>
      <c r="S249" s="789"/>
      <c r="T249" s="705"/>
      <c r="U249" s="755"/>
    </row>
    <row r="250" ht="26.25" customHeight="1">
      <c r="A250" s="769"/>
      <c r="B250" s="770"/>
      <c r="C250" s="771"/>
      <c r="D250" s="705"/>
      <c r="E250" s="705"/>
      <c r="F250" s="707"/>
      <c r="G250" s="772"/>
      <c r="H250" s="772"/>
      <c r="I250" s="773"/>
      <c r="J250" s="510"/>
      <c r="K250" s="510"/>
      <c r="L250" s="510"/>
      <c r="M250" s="773"/>
      <c r="N250" s="510"/>
      <c r="O250" s="773"/>
      <c r="P250" s="773"/>
      <c r="Q250" s="705"/>
      <c r="R250" s="754"/>
      <c r="S250" s="789"/>
      <c r="T250" s="705"/>
      <c r="U250" s="755"/>
    </row>
    <row r="251" ht="26.25" customHeight="1">
      <c r="A251" s="769"/>
      <c r="B251" s="770"/>
      <c r="C251" s="771"/>
      <c r="D251" s="705"/>
      <c r="E251" s="705"/>
      <c r="F251" s="707"/>
      <c r="G251" s="772"/>
      <c r="H251" s="772"/>
      <c r="I251" s="773"/>
      <c r="J251" s="510"/>
      <c r="K251" s="510"/>
      <c r="L251" s="510"/>
      <c r="M251" s="773"/>
      <c r="N251" s="510"/>
      <c r="O251" s="773"/>
      <c r="P251" s="773"/>
      <c r="Q251" s="705"/>
      <c r="R251" s="754"/>
      <c r="S251" s="789"/>
      <c r="T251" s="705"/>
      <c r="U251" s="755"/>
    </row>
    <row r="252" ht="26.25" customHeight="1">
      <c r="A252" s="769"/>
      <c r="B252" s="770"/>
      <c r="C252" s="771"/>
      <c r="D252" s="705"/>
      <c r="E252" s="705"/>
      <c r="F252" s="707"/>
      <c r="G252" s="772"/>
      <c r="H252" s="772"/>
      <c r="I252" s="773"/>
      <c r="J252" s="510"/>
      <c r="K252" s="510"/>
      <c r="L252" s="510"/>
      <c r="M252" s="773"/>
      <c r="N252" s="510"/>
      <c r="O252" s="773"/>
      <c r="P252" s="773"/>
      <c r="Q252" s="705"/>
      <c r="R252" s="754"/>
      <c r="S252" s="789"/>
      <c r="T252" s="705"/>
      <c r="U252" s="755"/>
    </row>
    <row r="253" ht="26.25" customHeight="1">
      <c r="A253" s="769"/>
      <c r="B253" s="770"/>
      <c r="C253" s="771"/>
      <c r="D253" s="705"/>
      <c r="E253" s="705"/>
      <c r="F253" s="707"/>
      <c r="G253" s="772"/>
      <c r="H253" s="772"/>
      <c r="I253" s="773"/>
      <c r="J253" s="510"/>
      <c r="K253" s="510"/>
      <c r="L253" s="510"/>
      <c r="M253" s="773"/>
      <c r="N253" s="510"/>
      <c r="O253" s="773"/>
      <c r="P253" s="773"/>
      <c r="Q253" s="705"/>
      <c r="R253" s="754"/>
      <c r="S253" s="789"/>
      <c r="T253" s="705"/>
      <c r="U253" s="755"/>
    </row>
    <row r="254" ht="26.25" customHeight="1">
      <c r="A254" s="769"/>
      <c r="B254" s="770"/>
      <c r="C254" s="771"/>
      <c r="D254" s="705"/>
      <c r="E254" s="705"/>
      <c r="F254" s="707"/>
      <c r="G254" s="772"/>
      <c r="H254" s="772"/>
      <c r="I254" s="773"/>
      <c r="J254" s="510"/>
      <c r="K254" s="510"/>
      <c r="L254" s="510"/>
      <c r="M254" s="773"/>
      <c r="N254" s="510"/>
      <c r="O254" s="773"/>
      <c r="P254" s="773"/>
      <c r="Q254" s="705"/>
      <c r="R254" s="754"/>
      <c r="S254" s="789"/>
      <c r="T254" s="705"/>
      <c r="U254" s="755"/>
    </row>
    <row r="255" ht="26.25" customHeight="1">
      <c r="A255" s="769"/>
      <c r="B255" s="770"/>
      <c r="C255" s="771"/>
      <c r="D255" s="705"/>
      <c r="E255" s="705"/>
      <c r="F255" s="707"/>
      <c r="G255" s="772"/>
      <c r="H255" s="772"/>
      <c r="I255" s="773"/>
      <c r="J255" s="510"/>
      <c r="K255" s="510"/>
      <c r="L255" s="510"/>
      <c r="M255" s="773"/>
      <c r="N255" s="510"/>
      <c r="O255" s="773"/>
      <c r="P255" s="773"/>
      <c r="Q255" s="705"/>
      <c r="R255" s="754"/>
      <c r="S255" s="789"/>
      <c r="T255" s="705"/>
      <c r="U255" s="755"/>
    </row>
    <row r="256" ht="26.25" customHeight="1">
      <c r="A256" s="769"/>
      <c r="B256" s="770"/>
      <c r="C256" s="771"/>
      <c r="D256" s="705"/>
      <c r="E256" s="705"/>
      <c r="F256" s="707"/>
      <c r="G256" s="772"/>
      <c r="H256" s="772"/>
      <c r="I256" s="773"/>
      <c r="J256" s="510"/>
      <c r="K256" s="510"/>
      <c r="L256" s="510"/>
      <c r="M256" s="773"/>
      <c r="N256" s="510"/>
      <c r="O256" s="773"/>
      <c r="P256" s="773"/>
      <c r="Q256" s="705"/>
      <c r="R256" s="754"/>
      <c r="S256" s="789"/>
      <c r="T256" s="705"/>
      <c r="U256" s="755"/>
    </row>
    <row r="257" ht="26.25" customHeight="1">
      <c r="A257" s="769"/>
      <c r="B257" s="770"/>
      <c r="C257" s="771"/>
      <c r="D257" s="705"/>
      <c r="E257" s="705"/>
      <c r="F257" s="707"/>
      <c r="G257" s="772"/>
      <c r="H257" s="772"/>
      <c r="I257" s="773"/>
      <c r="J257" s="510"/>
      <c r="K257" s="510"/>
      <c r="L257" s="510"/>
      <c r="M257" s="773"/>
      <c r="N257" s="510"/>
      <c r="O257" s="773"/>
      <c r="P257" s="773"/>
      <c r="Q257" s="705"/>
      <c r="R257" s="754"/>
      <c r="S257" s="789"/>
      <c r="T257" s="705"/>
      <c r="U257" s="755"/>
    </row>
    <row r="258" ht="26.25" customHeight="1">
      <c r="A258" s="769"/>
      <c r="B258" s="770"/>
      <c r="C258" s="771"/>
      <c r="D258" s="705"/>
      <c r="E258" s="705"/>
      <c r="F258" s="707"/>
      <c r="G258" s="772"/>
      <c r="H258" s="772"/>
      <c r="I258" s="773"/>
      <c r="J258" s="510"/>
      <c r="K258" s="510"/>
      <c r="L258" s="510"/>
      <c r="M258" s="773"/>
      <c r="N258" s="510"/>
      <c r="O258" s="773"/>
      <c r="P258" s="773"/>
      <c r="Q258" s="705"/>
      <c r="R258" s="754"/>
      <c r="S258" s="789"/>
      <c r="T258" s="705"/>
      <c r="U258" s="755"/>
    </row>
    <row r="259" ht="26.25" customHeight="1">
      <c r="A259" s="769"/>
      <c r="B259" s="770"/>
      <c r="C259" s="771"/>
      <c r="D259" s="705"/>
      <c r="E259" s="705"/>
      <c r="F259" s="707"/>
      <c r="G259" s="772"/>
      <c r="H259" s="772"/>
      <c r="I259" s="773"/>
      <c r="J259" s="510"/>
      <c r="K259" s="510"/>
      <c r="L259" s="510"/>
      <c r="M259" s="773"/>
      <c r="N259" s="510"/>
      <c r="O259" s="773"/>
      <c r="P259" s="773"/>
      <c r="Q259" s="705"/>
      <c r="R259" s="754"/>
      <c r="S259" s="789"/>
      <c r="T259" s="705"/>
      <c r="U259" s="755"/>
    </row>
    <row r="260" ht="26.25" customHeight="1">
      <c r="A260" s="769"/>
      <c r="B260" s="770"/>
      <c r="C260" s="771"/>
      <c r="D260" s="705"/>
      <c r="E260" s="705"/>
      <c r="F260" s="707"/>
      <c r="G260" s="772"/>
      <c r="H260" s="772"/>
      <c r="I260" s="773"/>
      <c r="J260" s="510"/>
      <c r="K260" s="510"/>
      <c r="L260" s="510"/>
      <c r="M260" s="773"/>
      <c r="N260" s="510"/>
      <c r="O260" s="773"/>
      <c r="P260" s="773"/>
      <c r="Q260" s="705"/>
      <c r="R260" s="754"/>
      <c r="S260" s="789"/>
      <c r="T260" s="705"/>
      <c r="U260" s="755"/>
    </row>
    <row r="261" ht="26.25" customHeight="1">
      <c r="A261" s="769"/>
      <c r="B261" s="770"/>
      <c r="C261" s="771"/>
      <c r="D261" s="705"/>
      <c r="E261" s="705"/>
      <c r="F261" s="707"/>
      <c r="G261" s="772"/>
      <c r="H261" s="772"/>
      <c r="I261" s="773"/>
      <c r="J261" s="510"/>
      <c r="K261" s="510"/>
      <c r="L261" s="510"/>
      <c r="M261" s="773"/>
      <c r="N261" s="510"/>
      <c r="O261" s="773"/>
      <c r="P261" s="773"/>
      <c r="Q261" s="705"/>
      <c r="R261" s="754"/>
      <c r="S261" s="789"/>
      <c r="T261" s="705"/>
      <c r="U261" s="755"/>
    </row>
    <row r="262" ht="26.25" customHeight="1">
      <c r="A262" s="769"/>
      <c r="B262" s="770"/>
      <c r="C262" s="771"/>
      <c r="D262" s="705"/>
      <c r="E262" s="705"/>
      <c r="F262" s="707"/>
      <c r="G262" s="772"/>
      <c r="H262" s="772"/>
      <c r="I262" s="773"/>
      <c r="J262" s="510"/>
      <c r="K262" s="510"/>
      <c r="L262" s="510"/>
      <c r="M262" s="773"/>
      <c r="N262" s="510"/>
      <c r="O262" s="773"/>
      <c r="P262" s="773"/>
      <c r="Q262" s="705"/>
      <c r="R262" s="754"/>
      <c r="S262" s="789"/>
      <c r="T262" s="705"/>
      <c r="U262" s="755"/>
    </row>
    <row r="263" ht="26.25" customHeight="1">
      <c r="A263" s="769"/>
      <c r="B263" s="770"/>
      <c r="C263" s="771"/>
      <c r="D263" s="705"/>
      <c r="E263" s="705"/>
      <c r="F263" s="707"/>
      <c r="G263" s="772"/>
      <c r="H263" s="772"/>
      <c r="I263" s="773"/>
      <c r="J263" s="510"/>
      <c r="K263" s="510"/>
      <c r="L263" s="510"/>
      <c r="M263" s="773"/>
      <c r="N263" s="510"/>
      <c r="O263" s="773"/>
      <c r="P263" s="773"/>
      <c r="Q263" s="705"/>
      <c r="R263" s="754"/>
      <c r="S263" s="789"/>
      <c r="T263" s="705"/>
      <c r="U263" s="755"/>
    </row>
    <row r="264" ht="26.25" customHeight="1">
      <c r="A264" s="769"/>
      <c r="B264" s="770"/>
      <c r="C264" s="771"/>
      <c r="D264" s="705"/>
      <c r="E264" s="705"/>
      <c r="F264" s="707"/>
      <c r="G264" s="772"/>
      <c r="H264" s="772"/>
      <c r="I264" s="773"/>
      <c r="J264" s="510"/>
      <c r="K264" s="510"/>
      <c r="L264" s="510"/>
      <c r="M264" s="773"/>
      <c r="N264" s="510"/>
      <c r="O264" s="773"/>
      <c r="P264" s="773"/>
      <c r="Q264" s="705"/>
      <c r="R264" s="754"/>
      <c r="S264" s="789"/>
      <c r="T264" s="705"/>
      <c r="U264" s="755"/>
    </row>
    <row r="265" ht="26.25" customHeight="1">
      <c r="A265" s="769"/>
      <c r="B265" s="770"/>
      <c r="C265" s="771"/>
      <c r="D265" s="705"/>
      <c r="E265" s="705"/>
      <c r="F265" s="707"/>
      <c r="G265" s="772"/>
      <c r="H265" s="772"/>
      <c r="I265" s="773"/>
      <c r="J265" s="510"/>
      <c r="K265" s="510"/>
      <c r="L265" s="510"/>
      <c r="M265" s="773"/>
      <c r="N265" s="510"/>
      <c r="O265" s="773"/>
      <c r="P265" s="773"/>
      <c r="Q265" s="705"/>
      <c r="R265" s="754"/>
      <c r="S265" s="789"/>
      <c r="T265" s="705"/>
      <c r="U265" s="755"/>
    </row>
    <row r="266" ht="26.25" customHeight="1">
      <c r="A266" s="769"/>
      <c r="B266" s="770"/>
      <c r="C266" s="771"/>
      <c r="D266" s="705"/>
      <c r="E266" s="705"/>
      <c r="F266" s="707"/>
      <c r="G266" s="772"/>
      <c r="H266" s="772"/>
      <c r="I266" s="773"/>
      <c r="J266" s="510"/>
      <c r="K266" s="510"/>
      <c r="L266" s="510"/>
      <c r="M266" s="773"/>
      <c r="N266" s="510"/>
      <c r="O266" s="773"/>
      <c r="P266" s="773"/>
      <c r="Q266" s="705"/>
      <c r="R266" s="754"/>
      <c r="S266" s="789"/>
      <c r="T266" s="705"/>
      <c r="U266" s="755"/>
    </row>
    <row r="267" ht="26.25" customHeight="1">
      <c r="A267" s="769"/>
      <c r="B267" s="770"/>
      <c r="C267" s="771"/>
      <c r="D267" s="705"/>
      <c r="E267" s="705"/>
      <c r="F267" s="707"/>
      <c r="G267" s="772"/>
      <c r="H267" s="772"/>
      <c r="I267" s="773"/>
      <c r="J267" s="510"/>
      <c r="K267" s="510"/>
      <c r="L267" s="510"/>
      <c r="M267" s="773"/>
      <c r="N267" s="510"/>
      <c r="O267" s="773"/>
      <c r="P267" s="773"/>
      <c r="Q267" s="705"/>
      <c r="R267" s="754"/>
      <c r="S267" s="789"/>
      <c r="T267" s="705"/>
      <c r="U267" s="755"/>
    </row>
    <row r="268" ht="26.25" customHeight="1">
      <c r="A268" s="769"/>
      <c r="B268" s="770"/>
      <c r="C268" s="771"/>
      <c r="D268" s="705"/>
      <c r="E268" s="705"/>
      <c r="F268" s="707"/>
      <c r="G268" s="772"/>
      <c r="H268" s="772"/>
      <c r="I268" s="773"/>
      <c r="J268" s="510"/>
      <c r="K268" s="510"/>
      <c r="L268" s="510"/>
      <c r="M268" s="773"/>
      <c r="N268" s="510"/>
      <c r="O268" s="773"/>
      <c r="P268" s="773"/>
      <c r="Q268" s="705"/>
      <c r="R268" s="754"/>
      <c r="S268" s="789"/>
      <c r="T268" s="705"/>
      <c r="U268" s="755"/>
    </row>
    <row r="269" ht="26.25" customHeight="1">
      <c r="A269" s="769"/>
      <c r="B269" s="770"/>
      <c r="C269" s="771"/>
      <c r="D269" s="705"/>
      <c r="E269" s="705"/>
      <c r="F269" s="707"/>
      <c r="G269" s="772"/>
      <c r="H269" s="772"/>
      <c r="I269" s="773"/>
      <c r="J269" s="510"/>
      <c r="K269" s="510"/>
      <c r="L269" s="510"/>
      <c r="M269" s="773"/>
      <c r="N269" s="510"/>
      <c r="O269" s="773"/>
      <c r="P269" s="773"/>
      <c r="Q269" s="705"/>
      <c r="R269" s="754"/>
      <c r="S269" s="789"/>
      <c r="T269" s="705"/>
      <c r="U269" s="755"/>
    </row>
    <row r="270" ht="26.25" customHeight="1">
      <c r="A270" s="769"/>
      <c r="B270" s="770"/>
      <c r="C270" s="771"/>
      <c r="D270" s="705"/>
      <c r="E270" s="705"/>
      <c r="F270" s="707"/>
      <c r="G270" s="772"/>
      <c r="H270" s="772"/>
      <c r="I270" s="773"/>
      <c r="J270" s="510"/>
      <c r="K270" s="510"/>
      <c r="L270" s="510"/>
      <c r="M270" s="773"/>
      <c r="N270" s="510"/>
      <c r="O270" s="773"/>
      <c r="P270" s="773"/>
      <c r="Q270" s="705"/>
      <c r="R270" s="754"/>
      <c r="S270" s="789"/>
      <c r="T270" s="705"/>
      <c r="U270" s="755"/>
    </row>
    <row r="271" ht="26.25" customHeight="1">
      <c r="A271" s="769"/>
      <c r="B271" s="770"/>
      <c r="C271" s="771"/>
      <c r="D271" s="705"/>
      <c r="E271" s="705"/>
      <c r="F271" s="707"/>
      <c r="G271" s="772"/>
      <c r="H271" s="772"/>
      <c r="I271" s="773"/>
      <c r="J271" s="510"/>
      <c r="K271" s="510"/>
      <c r="L271" s="510"/>
      <c r="M271" s="773"/>
      <c r="N271" s="510"/>
      <c r="O271" s="773"/>
      <c r="P271" s="773"/>
      <c r="Q271" s="705"/>
      <c r="R271" s="754"/>
      <c r="S271" s="789"/>
      <c r="T271" s="705"/>
      <c r="U271" s="755"/>
    </row>
    <row r="272" ht="26.25" customHeight="1">
      <c r="A272" s="769"/>
      <c r="B272" s="770"/>
      <c r="C272" s="771"/>
      <c r="D272" s="705"/>
      <c r="E272" s="705"/>
      <c r="F272" s="707"/>
      <c r="G272" s="772"/>
      <c r="H272" s="772"/>
      <c r="I272" s="773"/>
      <c r="J272" s="510"/>
      <c r="K272" s="510"/>
      <c r="L272" s="510"/>
      <c r="M272" s="773"/>
      <c r="N272" s="510"/>
      <c r="O272" s="773"/>
      <c r="P272" s="773"/>
      <c r="Q272" s="705"/>
      <c r="R272" s="754"/>
      <c r="S272" s="789"/>
      <c r="T272" s="705"/>
      <c r="U272" s="755"/>
    </row>
    <row r="273" ht="26.25" customHeight="1">
      <c r="A273" s="769"/>
      <c r="B273" s="770"/>
      <c r="C273" s="771"/>
      <c r="D273" s="705"/>
      <c r="E273" s="705"/>
      <c r="F273" s="707"/>
      <c r="G273" s="772"/>
      <c r="H273" s="772"/>
      <c r="I273" s="773"/>
      <c r="J273" s="510"/>
      <c r="K273" s="510"/>
      <c r="L273" s="510"/>
      <c r="M273" s="773"/>
      <c r="N273" s="510"/>
      <c r="O273" s="773"/>
      <c r="P273" s="773"/>
      <c r="Q273" s="705"/>
      <c r="R273" s="754"/>
      <c r="S273" s="789"/>
      <c r="T273" s="705"/>
      <c r="U273" s="755"/>
    </row>
    <row r="274" ht="26.25" customHeight="1">
      <c r="A274" s="769"/>
      <c r="B274" s="770"/>
      <c r="C274" s="771"/>
      <c r="D274" s="705"/>
      <c r="E274" s="705"/>
      <c r="F274" s="707"/>
      <c r="G274" s="772"/>
      <c r="H274" s="772"/>
      <c r="I274" s="773"/>
      <c r="J274" s="510"/>
      <c r="K274" s="510"/>
      <c r="L274" s="510"/>
      <c r="M274" s="773"/>
      <c r="N274" s="510"/>
      <c r="O274" s="773"/>
      <c r="P274" s="773"/>
      <c r="Q274" s="705"/>
      <c r="R274" s="754"/>
      <c r="S274" s="789"/>
      <c r="T274" s="705"/>
      <c r="U274" s="755"/>
    </row>
    <row r="275" ht="26.25" customHeight="1">
      <c r="A275" s="769"/>
      <c r="B275" s="770"/>
      <c r="C275" s="771"/>
      <c r="D275" s="705"/>
      <c r="E275" s="705"/>
      <c r="F275" s="707"/>
      <c r="G275" s="772"/>
      <c r="H275" s="772"/>
      <c r="I275" s="773"/>
      <c r="J275" s="510"/>
      <c r="K275" s="510"/>
      <c r="L275" s="510"/>
      <c r="M275" s="773"/>
      <c r="N275" s="510"/>
      <c r="O275" s="773"/>
      <c r="P275" s="773"/>
      <c r="Q275" s="705"/>
      <c r="R275" s="754"/>
      <c r="S275" s="789"/>
      <c r="T275" s="705"/>
      <c r="U275" s="755"/>
    </row>
    <row r="276" ht="26.25" customHeight="1">
      <c r="A276" s="769"/>
      <c r="B276" s="770"/>
      <c r="C276" s="771"/>
      <c r="D276" s="705"/>
      <c r="E276" s="705"/>
      <c r="F276" s="707"/>
      <c r="G276" s="772"/>
      <c r="H276" s="772"/>
      <c r="I276" s="773"/>
      <c r="J276" s="510"/>
      <c r="K276" s="510"/>
      <c r="L276" s="510"/>
      <c r="M276" s="773"/>
      <c r="N276" s="510"/>
      <c r="O276" s="773"/>
      <c r="P276" s="773"/>
      <c r="Q276" s="705"/>
      <c r="R276" s="754"/>
      <c r="S276" s="789"/>
      <c r="T276" s="705"/>
      <c r="U276" s="755"/>
    </row>
    <row r="277" ht="26.25" customHeight="1">
      <c r="A277" s="769"/>
      <c r="B277" s="770"/>
      <c r="C277" s="771"/>
      <c r="D277" s="705"/>
      <c r="E277" s="705"/>
      <c r="F277" s="707"/>
      <c r="G277" s="772"/>
      <c r="H277" s="772"/>
      <c r="I277" s="773"/>
      <c r="J277" s="510"/>
      <c r="K277" s="510"/>
      <c r="L277" s="510"/>
      <c r="M277" s="773"/>
      <c r="N277" s="510"/>
      <c r="O277" s="773"/>
      <c r="P277" s="773"/>
      <c r="Q277" s="705"/>
      <c r="R277" s="754"/>
      <c r="S277" s="789"/>
      <c r="T277" s="705"/>
      <c r="U277" s="755"/>
    </row>
    <row r="278" ht="26.25" customHeight="1">
      <c r="A278" s="769"/>
      <c r="B278" s="770"/>
      <c r="C278" s="771"/>
      <c r="D278" s="705"/>
      <c r="E278" s="705"/>
      <c r="F278" s="707"/>
      <c r="G278" s="772"/>
      <c r="H278" s="772"/>
      <c r="I278" s="773"/>
      <c r="J278" s="510"/>
      <c r="K278" s="510"/>
      <c r="L278" s="510"/>
      <c r="M278" s="773"/>
      <c r="N278" s="510"/>
      <c r="O278" s="773"/>
      <c r="P278" s="773"/>
      <c r="Q278" s="705"/>
      <c r="R278" s="754"/>
      <c r="S278" s="789"/>
      <c r="T278" s="705"/>
      <c r="U278" s="755"/>
    </row>
    <row r="279" ht="26.25" customHeight="1">
      <c r="A279" s="769"/>
      <c r="B279" s="770"/>
      <c r="C279" s="771"/>
      <c r="D279" s="705"/>
      <c r="E279" s="705"/>
      <c r="F279" s="707"/>
      <c r="G279" s="772"/>
      <c r="H279" s="772"/>
      <c r="I279" s="773"/>
      <c r="J279" s="510"/>
      <c r="K279" s="510"/>
      <c r="L279" s="510"/>
      <c r="M279" s="773"/>
      <c r="N279" s="510"/>
      <c r="O279" s="773"/>
      <c r="P279" s="773"/>
      <c r="Q279" s="705"/>
      <c r="R279" s="754"/>
      <c r="S279" s="789"/>
      <c r="T279" s="705"/>
      <c r="U279" s="755"/>
    </row>
    <row r="280" ht="26.25" customHeight="1">
      <c r="A280" s="769"/>
      <c r="B280" s="770"/>
      <c r="C280" s="771"/>
      <c r="D280" s="705"/>
      <c r="E280" s="705"/>
      <c r="F280" s="707"/>
      <c r="G280" s="772"/>
      <c r="H280" s="772"/>
      <c r="I280" s="773"/>
      <c r="J280" s="510"/>
      <c r="K280" s="510"/>
      <c r="L280" s="510"/>
      <c r="M280" s="773"/>
      <c r="N280" s="510"/>
      <c r="O280" s="773"/>
      <c r="P280" s="773"/>
      <c r="Q280" s="705"/>
      <c r="R280" s="754"/>
      <c r="S280" s="789"/>
      <c r="T280" s="705"/>
      <c r="U280" s="755"/>
    </row>
    <row r="281" ht="26.25" customHeight="1">
      <c r="A281" s="769"/>
      <c r="B281" s="770"/>
      <c r="C281" s="771"/>
      <c r="D281" s="705"/>
      <c r="E281" s="705"/>
      <c r="F281" s="707"/>
      <c r="G281" s="772"/>
      <c r="H281" s="772"/>
      <c r="I281" s="773"/>
      <c r="J281" s="510"/>
      <c r="K281" s="510"/>
      <c r="L281" s="510"/>
      <c r="M281" s="773"/>
      <c r="N281" s="510"/>
      <c r="O281" s="773"/>
      <c r="P281" s="773"/>
      <c r="Q281" s="705"/>
      <c r="R281" s="754"/>
      <c r="S281" s="789"/>
      <c r="T281" s="705"/>
      <c r="U281" s="755"/>
    </row>
    <row r="282" ht="26.25" customHeight="1">
      <c r="A282" s="769"/>
      <c r="B282" s="770"/>
      <c r="C282" s="771"/>
      <c r="D282" s="705"/>
      <c r="E282" s="705"/>
      <c r="F282" s="707"/>
      <c r="G282" s="772"/>
      <c r="H282" s="772"/>
      <c r="I282" s="773"/>
      <c r="J282" s="510"/>
      <c r="K282" s="510"/>
      <c r="L282" s="510"/>
      <c r="M282" s="773"/>
      <c r="N282" s="510"/>
      <c r="O282" s="773"/>
      <c r="P282" s="773"/>
      <c r="Q282" s="705"/>
      <c r="R282" s="754"/>
      <c r="S282" s="789"/>
      <c r="T282" s="705"/>
      <c r="U282" s="755"/>
    </row>
    <row r="283" ht="26.25" customHeight="1">
      <c r="A283" s="769"/>
      <c r="B283" s="770"/>
      <c r="C283" s="771"/>
      <c r="D283" s="705"/>
      <c r="E283" s="705"/>
      <c r="F283" s="707"/>
      <c r="G283" s="772"/>
      <c r="H283" s="772"/>
      <c r="I283" s="773"/>
      <c r="J283" s="510"/>
      <c r="K283" s="510"/>
      <c r="L283" s="510"/>
      <c r="M283" s="773"/>
      <c r="N283" s="510"/>
      <c r="O283" s="773"/>
      <c r="P283" s="773"/>
      <c r="Q283" s="705"/>
      <c r="R283" s="754"/>
      <c r="S283" s="789"/>
      <c r="T283" s="705"/>
      <c r="U283" s="755"/>
    </row>
    <row r="284" ht="26.25" customHeight="1">
      <c r="A284" s="769"/>
      <c r="B284" s="770"/>
      <c r="C284" s="771"/>
      <c r="D284" s="705"/>
      <c r="E284" s="705"/>
      <c r="F284" s="707"/>
      <c r="G284" s="772"/>
      <c r="H284" s="772"/>
      <c r="I284" s="773"/>
      <c r="J284" s="510"/>
      <c r="K284" s="510"/>
      <c r="L284" s="510"/>
      <c r="M284" s="773"/>
      <c r="N284" s="510"/>
      <c r="O284" s="773"/>
      <c r="P284" s="773"/>
      <c r="Q284" s="705"/>
      <c r="R284" s="754"/>
      <c r="S284" s="789"/>
      <c r="T284" s="705"/>
      <c r="U284" s="755"/>
    </row>
    <row r="285" ht="26.25" customHeight="1">
      <c r="A285" s="769"/>
      <c r="B285" s="770"/>
      <c r="C285" s="771"/>
      <c r="D285" s="705"/>
      <c r="E285" s="705"/>
      <c r="F285" s="707"/>
      <c r="G285" s="772"/>
      <c r="H285" s="772"/>
      <c r="I285" s="773"/>
      <c r="J285" s="510"/>
      <c r="K285" s="510"/>
      <c r="L285" s="510"/>
      <c r="M285" s="773"/>
      <c r="N285" s="510"/>
      <c r="O285" s="773"/>
      <c r="P285" s="773"/>
      <c r="Q285" s="705"/>
      <c r="R285" s="754"/>
      <c r="S285" s="789"/>
      <c r="T285" s="705"/>
      <c r="U285" s="755"/>
    </row>
    <row r="286" ht="26.25" customHeight="1">
      <c r="A286" s="769"/>
      <c r="B286" s="770"/>
      <c r="C286" s="771"/>
      <c r="D286" s="705"/>
      <c r="E286" s="705"/>
      <c r="F286" s="707"/>
      <c r="G286" s="772"/>
      <c r="H286" s="772"/>
      <c r="I286" s="773"/>
      <c r="J286" s="510"/>
      <c r="K286" s="510"/>
      <c r="L286" s="510"/>
      <c r="M286" s="773"/>
      <c r="N286" s="510"/>
      <c r="O286" s="773"/>
      <c r="P286" s="773"/>
      <c r="Q286" s="705"/>
      <c r="R286" s="754"/>
      <c r="S286" s="789"/>
      <c r="T286" s="705"/>
      <c r="U286" s="755"/>
    </row>
    <row r="287" ht="26.25" customHeight="1">
      <c r="A287" s="769"/>
      <c r="B287" s="770"/>
      <c r="C287" s="771"/>
      <c r="D287" s="705"/>
      <c r="E287" s="705"/>
      <c r="F287" s="707"/>
      <c r="G287" s="772"/>
      <c r="H287" s="772"/>
      <c r="I287" s="773"/>
      <c r="J287" s="510"/>
      <c r="K287" s="510"/>
      <c r="L287" s="510"/>
      <c r="M287" s="773"/>
      <c r="N287" s="510"/>
      <c r="O287" s="773"/>
      <c r="P287" s="773"/>
      <c r="Q287" s="705"/>
      <c r="R287" s="754"/>
      <c r="S287" s="789"/>
      <c r="T287" s="705"/>
      <c r="U287" s="755"/>
    </row>
    <row r="288" ht="26.25" customHeight="1">
      <c r="A288" s="769"/>
      <c r="B288" s="770"/>
      <c r="C288" s="771"/>
      <c r="D288" s="705"/>
      <c r="E288" s="705"/>
      <c r="F288" s="707"/>
      <c r="G288" s="772"/>
      <c r="H288" s="772"/>
      <c r="I288" s="773"/>
      <c r="J288" s="510"/>
      <c r="K288" s="510"/>
      <c r="L288" s="510"/>
      <c r="M288" s="773"/>
      <c r="N288" s="510"/>
      <c r="O288" s="773"/>
      <c r="P288" s="773"/>
      <c r="Q288" s="705"/>
      <c r="R288" s="754"/>
      <c r="S288" s="789"/>
      <c r="T288" s="705"/>
      <c r="U288" s="755"/>
    </row>
    <row r="289" ht="26.25" customHeight="1">
      <c r="A289" s="769"/>
      <c r="B289" s="770"/>
      <c r="C289" s="771"/>
      <c r="D289" s="705"/>
      <c r="E289" s="705"/>
      <c r="F289" s="707"/>
      <c r="G289" s="772"/>
      <c r="H289" s="772"/>
      <c r="I289" s="773"/>
      <c r="J289" s="510"/>
      <c r="K289" s="510"/>
      <c r="L289" s="510"/>
      <c r="M289" s="773"/>
      <c r="N289" s="510"/>
      <c r="O289" s="773"/>
      <c r="P289" s="773"/>
      <c r="Q289" s="705"/>
      <c r="R289" s="754"/>
      <c r="S289" s="789"/>
      <c r="T289" s="705"/>
      <c r="U289" s="755"/>
    </row>
    <row r="290" ht="26.25" customHeight="1">
      <c r="A290" s="769"/>
      <c r="B290" s="770"/>
      <c r="C290" s="771"/>
      <c r="D290" s="705"/>
      <c r="E290" s="705"/>
      <c r="F290" s="707"/>
      <c r="G290" s="772"/>
      <c r="H290" s="772"/>
      <c r="I290" s="773"/>
      <c r="J290" s="510"/>
      <c r="K290" s="510"/>
      <c r="L290" s="510"/>
      <c r="M290" s="773"/>
      <c r="N290" s="510"/>
      <c r="O290" s="773"/>
      <c r="P290" s="773"/>
      <c r="Q290" s="705"/>
      <c r="R290" s="754"/>
      <c r="S290" s="789"/>
      <c r="T290" s="705"/>
      <c r="U290" s="755"/>
    </row>
    <row r="291" ht="26.25" customHeight="1">
      <c r="A291" s="769"/>
      <c r="B291" s="770"/>
      <c r="C291" s="771"/>
      <c r="D291" s="705"/>
      <c r="E291" s="705"/>
      <c r="F291" s="707"/>
      <c r="G291" s="772"/>
      <c r="H291" s="772"/>
      <c r="I291" s="773"/>
      <c r="J291" s="510"/>
      <c r="K291" s="510"/>
      <c r="L291" s="510"/>
      <c r="M291" s="773"/>
      <c r="N291" s="510"/>
      <c r="O291" s="773"/>
      <c r="P291" s="773"/>
      <c r="Q291" s="705"/>
      <c r="R291" s="754"/>
      <c r="S291" s="789"/>
      <c r="T291" s="705"/>
      <c r="U291" s="755"/>
    </row>
    <row r="292" ht="26.25" customHeight="1">
      <c r="A292" s="769"/>
      <c r="B292" s="770"/>
      <c r="C292" s="771"/>
      <c r="D292" s="705"/>
      <c r="E292" s="705"/>
      <c r="F292" s="707"/>
      <c r="G292" s="772"/>
      <c r="H292" s="772"/>
      <c r="I292" s="773"/>
      <c r="J292" s="510"/>
      <c r="K292" s="510"/>
      <c r="L292" s="510"/>
      <c r="M292" s="773"/>
      <c r="N292" s="510"/>
      <c r="O292" s="773"/>
      <c r="P292" s="773"/>
      <c r="Q292" s="705"/>
      <c r="R292" s="754"/>
      <c r="S292" s="789"/>
      <c r="T292" s="705"/>
      <c r="U292" s="755"/>
    </row>
    <row r="293" ht="26.25" customHeight="1">
      <c r="A293" s="769"/>
      <c r="B293" s="770"/>
      <c r="C293" s="771"/>
      <c r="D293" s="705"/>
      <c r="E293" s="705"/>
      <c r="F293" s="707"/>
      <c r="G293" s="772"/>
      <c r="H293" s="772"/>
      <c r="I293" s="773"/>
      <c r="J293" s="510"/>
      <c r="K293" s="510"/>
      <c r="L293" s="510"/>
      <c r="M293" s="773"/>
      <c r="N293" s="510"/>
      <c r="O293" s="773"/>
      <c r="P293" s="773"/>
      <c r="Q293" s="705"/>
      <c r="R293" s="754"/>
      <c r="S293" s="789"/>
      <c r="T293" s="705"/>
      <c r="U293" s="755"/>
    </row>
    <row r="294" ht="26.25" customHeight="1">
      <c r="A294" s="769"/>
      <c r="B294" s="770"/>
      <c r="C294" s="771"/>
      <c r="D294" s="705"/>
      <c r="E294" s="705"/>
      <c r="F294" s="707"/>
      <c r="G294" s="772"/>
      <c r="H294" s="772"/>
      <c r="I294" s="773"/>
      <c r="J294" s="510"/>
      <c r="K294" s="510"/>
      <c r="L294" s="510"/>
      <c r="M294" s="773"/>
      <c r="N294" s="510"/>
      <c r="O294" s="773"/>
      <c r="P294" s="773"/>
      <c r="Q294" s="705"/>
      <c r="R294" s="754"/>
      <c r="S294" s="789"/>
      <c r="T294" s="705"/>
      <c r="U294" s="755"/>
    </row>
    <row r="295" ht="26.25" customHeight="1">
      <c r="A295" s="769"/>
      <c r="B295" s="770"/>
      <c r="C295" s="771"/>
      <c r="D295" s="705"/>
      <c r="E295" s="705"/>
      <c r="F295" s="707"/>
      <c r="G295" s="772"/>
      <c r="H295" s="772"/>
      <c r="I295" s="773"/>
      <c r="J295" s="510"/>
      <c r="K295" s="510"/>
      <c r="L295" s="510"/>
      <c r="M295" s="773"/>
      <c r="N295" s="510"/>
      <c r="O295" s="773"/>
      <c r="P295" s="773"/>
      <c r="Q295" s="705"/>
      <c r="R295" s="754"/>
      <c r="S295" s="789"/>
      <c r="T295" s="705"/>
      <c r="U295" s="755"/>
    </row>
    <row r="296" ht="26.25" customHeight="1">
      <c r="A296" s="769"/>
      <c r="B296" s="770"/>
      <c r="C296" s="771"/>
      <c r="D296" s="705"/>
      <c r="E296" s="705"/>
      <c r="F296" s="707"/>
      <c r="G296" s="772"/>
      <c r="H296" s="772"/>
      <c r="I296" s="773"/>
      <c r="J296" s="510"/>
      <c r="K296" s="510"/>
      <c r="L296" s="510"/>
      <c r="M296" s="773"/>
      <c r="N296" s="510"/>
      <c r="O296" s="773"/>
      <c r="P296" s="773"/>
      <c r="Q296" s="705"/>
      <c r="R296" s="754"/>
      <c r="S296" s="789"/>
      <c r="T296" s="705"/>
      <c r="U296" s="755"/>
    </row>
    <row r="297" ht="26.25" customHeight="1">
      <c r="A297" s="769"/>
      <c r="B297" s="770"/>
      <c r="C297" s="771"/>
      <c r="D297" s="705"/>
      <c r="E297" s="705"/>
      <c r="F297" s="707"/>
      <c r="G297" s="772"/>
      <c r="H297" s="772"/>
      <c r="I297" s="773"/>
      <c r="J297" s="510"/>
      <c r="K297" s="510"/>
      <c r="L297" s="510"/>
      <c r="M297" s="773"/>
      <c r="N297" s="510"/>
      <c r="O297" s="773"/>
      <c r="P297" s="773"/>
      <c r="Q297" s="705"/>
      <c r="R297" s="754"/>
      <c r="S297" s="789"/>
      <c r="T297" s="705"/>
      <c r="U297" s="755"/>
    </row>
    <row r="298" ht="26.25" customHeight="1">
      <c r="A298" s="769"/>
      <c r="B298" s="770"/>
      <c r="C298" s="771"/>
      <c r="D298" s="705"/>
      <c r="E298" s="705"/>
      <c r="F298" s="707"/>
      <c r="G298" s="772"/>
      <c r="H298" s="772"/>
      <c r="I298" s="773"/>
      <c r="J298" s="510"/>
      <c r="K298" s="510"/>
      <c r="L298" s="510"/>
      <c r="M298" s="773"/>
      <c r="N298" s="510"/>
      <c r="O298" s="773"/>
      <c r="P298" s="773"/>
      <c r="Q298" s="705"/>
      <c r="R298" s="754"/>
      <c r="S298" s="789"/>
      <c r="T298" s="705"/>
      <c r="U298" s="755"/>
    </row>
    <row r="299" ht="26.25" customHeight="1">
      <c r="A299" s="769"/>
      <c r="B299" s="770"/>
      <c r="C299" s="771"/>
      <c r="D299" s="705"/>
      <c r="E299" s="705"/>
      <c r="F299" s="707"/>
      <c r="G299" s="772"/>
      <c r="H299" s="772"/>
      <c r="I299" s="773"/>
      <c r="J299" s="510"/>
      <c r="K299" s="510"/>
      <c r="L299" s="510"/>
      <c r="M299" s="773"/>
      <c r="N299" s="510"/>
      <c r="O299" s="773"/>
      <c r="P299" s="773"/>
      <c r="Q299" s="705"/>
      <c r="R299" s="754"/>
      <c r="S299" s="789"/>
      <c r="T299" s="705"/>
      <c r="U299" s="755"/>
    </row>
    <row r="300" ht="26.25" customHeight="1">
      <c r="A300" s="769"/>
      <c r="B300" s="770"/>
      <c r="C300" s="771"/>
      <c r="D300" s="705"/>
      <c r="E300" s="705"/>
      <c r="F300" s="707"/>
      <c r="G300" s="772"/>
      <c r="H300" s="772"/>
      <c r="I300" s="773"/>
      <c r="J300" s="510"/>
      <c r="K300" s="510"/>
      <c r="L300" s="510"/>
      <c r="M300" s="773"/>
      <c r="N300" s="510"/>
      <c r="O300" s="773"/>
      <c r="P300" s="773"/>
      <c r="Q300" s="705"/>
      <c r="R300" s="754"/>
      <c r="S300" s="789"/>
      <c r="T300" s="705"/>
      <c r="U300" s="755"/>
    </row>
    <row r="301" ht="26.25" customHeight="1">
      <c r="A301" s="769"/>
      <c r="B301" s="770"/>
      <c r="C301" s="771"/>
      <c r="D301" s="705"/>
      <c r="E301" s="705"/>
      <c r="F301" s="707"/>
      <c r="G301" s="772"/>
      <c r="H301" s="772"/>
      <c r="I301" s="773"/>
      <c r="J301" s="510"/>
      <c r="K301" s="510"/>
      <c r="L301" s="510"/>
      <c r="M301" s="773"/>
      <c r="N301" s="510"/>
      <c r="O301" s="773"/>
      <c r="P301" s="773"/>
      <c r="Q301" s="705"/>
      <c r="R301" s="754"/>
      <c r="S301" s="789"/>
      <c r="T301" s="705"/>
      <c r="U301" s="755"/>
    </row>
    <row r="302" ht="26.25" customHeight="1">
      <c r="A302" s="769"/>
      <c r="B302" s="770"/>
      <c r="C302" s="771"/>
      <c r="D302" s="705"/>
      <c r="E302" s="705"/>
      <c r="F302" s="707"/>
      <c r="G302" s="772"/>
      <c r="H302" s="772"/>
      <c r="I302" s="773"/>
      <c r="J302" s="510"/>
      <c r="K302" s="510"/>
      <c r="L302" s="510"/>
      <c r="M302" s="773"/>
      <c r="N302" s="510"/>
      <c r="O302" s="773"/>
      <c r="P302" s="773"/>
      <c r="Q302" s="705"/>
      <c r="R302" s="754"/>
      <c r="S302" s="789"/>
      <c r="T302" s="705"/>
      <c r="U302" s="755"/>
    </row>
    <row r="303" ht="26.25" customHeight="1">
      <c r="A303" s="769"/>
      <c r="B303" s="770"/>
      <c r="C303" s="771"/>
      <c r="D303" s="705"/>
      <c r="E303" s="705"/>
      <c r="F303" s="707"/>
      <c r="G303" s="772"/>
      <c r="H303" s="772"/>
      <c r="I303" s="773"/>
      <c r="J303" s="510"/>
      <c r="K303" s="510"/>
      <c r="L303" s="510"/>
      <c r="M303" s="773"/>
      <c r="N303" s="510"/>
      <c r="O303" s="773"/>
      <c r="P303" s="773"/>
      <c r="Q303" s="705"/>
      <c r="R303" s="754"/>
      <c r="S303" s="789"/>
      <c r="T303" s="705"/>
      <c r="U303" s="755"/>
    </row>
    <row r="304" ht="26.25" customHeight="1">
      <c r="A304" s="769"/>
      <c r="B304" s="770"/>
      <c r="C304" s="771"/>
      <c r="D304" s="705"/>
      <c r="E304" s="705"/>
      <c r="F304" s="707"/>
      <c r="G304" s="772"/>
      <c r="H304" s="772"/>
      <c r="I304" s="773"/>
      <c r="J304" s="510"/>
      <c r="K304" s="510"/>
      <c r="L304" s="510"/>
      <c r="M304" s="773"/>
      <c r="N304" s="510"/>
      <c r="O304" s="773"/>
      <c r="P304" s="773"/>
      <c r="Q304" s="705"/>
      <c r="R304" s="754"/>
      <c r="S304" s="789"/>
      <c r="T304" s="705"/>
      <c r="U304" s="755"/>
    </row>
    <row r="305" ht="26.25" customHeight="1">
      <c r="A305" s="769"/>
      <c r="B305" s="770"/>
      <c r="C305" s="771"/>
      <c r="D305" s="705"/>
      <c r="E305" s="705"/>
      <c r="F305" s="707"/>
      <c r="G305" s="772"/>
      <c r="H305" s="772"/>
      <c r="I305" s="773"/>
      <c r="J305" s="510"/>
      <c r="K305" s="510"/>
      <c r="L305" s="510"/>
      <c r="M305" s="773"/>
      <c r="N305" s="510"/>
      <c r="O305" s="773"/>
      <c r="P305" s="773"/>
      <c r="Q305" s="705"/>
      <c r="R305" s="754"/>
      <c r="S305" s="789"/>
      <c r="T305" s="705"/>
      <c r="U305" s="755"/>
    </row>
    <row r="306" ht="26.25" customHeight="1">
      <c r="A306" s="769"/>
      <c r="B306" s="770"/>
      <c r="C306" s="771"/>
      <c r="D306" s="705"/>
      <c r="E306" s="705"/>
      <c r="F306" s="707"/>
      <c r="G306" s="772"/>
      <c r="H306" s="772"/>
      <c r="I306" s="773"/>
      <c r="J306" s="510"/>
      <c r="K306" s="510"/>
      <c r="L306" s="510"/>
      <c r="M306" s="773"/>
      <c r="N306" s="510"/>
      <c r="O306" s="773"/>
      <c r="P306" s="773"/>
      <c r="Q306" s="705"/>
      <c r="R306" s="754"/>
      <c r="S306" s="789"/>
      <c r="T306" s="705"/>
      <c r="U306" s="755"/>
    </row>
    <row r="307" ht="26.25" customHeight="1">
      <c r="A307" s="769"/>
      <c r="B307" s="770"/>
      <c r="C307" s="771"/>
      <c r="D307" s="705"/>
      <c r="E307" s="705"/>
      <c r="F307" s="707"/>
      <c r="G307" s="772"/>
      <c r="H307" s="772"/>
      <c r="I307" s="773"/>
      <c r="J307" s="510"/>
      <c r="K307" s="510"/>
      <c r="L307" s="510"/>
      <c r="M307" s="773"/>
      <c r="N307" s="510"/>
      <c r="O307" s="773"/>
      <c r="P307" s="773"/>
      <c r="Q307" s="705"/>
      <c r="R307" s="754"/>
      <c r="S307" s="789"/>
      <c r="T307" s="705"/>
      <c r="U307" s="755"/>
    </row>
    <row r="308" ht="26.25" customHeight="1">
      <c r="A308" s="769"/>
      <c r="B308" s="770"/>
      <c r="C308" s="771"/>
      <c r="D308" s="705"/>
      <c r="E308" s="705"/>
      <c r="F308" s="707"/>
      <c r="G308" s="772"/>
      <c r="H308" s="772"/>
      <c r="I308" s="773"/>
      <c r="J308" s="510"/>
      <c r="K308" s="510"/>
      <c r="L308" s="510"/>
      <c r="M308" s="773"/>
      <c r="N308" s="510"/>
      <c r="O308" s="773"/>
      <c r="P308" s="773"/>
      <c r="Q308" s="705"/>
      <c r="R308" s="754"/>
      <c r="S308" s="789"/>
      <c r="T308" s="705"/>
      <c r="U308" s="755"/>
    </row>
    <row r="309" ht="26.25" customHeight="1">
      <c r="A309" s="769"/>
      <c r="B309" s="770"/>
      <c r="C309" s="771"/>
      <c r="D309" s="705"/>
      <c r="E309" s="705"/>
      <c r="F309" s="707"/>
      <c r="G309" s="772"/>
      <c r="H309" s="772"/>
      <c r="I309" s="773"/>
      <c r="J309" s="510"/>
      <c r="K309" s="510"/>
      <c r="L309" s="510"/>
      <c r="M309" s="773"/>
      <c r="N309" s="510"/>
      <c r="O309" s="773"/>
      <c r="P309" s="773"/>
      <c r="Q309" s="705"/>
      <c r="R309" s="754"/>
      <c r="S309" s="789"/>
      <c r="T309" s="705"/>
      <c r="U309" s="755"/>
    </row>
    <row r="310" ht="26.25" customHeight="1">
      <c r="A310" s="769"/>
      <c r="B310" s="770"/>
      <c r="C310" s="771"/>
      <c r="D310" s="705"/>
      <c r="E310" s="705"/>
      <c r="F310" s="707"/>
      <c r="G310" s="772"/>
      <c r="H310" s="772"/>
      <c r="I310" s="773"/>
      <c r="J310" s="510"/>
      <c r="K310" s="510"/>
      <c r="L310" s="510"/>
      <c r="M310" s="773"/>
      <c r="N310" s="510"/>
      <c r="O310" s="773"/>
      <c r="P310" s="773"/>
      <c r="Q310" s="705"/>
      <c r="R310" s="754"/>
      <c r="S310" s="789"/>
      <c r="T310" s="705"/>
      <c r="U310" s="755"/>
    </row>
    <row r="311" ht="26.25" customHeight="1">
      <c r="A311" s="769"/>
      <c r="B311" s="770"/>
      <c r="C311" s="771"/>
      <c r="D311" s="705"/>
      <c r="E311" s="705"/>
      <c r="F311" s="707"/>
      <c r="G311" s="772"/>
      <c r="H311" s="772"/>
      <c r="I311" s="773"/>
      <c r="J311" s="510"/>
      <c r="K311" s="510"/>
      <c r="L311" s="510"/>
      <c r="M311" s="773"/>
      <c r="N311" s="510"/>
      <c r="O311" s="773"/>
      <c r="P311" s="773"/>
      <c r="Q311" s="705"/>
      <c r="R311" s="754"/>
      <c r="S311" s="789"/>
      <c r="T311" s="705"/>
      <c r="U311" s="755"/>
    </row>
    <row r="312" ht="26.25" customHeight="1">
      <c r="A312" s="769"/>
      <c r="B312" s="770"/>
      <c r="C312" s="771"/>
      <c r="D312" s="705"/>
      <c r="E312" s="705"/>
      <c r="F312" s="707"/>
      <c r="G312" s="772"/>
      <c r="H312" s="772"/>
      <c r="I312" s="773"/>
      <c r="J312" s="510"/>
      <c r="K312" s="510"/>
      <c r="L312" s="510"/>
      <c r="M312" s="773"/>
      <c r="N312" s="510"/>
      <c r="O312" s="773"/>
      <c r="P312" s="773"/>
      <c r="Q312" s="705"/>
      <c r="R312" s="754"/>
      <c r="S312" s="789"/>
      <c r="T312" s="705"/>
      <c r="U312" s="755"/>
    </row>
    <row r="313" ht="26.25" customHeight="1">
      <c r="A313" s="769"/>
      <c r="B313" s="770"/>
      <c r="C313" s="771"/>
      <c r="D313" s="705"/>
      <c r="E313" s="705"/>
      <c r="F313" s="707"/>
      <c r="G313" s="772"/>
      <c r="H313" s="772"/>
      <c r="I313" s="773"/>
      <c r="J313" s="510"/>
      <c r="K313" s="510"/>
      <c r="L313" s="510"/>
      <c r="M313" s="773"/>
      <c r="N313" s="510"/>
      <c r="O313" s="773"/>
      <c r="P313" s="773"/>
      <c r="Q313" s="705"/>
      <c r="R313" s="754"/>
      <c r="S313" s="789"/>
      <c r="T313" s="705"/>
      <c r="U313" s="755"/>
    </row>
    <row r="314" ht="26.25" customHeight="1">
      <c r="A314" s="769"/>
      <c r="B314" s="770"/>
      <c r="C314" s="771"/>
      <c r="D314" s="705"/>
      <c r="E314" s="705"/>
      <c r="F314" s="707"/>
      <c r="G314" s="772"/>
      <c r="H314" s="772"/>
      <c r="I314" s="773"/>
      <c r="J314" s="510"/>
      <c r="K314" s="510"/>
      <c r="L314" s="510"/>
      <c r="M314" s="773"/>
      <c r="N314" s="510"/>
      <c r="O314" s="773"/>
      <c r="P314" s="773"/>
      <c r="Q314" s="705"/>
      <c r="R314" s="754"/>
      <c r="S314" s="789"/>
      <c r="T314" s="705"/>
      <c r="U314" s="755"/>
    </row>
    <row r="315" ht="26.25" customHeight="1">
      <c r="A315" s="769"/>
      <c r="B315" s="770"/>
      <c r="C315" s="771"/>
      <c r="D315" s="705"/>
      <c r="E315" s="705"/>
      <c r="F315" s="707"/>
      <c r="G315" s="772"/>
      <c r="H315" s="772"/>
      <c r="I315" s="773"/>
      <c r="J315" s="510"/>
      <c r="K315" s="510"/>
      <c r="L315" s="510"/>
      <c r="M315" s="773"/>
      <c r="N315" s="510"/>
      <c r="O315" s="773"/>
      <c r="P315" s="773"/>
      <c r="Q315" s="705"/>
      <c r="R315" s="754"/>
      <c r="S315" s="789"/>
      <c r="T315" s="705"/>
      <c r="U315" s="755"/>
    </row>
    <row r="316" ht="26.25" customHeight="1">
      <c r="A316" s="769"/>
      <c r="B316" s="770"/>
      <c r="C316" s="771"/>
      <c r="D316" s="705"/>
      <c r="E316" s="705"/>
      <c r="F316" s="707"/>
      <c r="G316" s="772"/>
      <c r="H316" s="772"/>
      <c r="I316" s="773"/>
      <c r="J316" s="510"/>
      <c r="K316" s="510"/>
      <c r="L316" s="510"/>
      <c r="M316" s="773"/>
      <c r="N316" s="510"/>
      <c r="O316" s="773"/>
      <c r="P316" s="773"/>
      <c r="Q316" s="705"/>
      <c r="R316" s="754"/>
      <c r="S316" s="789"/>
      <c r="T316" s="705"/>
      <c r="U316" s="755"/>
    </row>
    <row r="317" ht="26.25" customHeight="1">
      <c r="A317" s="769"/>
      <c r="B317" s="770"/>
      <c r="C317" s="771"/>
      <c r="D317" s="705"/>
      <c r="E317" s="705"/>
      <c r="F317" s="707"/>
      <c r="G317" s="772"/>
      <c r="H317" s="772"/>
      <c r="I317" s="773"/>
      <c r="J317" s="510"/>
      <c r="K317" s="510"/>
      <c r="L317" s="510"/>
      <c r="M317" s="773"/>
      <c r="N317" s="510"/>
      <c r="O317" s="773"/>
      <c r="P317" s="773"/>
      <c r="Q317" s="705"/>
      <c r="R317" s="754"/>
      <c r="S317" s="789"/>
      <c r="T317" s="705"/>
      <c r="U317" s="755"/>
    </row>
    <row r="318" ht="26.25" customHeight="1">
      <c r="A318" s="769"/>
      <c r="B318" s="770"/>
      <c r="C318" s="771"/>
      <c r="D318" s="705"/>
      <c r="E318" s="705"/>
      <c r="F318" s="707"/>
      <c r="G318" s="772"/>
      <c r="H318" s="772"/>
      <c r="I318" s="773"/>
      <c r="J318" s="510"/>
      <c r="K318" s="510"/>
      <c r="L318" s="510"/>
      <c r="M318" s="773"/>
      <c r="N318" s="510"/>
      <c r="O318" s="773"/>
      <c r="P318" s="773"/>
      <c r="Q318" s="705"/>
      <c r="R318" s="754"/>
      <c r="S318" s="789"/>
      <c r="T318" s="705"/>
      <c r="U318" s="755"/>
    </row>
    <row r="319" ht="26.25" customHeight="1">
      <c r="A319" s="769"/>
      <c r="B319" s="770"/>
      <c r="C319" s="771"/>
      <c r="D319" s="705"/>
      <c r="E319" s="705"/>
      <c r="F319" s="707"/>
      <c r="G319" s="772"/>
      <c r="H319" s="772"/>
      <c r="I319" s="773"/>
      <c r="J319" s="510"/>
      <c r="K319" s="510"/>
      <c r="L319" s="510"/>
      <c r="M319" s="773"/>
      <c r="N319" s="510"/>
      <c r="O319" s="773"/>
      <c r="P319" s="773"/>
      <c r="Q319" s="705"/>
      <c r="R319" s="754"/>
      <c r="S319" s="789"/>
      <c r="T319" s="705"/>
      <c r="U319" s="755"/>
    </row>
    <row r="320" ht="26.25" customHeight="1">
      <c r="A320" s="769"/>
      <c r="B320" s="770"/>
      <c r="C320" s="771"/>
      <c r="D320" s="705"/>
      <c r="E320" s="705"/>
      <c r="F320" s="707"/>
      <c r="G320" s="772"/>
      <c r="H320" s="772"/>
      <c r="I320" s="773"/>
      <c r="J320" s="510"/>
      <c r="K320" s="510"/>
      <c r="L320" s="510"/>
      <c r="M320" s="773"/>
      <c r="N320" s="510"/>
      <c r="O320" s="773"/>
      <c r="P320" s="773"/>
      <c r="Q320" s="705"/>
      <c r="R320" s="754"/>
      <c r="S320" s="789"/>
      <c r="T320" s="705"/>
      <c r="U320" s="755"/>
    </row>
    <row r="321" ht="26.25" customHeight="1">
      <c r="A321" s="769"/>
      <c r="B321" s="770"/>
      <c r="C321" s="771"/>
      <c r="D321" s="705"/>
      <c r="E321" s="705"/>
      <c r="F321" s="707"/>
      <c r="G321" s="772"/>
      <c r="H321" s="772"/>
      <c r="I321" s="773"/>
      <c r="J321" s="510"/>
      <c r="K321" s="510"/>
      <c r="L321" s="510"/>
      <c r="M321" s="773"/>
      <c r="N321" s="510"/>
      <c r="O321" s="773"/>
      <c r="P321" s="773"/>
      <c r="Q321" s="705"/>
      <c r="R321" s="754"/>
      <c r="S321" s="789"/>
      <c r="T321" s="705"/>
      <c r="U321" s="755"/>
    </row>
    <row r="322" ht="26.25" customHeight="1">
      <c r="A322" s="769"/>
      <c r="B322" s="770"/>
      <c r="C322" s="771"/>
      <c r="D322" s="705"/>
      <c r="E322" s="705"/>
      <c r="F322" s="707"/>
      <c r="G322" s="772"/>
      <c r="H322" s="772"/>
      <c r="I322" s="773"/>
      <c r="J322" s="510"/>
      <c r="K322" s="510"/>
      <c r="L322" s="510"/>
      <c r="M322" s="773"/>
      <c r="N322" s="510"/>
      <c r="O322" s="773"/>
      <c r="P322" s="773"/>
      <c r="Q322" s="705"/>
      <c r="R322" s="754"/>
      <c r="S322" s="789"/>
      <c r="T322" s="705"/>
      <c r="U322" s="755"/>
    </row>
    <row r="323" ht="26.25" customHeight="1">
      <c r="A323" s="769"/>
      <c r="B323" s="770"/>
      <c r="C323" s="771"/>
      <c r="D323" s="705"/>
      <c r="E323" s="705"/>
      <c r="F323" s="707"/>
      <c r="G323" s="772"/>
      <c r="H323" s="772"/>
      <c r="I323" s="773"/>
      <c r="J323" s="510"/>
      <c r="K323" s="510"/>
      <c r="L323" s="510"/>
      <c r="M323" s="773"/>
      <c r="N323" s="510"/>
      <c r="O323" s="773"/>
      <c r="P323" s="773"/>
      <c r="Q323" s="705"/>
      <c r="R323" s="754"/>
      <c r="S323" s="789"/>
      <c r="T323" s="705"/>
      <c r="U323" s="755"/>
    </row>
    <row r="324" ht="26.25" customHeight="1">
      <c r="A324" s="769"/>
      <c r="B324" s="770"/>
      <c r="C324" s="771"/>
      <c r="D324" s="705"/>
      <c r="E324" s="705"/>
      <c r="F324" s="707"/>
      <c r="G324" s="772"/>
      <c r="H324" s="772"/>
      <c r="I324" s="773"/>
      <c r="J324" s="510"/>
      <c r="K324" s="510"/>
      <c r="L324" s="510"/>
      <c r="M324" s="773"/>
      <c r="N324" s="510"/>
      <c r="O324" s="773"/>
      <c r="P324" s="773"/>
      <c r="Q324" s="705"/>
      <c r="R324" s="754"/>
      <c r="S324" s="789"/>
      <c r="T324" s="705"/>
      <c r="U324" s="755"/>
    </row>
    <row r="325" ht="26.25" customHeight="1">
      <c r="A325" s="769"/>
      <c r="B325" s="770"/>
      <c r="C325" s="771"/>
      <c r="D325" s="705"/>
      <c r="E325" s="705"/>
      <c r="F325" s="707"/>
      <c r="G325" s="772"/>
      <c r="H325" s="772"/>
      <c r="I325" s="773"/>
      <c r="J325" s="510"/>
      <c r="K325" s="510"/>
      <c r="L325" s="510"/>
      <c r="M325" s="773"/>
      <c r="N325" s="510"/>
      <c r="O325" s="773"/>
      <c r="P325" s="773"/>
      <c r="Q325" s="705"/>
      <c r="R325" s="754"/>
      <c r="S325" s="789"/>
      <c r="T325" s="705"/>
      <c r="U325" s="755"/>
    </row>
    <row r="326" ht="26.25" customHeight="1">
      <c r="A326" s="769"/>
      <c r="B326" s="770"/>
      <c r="C326" s="771"/>
      <c r="D326" s="705"/>
      <c r="E326" s="705"/>
      <c r="F326" s="707"/>
      <c r="G326" s="772"/>
      <c r="H326" s="772"/>
      <c r="I326" s="773"/>
      <c r="J326" s="510"/>
      <c r="K326" s="510"/>
      <c r="L326" s="510"/>
      <c r="M326" s="773"/>
      <c r="N326" s="510"/>
      <c r="O326" s="773"/>
      <c r="P326" s="773"/>
      <c r="Q326" s="705"/>
      <c r="R326" s="754"/>
      <c r="S326" s="789"/>
      <c r="T326" s="705"/>
      <c r="U326" s="755"/>
    </row>
    <row r="327" ht="26.25" customHeight="1">
      <c r="A327" s="769"/>
      <c r="B327" s="770"/>
      <c r="C327" s="771"/>
      <c r="D327" s="705"/>
      <c r="E327" s="705"/>
      <c r="F327" s="707"/>
      <c r="G327" s="772"/>
      <c r="H327" s="772"/>
      <c r="I327" s="773"/>
      <c r="J327" s="510"/>
      <c r="K327" s="510"/>
      <c r="L327" s="510"/>
      <c r="M327" s="773"/>
      <c r="N327" s="510"/>
      <c r="O327" s="773"/>
      <c r="P327" s="773"/>
      <c r="Q327" s="705"/>
      <c r="R327" s="754"/>
      <c r="S327" s="789"/>
      <c r="T327" s="705"/>
      <c r="U327" s="755"/>
    </row>
    <row r="328" ht="26.25" customHeight="1">
      <c r="A328" s="769"/>
      <c r="B328" s="770"/>
      <c r="C328" s="771"/>
      <c r="D328" s="705"/>
      <c r="E328" s="705"/>
      <c r="F328" s="707"/>
      <c r="G328" s="772"/>
      <c r="H328" s="772"/>
      <c r="I328" s="773"/>
      <c r="J328" s="510"/>
      <c r="K328" s="510"/>
      <c r="L328" s="510"/>
      <c r="M328" s="773"/>
      <c r="N328" s="510"/>
      <c r="O328" s="773"/>
      <c r="P328" s="773"/>
      <c r="Q328" s="705"/>
      <c r="R328" s="754"/>
      <c r="S328" s="789"/>
      <c r="T328" s="705"/>
      <c r="U328" s="755"/>
    </row>
    <row r="329" ht="26.25" customHeight="1">
      <c r="A329" s="769"/>
      <c r="B329" s="770"/>
      <c r="C329" s="771"/>
      <c r="D329" s="705"/>
      <c r="E329" s="705"/>
      <c r="F329" s="707"/>
      <c r="G329" s="772"/>
      <c r="H329" s="772"/>
      <c r="I329" s="773"/>
      <c r="J329" s="510"/>
      <c r="K329" s="510"/>
      <c r="L329" s="510"/>
      <c r="M329" s="773"/>
      <c r="N329" s="510"/>
      <c r="O329" s="773"/>
      <c r="P329" s="773"/>
      <c r="Q329" s="705"/>
      <c r="R329" s="754"/>
      <c r="S329" s="789"/>
      <c r="T329" s="705"/>
      <c r="U329" s="755"/>
    </row>
    <row r="330" ht="26.25" customHeight="1">
      <c r="A330" s="769"/>
      <c r="B330" s="770"/>
      <c r="C330" s="771"/>
      <c r="D330" s="705"/>
      <c r="E330" s="705"/>
      <c r="F330" s="707"/>
      <c r="G330" s="772"/>
      <c r="H330" s="772"/>
      <c r="I330" s="773"/>
      <c r="J330" s="510"/>
      <c r="K330" s="510"/>
      <c r="L330" s="510"/>
      <c r="M330" s="773"/>
      <c r="N330" s="510"/>
      <c r="O330" s="773"/>
      <c r="P330" s="773"/>
      <c r="Q330" s="705"/>
      <c r="R330" s="754"/>
      <c r="S330" s="789"/>
      <c r="T330" s="705"/>
      <c r="U330" s="755"/>
    </row>
    <row r="331" ht="26.25" customHeight="1">
      <c r="A331" s="769"/>
      <c r="B331" s="770"/>
      <c r="C331" s="771"/>
      <c r="D331" s="705"/>
      <c r="E331" s="705"/>
      <c r="F331" s="707"/>
      <c r="G331" s="772"/>
      <c r="H331" s="772"/>
      <c r="I331" s="773"/>
      <c r="J331" s="510"/>
      <c r="K331" s="510"/>
      <c r="L331" s="510"/>
      <c r="M331" s="773"/>
      <c r="N331" s="510"/>
      <c r="O331" s="773"/>
      <c r="P331" s="773"/>
      <c r="Q331" s="705"/>
      <c r="R331" s="754"/>
      <c r="S331" s="789"/>
      <c r="T331" s="705"/>
      <c r="U331" s="755"/>
    </row>
    <row r="332" ht="26.25" customHeight="1">
      <c r="A332" s="769"/>
      <c r="B332" s="770"/>
      <c r="C332" s="771"/>
      <c r="D332" s="705"/>
      <c r="E332" s="705"/>
      <c r="F332" s="707"/>
      <c r="G332" s="772"/>
      <c r="H332" s="772"/>
      <c r="I332" s="773"/>
      <c r="J332" s="510"/>
      <c r="K332" s="510"/>
      <c r="L332" s="510"/>
      <c r="M332" s="773"/>
      <c r="N332" s="510"/>
      <c r="O332" s="773"/>
      <c r="P332" s="773"/>
      <c r="Q332" s="705"/>
      <c r="R332" s="754"/>
      <c r="S332" s="789"/>
      <c r="T332" s="705"/>
      <c r="U332" s="755"/>
    </row>
    <row r="333" ht="26.25" customHeight="1">
      <c r="A333" s="769"/>
      <c r="B333" s="770"/>
      <c r="C333" s="771"/>
      <c r="D333" s="705"/>
      <c r="E333" s="705"/>
      <c r="F333" s="707"/>
      <c r="G333" s="772"/>
      <c r="H333" s="772"/>
      <c r="I333" s="773"/>
      <c r="J333" s="510"/>
      <c r="K333" s="510"/>
      <c r="L333" s="510"/>
      <c r="M333" s="773"/>
      <c r="N333" s="510"/>
      <c r="O333" s="773"/>
      <c r="P333" s="773"/>
      <c r="Q333" s="705"/>
      <c r="R333" s="754"/>
      <c r="S333" s="789"/>
      <c r="T333" s="705"/>
      <c r="U333" s="755"/>
    </row>
    <row r="334" ht="26.25" customHeight="1">
      <c r="A334" s="769"/>
      <c r="B334" s="770"/>
      <c r="C334" s="771"/>
      <c r="D334" s="705"/>
      <c r="E334" s="705"/>
      <c r="F334" s="707"/>
      <c r="G334" s="772"/>
      <c r="H334" s="772"/>
      <c r="I334" s="773"/>
      <c r="J334" s="510"/>
      <c r="K334" s="510"/>
      <c r="L334" s="510"/>
      <c r="M334" s="773"/>
      <c r="N334" s="510"/>
      <c r="O334" s="773"/>
      <c r="P334" s="773"/>
      <c r="Q334" s="705"/>
      <c r="R334" s="754"/>
      <c r="S334" s="789"/>
      <c r="T334" s="705"/>
      <c r="U334" s="755"/>
    </row>
    <row r="335" ht="26.25" customHeight="1">
      <c r="A335" s="769"/>
      <c r="B335" s="770"/>
      <c r="C335" s="771"/>
      <c r="D335" s="705"/>
      <c r="E335" s="705"/>
      <c r="F335" s="707"/>
      <c r="G335" s="772"/>
      <c r="H335" s="772"/>
      <c r="I335" s="773"/>
      <c r="J335" s="510"/>
      <c r="K335" s="510"/>
      <c r="L335" s="510"/>
      <c r="M335" s="773"/>
      <c r="N335" s="510"/>
      <c r="O335" s="773"/>
      <c r="P335" s="773"/>
      <c r="Q335" s="705"/>
      <c r="R335" s="754"/>
      <c r="S335" s="789"/>
      <c r="T335" s="705"/>
      <c r="U335" s="755"/>
    </row>
    <row r="336" ht="26.25" customHeight="1">
      <c r="A336" s="769"/>
      <c r="B336" s="770"/>
      <c r="C336" s="771"/>
      <c r="D336" s="705"/>
      <c r="E336" s="705"/>
      <c r="F336" s="707"/>
      <c r="G336" s="772"/>
      <c r="H336" s="772"/>
      <c r="I336" s="773"/>
      <c r="J336" s="510"/>
      <c r="K336" s="510"/>
      <c r="L336" s="510"/>
      <c r="M336" s="773"/>
      <c r="N336" s="510"/>
      <c r="O336" s="773"/>
      <c r="P336" s="773"/>
      <c r="Q336" s="705"/>
      <c r="R336" s="754"/>
      <c r="S336" s="789"/>
      <c r="T336" s="705"/>
      <c r="U336" s="755"/>
    </row>
    <row r="337" ht="26.25" customHeight="1">
      <c r="A337" s="769"/>
      <c r="B337" s="770"/>
      <c r="C337" s="771"/>
      <c r="D337" s="705"/>
      <c r="E337" s="705"/>
      <c r="F337" s="707"/>
      <c r="G337" s="772"/>
      <c r="H337" s="772"/>
      <c r="I337" s="773"/>
      <c r="J337" s="510"/>
      <c r="K337" s="510"/>
      <c r="L337" s="510"/>
      <c r="M337" s="773"/>
      <c r="N337" s="510"/>
      <c r="O337" s="773"/>
      <c r="P337" s="773"/>
      <c r="Q337" s="705"/>
      <c r="R337" s="754"/>
      <c r="S337" s="789"/>
      <c r="T337" s="705"/>
      <c r="U337" s="755"/>
    </row>
    <row r="338" ht="26.25" customHeight="1">
      <c r="A338" s="769"/>
      <c r="B338" s="770"/>
      <c r="C338" s="771"/>
      <c r="D338" s="705"/>
      <c r="E338" s="705"/>
      <c r="F338" s="707"/>
      <c r="G338" s="772"/>
      <c r="H338" s="772"/>
      <c r="I338" s="773"/>
      <c r="J338" s="510"/>
      <c r="K338" s="510"/>
      <c r="L338" s="510"/>
      <c r="M338" s="773"/>
      <c r="N338" s="510"/>
      <c r="O338" s="773"/>
      <c r="P338" s="773"/>
      <c r="Q338" s="705"/>
      <c r="R338" s="754"/>
      <c r="S338" s="789"/>
      <c r="T338" s="705"/>
      <c r="U338" s="755"/>
    </row>
    <row r="339" ht="26.25" customHeight="1">
      <c r="A339" s="769"/>
      <c r="B339" s="770"/>
      <c r="C339" s="771"/>
      <c r="D339" s="705"/>
      <c r="E339" s="705"/>
      <c r="F339" s="707"/>
      <c r="G339" s="772"/>
      <c r="H339" s="772"/>
      <c r="I339" s="773"/>
      <c r="J339" s="510"/>
      <c r="K339" s="510"/>
      <c r="L339" s="510"/>
      <c r="M339" s="773"/>
      <c r="N339" s="510"/>
      <c r="O339" s="773"/>
      <c r="P339" s="773"/>
      <c r="Q339" s="705"/>
      <c r="R339" s="754"/>
      <c r="S339" s="789"/>
      <c r="T339" s="705"/>
      <c r="U339" s="755"/>
    </row>
    <row r="340" ht="26.25" customHeight="1">
      <c r="A340" s="769"/>
      <c r="B340" s="770"/>
      <c r="C340" s="771"/>
      <c r="D340" s="705"/>
      <c r="E340" s="705"/>
      <c r="F340" s="707"/>
      <c r="G340" s="772"/>
      <c r="H340" s="772"/>
      <c r="I340" s="773"/>
      <c r="J340" s="510"/>
      <c r="K340" s="510"/>
      <c r="L340" s="510"/>
      <c r="M340" s="773"/>
      <c r="N340" s="510"/>
      <c r="O340" s="773"/>
      <c r="P340" s="773"/>
      <c r="Q340" s="705"/>
      <c r="R340" s="754"/>
      <c r="S340" s="789"/>
      <c r="T340" s="705"/>
      <c r="U340" s="755"/>
    </row>
    <row r="341" ht="26.25" customHeight="1">
      <c r="A341" s="769"/>
      <c r="B341" s="770"/>
      <c r="C341" s="771"/>
      <c r="D341" s="705"/>
      <c r="E341" s="705"/>
      <c r="F341" s="707"/>
      <c r="G341" s="772"/>
      <c r="H341" s="772"/>
      <c r="I341" s="773"/>
      <c r="J341" s="510"/>
      <c r="K341" s="510"/>
      <c r="L341" s="510"/>
      <c r="M341" s="773"/>
      <c r="N341" s="510"/>
      <c r="O341" s="773"/>
      <c r="P341" s="773"/>
      <c r="Q341" s="705"/>
      <c r="R341" s="754"/>
      <c r="S341" s="789"/>
      <c r="T341" s="705"/>
      <c r="U341" s="755"/>
    </row>
    <row r="342" ht="26.25" customHeight="1">
      <c r="A342" s="769"/>
      <c r="B342" s="770"/>
      <c r="C342" s="771"/>
      <c r="D342" s="705"/>
      <c r="E342" s="705"/>
      <c r="F342" s="707"/>
      <c r="G342" s="772"/>
      <c r="H342" s="772"/>
      <c r="I342" s="773"/>
      <c r="J342" s="510"/>
      <c r="K342" s="510"/>
      <c r="L342" s="510"/>
      <c r="M342" s="773"/>
      <c r="N342" s="510"/>
      <c r="O342" s="773"/>
      <c r="P342" s="773"/>
      <c r="Q342" s="705"/>
      <c r="R342" s="754"/>
      <c r="S342" s="789"/>
      <c r="T342" s="705"/>
      <c r="U342" s="755"/>
    </row>
    <row r="343" ht="26.25" customHeight="1">
      <c r="A343" s="769"/>
      <c r="B343" s="770"/>
      <c r="C343" s="771"/>
      <c r="D343" s="705"/>
      <c r="E343" s="705"/>
      <c r="F343" s="707"/>
      <c r="G343" s="772"/>
      <c r="H343" s="772"/>
      <c r="I343" s="773"/>
      <c r="J343" s="510"/>
      <c r="K343" s="510"/>
      <c r="L343" s="510"/>
      <c r="M343" s="773"/>
      <c r="N343" s="510"/>
      <c r="O343" s="773"/>
      <c r="P343" s="773"/>
      <c r="Q343" s="705"/>
      <c r="R343" s="754"/>
      <c r="S343" s="789"/>
      <c r="T343" s="705"/>
      <c r="U343" s="755"/>
    </row>
    <row r="344" ht="26.25" customHeight="1">
      <c r="A344" s="769"/>
      <c r="B344" s="770"/>
      <c r="C344" s="771"/>
      <c r="D344" s="705"/>
      <c r="E344" s="705"/>
      <c r="F344" s="707"/>
      <c r="G344" s="772"/>
      <c r="H344" s="772"/>
      <c r="I344" s="773"/>
      <c r="J344" s="510"/>
      <c r="K344" s="510"/>
      <c r="L344" s="510"/>
      <c r="M344" s="773"/>
      <c r="N344" s="510"/>
      <c r="O344" s="773"/>
      <c r="P344" s="773"/>
      <c r="Q344" s="705"/>
      <c r="R344" s="754"/>
      <c r="S344" s="789"/>
      <c r="T344" s="705"/>
      <c r="U344" s="755"/>
    </row>
    <row r="345" ht="26.25" customHeight="1">
      <c r="A345" s="769"/>
      <c r="B345" s="770"/>
      <c r="C345" s="771"/>
      <c r="D345" s="705"/>
      <c r="E345" s="705"/>
      <c r="F345" s="707"/>
      <c r="G345" s="772"/>
      <c r="H345" s="772"/>
      <c r="I345" s="773"/>
      <c r="J345" s="510"/>
      <c r="K345" s="510"/>
      <c r="L345" s="510"/>
      <c r="M345" s="773"/>
      <c r="N345" s="510"/>
      <c r="O345" s="773"/>
      <c r="P345" s="773"/>
      <c r="Q345" s="705"/>
      <c r="R345" s="754"/>
      <c r="S345" s="789"/>
      <c r="T345" s="705"/>
      <c r="U345" s="755"/>
    </row>
    <row r="346" ht="26.25" customHeight="1">
      <c r="A346" s="769"/>
      <c r="B346" s="770"/>
      <c r="C346" s="771"/>
      <c r="D346" s="705"/>
      <c r="E346" s="705"/>
      <c r="F346" s="707"/>
      <c r="G346" s="772"/>
      <c r="H346" s="772"/>
      <c r="I346" s="773"/>
      <c r="J346" s="510"/>
      <c r="K346" s="510"/>
      <c r="L346" s="510"/>
      <c r="M346" s="773"/>
      <c r="N346" s="510"/>
      <c r="O346" s="773"/>
      <c r="P346" s="773"/>
      <c r="Q346" s="705"/>
      <c r="R346" s="754"/>
      <c r="S346" s="789"/>
      <c r="T346" s="705"/>
      <c r="U346" s="755"/>
    </row>
    <row r="347" ht="26.25" customHeight="1">
      <c r="A347" s="769"/>
      <c r="B347" s="770"/>
      <c r="C347" s="771"/>
      <c r="D347" s="705"/>
      <c r="E347" s="705"/>
      <c r="F347" s="707"/>
      <c r="G347" s="772"/>
      <c r="H347" s="772"/>
      <c r="I347" s="773"/>
      <c r="J347" s="510"/>
      <c r="K347" s="510"/>
      <c r="L347" s="510"/>
      <c r="M347" s="773"/>
      <c r="N347" s="510"/>
      <c r="O347" s="773"/>
      <c r="P347" s="773"/>
      <c r="Q347" s="705"/>
      <c r="R347" s="754"/>
      <c r="S347" s="789"/>
      <c r="T347" s="705"/>
      <c r="U347" s="755"/>
    </row>
    <row r="348" ht="26.25" customHeight="1">
      <c r="A348" s="769"/>
      <c r="B348" s="770"/>
      <c r="C348" s="771"/>
      <c r="D348" s="705"/>
      <c r="E348" s="705"/>
      <c r="F348" s="707"/>
      <c r="G348" s="772"/>
      <c r="H348" s="772"/>
      <c r="I348" s="773"/>
      <c r="J348" s="510"/>
      <c r="K348" s="510"/>
      <c r="L348" s="510"/>
      <c r="M348" s="773"/>
      <c r="N348" s="510"/>
      <c r="O348" s="773"/>
      <c r="P348" s="773"/>
      <c r="Q348" s="705"/>
      <c r="R348" s="754"/>
      <c r="S348" s="789"/>
      <c r="T348" s="705"/>
      <c r="U348" s="755"/>
    </row>
    <row r="349" ht="26.25" customHeight="1">
      <c r="A349" s="769"/>
      <c r="B349" s="770"/>
      <c r="C349" s="771"/>
      <c r="D349" s="705"/>
      <c r="E349" s="705"/>
      <c r="F349" s="707"/>
      <c r="G349" s="772"/>
      <c r="H349" s="772"/>
      <c r="I349" s="773"/>
      <c r="J349" s="510"/>
      <c r="K349" s="510"/>
      <c r="L349" s="510"/>
      <c r="M349" s="773"/>
      <c r="N349" s="510"/>
      <c r="O349" s="773"/>
      <c r="P349" s="773"/>
      <c r="Q349" s="705"/>
      <c r="R349" s="754"/>
      <c r="S349" s="789"/>
      <c r="T349" s="705"/>
      <c r="U349" s="755"/>
    </row>
    <row r="350" ht="26.25" customHeight="1">
      <c r="A350" s="769"/>
      <c r="B350" s="770"/>
      <c r="C350" s="771"/>
      <c r="D350" s="705"/>
      <c r="E350" s="705"/>
      <c r="F350" s="707"/>
      <c r="G350" s="772"/>
      <c r="H350" s="772"/>
      <c r="I350" s="773"/>
      <c r="J350" s="510"/>
      <c r="K350" s="510"/>
      <c r="L350" s="510"/>
      <c r="M350" s="773"/>
      <c r="N350" s="510"/>
      <c r="O350" s="773"/>
      <c r="P350" s="773"/>
      <c r="Q350" s="705"/>
      <c r="R350" s="754"/>
      <c r="S350" s="789"/>
      <c r="T350" s="705"/>
      <c r="U350" s="755"/>
    </row>
    <row r="351" ht="26.25" customHeight="1">
      <c r="A351" s="769"/>
      <c r="B351" s="770"/>
      <c r="C351" s="771"/>
      <c r="D351" s="705"/>
      <c r="E351" s="705"/>
      <c r="F351" s="707"/>
      <c r="G351" s="772"/>
      <c r="H351" s="772"/>
      <c r="I351" s="773"/>
      <c r="J351" s="510"/>
      <c r="K351" s="510"/>
      <c r="L351" s="510"/>
      <c r="M351" s="773"/>
      <c r="N351" s="510"/>
      <c r="O351" s="773"/>
      <c r="P351" s="773"/>
      <c r="Q351" s="705"/>
      <c r="R351" s="754"/>
      <c r="S351" s="789"/>
      <c r="T351" s="705"/>
      <c r="U351" s="755"/>
    </row>
    <row r="352" ht="26.25" customHeight="1">
      <c r="A352" s="769"/>
      <c r="B352" s="770"/>
      <c r="C352" s="771"/>
      <c r="D352" s="705"/>
      <c r="E352" s="705"/>
      <c r="F352" s="707"/>
      <c r="G352" s="772"/>
      <c r="H352" s="772"/>
      <c r="I352" s="773"/>
      <c r="J352" s="510"/>
      <c r="K352" s="510"/>
      <c r="L352" s="510"/>
      <c r="M352" s="773"/>
      <c r="N352" s="510"/>
      <c r="O352" s="773"/>
      <c r="P352" s="773"/>
      <c r="Q352" s="705"/>
      <c r="R352" s="754"/>
      <c r="S352" s="789"/>
      <c r="T352" s="705"/>
      <c r="U352" s="755"/>
    </row>
    <row r="353" ht="26.25" customHeight="1">
      <c r="A353" s="769"/>
      <c r="B353" s="770"/>
      <c r="C353" s="771"/>
      <c r="D353" s="705"/>
      <c r="E353" s="705"/>
      <c r="F353" s="707"/>
      <c r="G353" s="772"/>
      <c r="H353" s="772"/>
      <c r="I353" s="773"/>
      <c r="J353" s="510"/>
      <c r="K353" s="510"/>
      <c r="L353" s="510"/>
      <c r="M353" s="773"/>
      <c r="N353" s="510"/>
      <c r="O353" s="773"/>
      <c r="P353" s="773"/>
      <c r="Q353" s="705"/>
      <c r="R353" s="754"/>
      <c r="S353" s="789"/>
      <c r="T353" s="705"/>
      <c r="U353" s="755"/>
    </row>
    <row r="354" ht="26.25" customHeight="1">
      <c r="A354" s="769"/>
      <c r="B354" s="770"/>
      <c r="C354" s="771"/>
      <c r="D354" s="705"/>
      <c r="E354" s="705"/>
      <c r="F354" s="707"/>
      <c r="G354" s="772"/>
      <c r="H354" s="772"/>
      <c r="I354" s="773"/>
      <c r="J354" s="510"/>
      <c r="K354" s="510"/>
      <c r="L354" s="510"/>
      <c r="M354" s="773"/>
      <c r="N354" s="510"/>
      <c r="O354" s="773"/>
      <c r="P354" s="773"/>
      <c r="Q354" s="705"/>
      <c r="R354" s="754"/>
      <c r="S354" s="789"/>
      <c r="T354" s="705"/>
      <c r="U354" s="755"/>
    </row>
    <row r="355" ht="26.25" customHeight="1">
      <c r="A355" s="769"/>
      <c r="B355" s="770"/>
      <c r="C355" s="771"/>
      <c r="D355" s="705"/>
      <c r="E355" s="705"/>
      <c r="F355" s="707"/>
      <c r="G355" s="772"/>
      <c r="H355" s="772"/>
      <c r="I355" s="773"/>
      <c r="J355" s="510"/>
      <c r="K355" s="510"/>
      <c r="L355" s="510"/>
      <c r="M355" s="773"/>
      <c r="N355" s="510"/>
      <c r="O355" s="773"/>
      <c r="P355" s="773"/>
      <c r="Q355" s="705"/>
      <c r="R355" s="754"/>
      <c r="S355" s="789"/>
      <c r="T355" s="705"/>
      <c r="U355" s="755"/>
    </row>
    <row r="356" ht="26.25" customHeight="1">
      <c r="A356" s="769"/>
      <c r="B356" s="770"/>
      <c r="C356" s="771"/>
      <c r="D356" s="705"/>
      <c r="E356" s="705"/>
      <c r="F356" s="707"/>
      <c r="G356" s="772"/>
      <c r="H356" s="772"/>
      <c r="I356" s="773"/>
      <c r="J356" s="510"/>
      <c r="K356" s="510"/>
      <c r="L356" s="510"/>
      <c r="M356" s="773"/>
      <c r="N356" s="510"/>
      <c r="O356" s="773"/>
      <c r="P356" s="773"/>
      <c r="Q356" s="705"/>
      <c r="R356" s="754"/>
      <c r="S356" s="789"/>
      <c r="T356" s="705"/>
      <c r="U356" s="755"/>
    </row>
    <row r="357" ht="26.25" customHeight="1">
      <c r="A357" s="769"/>
      <c r="B357" s="770"/>
      <c r="C357" s="771"/>
      <c r="D357" s="705"/>
      <c r="E357" s="705"/>
      <c r="F357" s="707"/>
      <c r="G357" s="772"/>
      <c r="H357" s="772"/>
      <c r="I357" s="773"/>
      <c r="J357" s="510"/>
      <c r="K357" s="510"/>
      <c r="L357" s="510"/>
      <c r="M357" s="773"/>
      <c r="N357" s="510"/>
      <c r="O357" s="773"/>
      <c r="P357" s="773"/>
      <c r="Q357" s="705"/>
      <c r="R357" s="754"/>
      <c r="S357" s="789"/>
      <c r="T357" s="705"/>
      <c r="U357" s="755"/>
    </row>
    <row r="358" ht="26.25" customHeight="1">
      <c r="A358" s="769"/>
      <c r="B358" s="770"/>
      <c r="C358" s="771"/>
      <c r="D358" s="705"/>
      <c r="E358" s="705"/>
      <c r="F358" s="707"/>
      <c r="G358" s="772"/>
      <c r="H358" s="772"/>
      <c r="I358" s="773"/>
      <c r="J358" s="510"/>
      <c r="K358" s="510"/>
      <c r="L358" s="510"/>
      <c r="M358" s="773"/>
      <c r="N358" s="510"/>
      <c r="O358" s="773"/>
      <c r="P358" s="773"/>
      <c r="Q358" s="705"/>
      <c r="R358" s="754"/>
      <c r="S358" s="789"/>
      <c r="T358" s="705"/>
      <c r="U358" s="755"/>
    </row>
    <row r="359" ht="26.25" customHeight="1">
      <c r="A359" s="769"/>
      <c r="B359" s="770"/>
      <c r="C359" s="771"/>
      <c r="D359" s="705"/>
      <c r="E359" s="705"/>
      <c r="F359" s="707"/>
      <c r="G359" s="772"/>
      <c r="H359" s="772"/>
      <c r="I359" s="773"/>
      <c r="J359" s="510"/>
      <c r="K359" s="510"/>
      <c r="L359" s="510"/>
      <c r="M359" s="773"/>
      <c r="N359" s="510"/>
      <c r="O359" s="773"/>
      <c r="P359" s="773"/>
      <c r="Q359" s="705"/>
      <c r="R359" s="754"/>
      <c r="S359" s="789"/>
      <c r="T359" s="705"/>
      <c r="U359" s="755"/>
    </row>
    <row r="360" ht="26.25" customHeight="1">
      <c r="A360" s="769"/>
      <c r="B360" s="770"/>
      <c r="C360" s="771"/>
      <c r="D360" s="705"/>
      <c r="E360" s="705"/>
      <c r="F360" s="707"/>
      <c r="G360" s="772"/>
      <c r="H360" s="772"/>
      <c r="I360" s="773"/>
      <c r="J360" s="510"/>
      <c r="K360" s="510"/>
      <c r="L360" s="510"/>
      <c r="M360" s="773"/>
      <c r="N360" s="510"/>
      <c r="O360" s="773"/>
      <c r="P360" s="773"/>
      <c r="Q360" s="705"/>
      <c r="R360" s="754"/>
      <c r="S360" s="789"/>
      <c r="T360" s="705"/>
      <c r="U360" s="755"/>
    </row>
    <row r="361" ht="26.25" customHeight="1">
      <c r="A361" s="769"/>
      <c r="B361" s="770"/>
      <c r="C361" s="771"/>
      <c r="D361" s="705"/>
      <c r="E361" s="705"/>
      <c r="F361" s="707"/>
      <c r="G361" s="772"/>
      <c r="H361" s="772"/>
      <c r="I361" s="773"/>
      <c r="J361" s="510"/>
      <c r="K361" s="510"/>
      <c r="L361" s="510"/>
      <c r="M361" s="773"/>
      <c r="N361" s="510"/>
      <c r="O361" s="773"/>
      <c r="P361" s="773"/>
      <c r="Q361" s="705"/>
      <c r="R361" s="754"/>
      <c r="S361" s="789"/>
      <c r="T361" s="705"/>
      <c r="U361" s="755"/>
    </row>
    <row r="362" ht="26.25" customHeight="1">
      <c r="A362" s="769"/>
      <c r="B362" s="770"/>
      <c r="C362" s="771"/>
      <c r="D362" s="705"/>
      <c r="E362" s="705"/>
      <c r="F362" s="707"/>
      <c r="G362" s="772"/>
      <c r="H362" s="772"/>
      <c r="I362" s="773"/>
      <c r="J362" s="510"/>
      <c r="K362" s="510"/>
      <c r="L362" s="510"/>
      <c r="M362" s="773"/>
      <c r="N362" s="510"/>
      <c r="O362" s="773"/>
      <c r="P362" s="773"/>
      <c r="Q362" s="705"/>
      <c r="R362" s="754"/>
      <c r="S362" s="789"/>
      <c r="T362" s="705"/>
      <c r="U362" s="755"/>
    </row>
    <row r="363" ht="26.25" customHeight="1">
      <c r="A363" s="769"/>
      <c r="B363" s="770"/>
      <c r="C363" s="771"/>
      <c r="D363" s="705"/>
      <c r="E363" s="705"/>
      <c r="F363" s="707"/>
      <c r="G363" s="772"/>
      <c r="H363" s="772"/>
      <c r="I363" s="773"/>
      <c r="J363" s="510"/>
      <c r="K363" s="510"/>
      <c r="L363" s="510"/>
      <c r="M363" s="773"/>
      <c r="N363" s="510"/>
      <c r="O363" s="773"/>
      <c r="P363" s="773"/>
      <c r="Q363" s="705"/>
      <c r="R363" s="754"/>
      <c r="S363" s="789"/>
      <c r="T363" s="705"/>
      <c r="U363" s="755"/>
    </row>
    <row r="364" ht="26.25" customHeight="1">
      <c r="A364" s="769"/>
      <c r="B364" s="770"/>
      <c r="C364" s="771"/>
      <c r="D364" s="705"/>
      <c r="E364" s="705"/>
      <c r="F364" s="707"/>
      <c r="G364" s="772"/>
      <c r="H364" s="772"/>
      <c r="I364" s="773"/>
      <c r="J364" s="510"/>
      <c r="K364" s="510"/>
      <c r="L364" s="510"/>
      <c r="M364" s="773"/>
      <c r="N364" s="510"/>
      <c r="O364" s="773"/>
      <c r="P364" s="773"/>
      <c r="Q364" s="705"/>
      <c r="R364" s="754"/>
      <c r="S364" s="789"/>
      <c r="T364" s="705"/>
      <c r="U364" s="755"/>
    </row>
    <row r="365" ht="26.25" customHeight="1">
      <c r="A365" s="769"/>
      <c r="B365" s="770"/>
      <c r="C365" s="771"/>
      <c r="D365" s="705"/>
      <c r="E365" s="705"/>
      <c r="F365" s="707"/>
      <c r="G365" s="772"/>
      <c r="H365" s="772"/>
      <c r="I365" s="773"/>
      <c r="J365" s="510"/>
      <c r="K365" s="510"/>
      <c r="L365" s="510"/>
      <c r="M365" s="773"/>
      <c r="N365" s="510"/>
      <c r="O365" s="773"/>
      <c r="P365" s="773"/>
      <c r="Q365" s="705"/>
      <c r="R365" s="754"/>
      <c r="S365" s="789"/>
      <c r="T365" s="705"/>
      <c r="U365" s="755"/>
    </row>
    <row r="366" ht="26.25" customHeight="1">
      <c r="A366" s="769"/>
      <c r="B366" s="770"/>
      <c r="C366" s="771"/>
      <c r="D366" s="705"/>
      <c r="E366" s="705"/>
      <c r="F366" s="707"/>
      <c r="G366" s="772"/>
      <c r="H366" s="772"/>
      <c r="I366" s="773"/>
      <c r="J366" s="510"/>
      <c r="K366" s="510"/>
      <c r="L366" s="510"/>
      <c r="M366" s="773"/>
      <c r="N366" s="510"/>
      <c r="O366" s="773"/>
      <c r="P366" s="773"/>
      <c r="Q366" s="705"/>
      <c r="R366" s="754"/>
      <c r="S366" s="789"/>
      <c r="T366" s="705"/>
      <c r="U366" s="755"/>
    </row>
    <row r="367" ht="26.25" customHeight="1">
      <c r="A367" s="769"/>
      <c r="B367" s="770"/>
      <c r="C367" s="771"/>
      <c r="D367" s="705"/>
      <c r="E367" s="705"/>
      <c r="F367" s="707"/>
      <c r="G367" s="772"/>
      <c r="H367" s="772"/>
      <c r="I367" s="773"/>
      <c r="J367" s="510"/>
      <c r="K367" s="510"/>
      <c r="L367" s="510"/>
      <c r="M367" s="773"/>
      <c r="N367" s="510"/>
      <c r="O367" s="773"/>
      <c r="P367" s="773"/>
      <c r="Q367" s="705"/>
      <c r="R367" s="754"/>
      <c r="S367" s="789"/>
      <c r="T367" s="705"/>
      <c r="U367" s="755"/>
    </row>
    <row r="368" ht="26.25" customHeight="1">
      <c r="A368" s="769"/>
      <c r="B368" s="770"/>
      <c r="C368" s="771"/>
      <c r="D368" s="705"/>
      <c r="E368" s="705"/>
      <c r="F368" s="707"/>
      <c r="G368" s="772"/>
      <c r="H368" s="772"/>
      <c r="I368" s="773"/>
      <c r="J368" s="510"/>
      <c r="K368" s="510"/>
      <c r="L368" s="510"/>
      <c r="M368" s="773"/>
      <c r="N368" s="510"/>
      <c r="O368" s="773"/>
      <c r="P368" s="773"/>
      <c r="Q368" s="705"/>
      <c r="R368" s="754"/>
      <c r="S368" s="789"/>
      <c r="T368" s="705"/>
      <c r="U368" s="755"/>
    </row>
    <row r="369" ht="26.25" customHeight="1">
      <c r="A369" s="769"/>
      <c r="B369" s="770"/>
      <c r="C369" s="771"/>
      <c r="D369" s="705"/>
      <c r="E369" s="705"/>
      <c r="F369" s="707"/>
      <c r="G369" s="772"/>
      <c r="H369" s="772"/>
      <c r="I369" s="773"/>
      <c r="J369" s="510"/>
      <c r="K369" s="510"/>
      <c r="L369" s="510"/>
      <c r="M369" s="773"/>
      <c r="N369" s="510"/>
      <c r="O369" s="773"/>
      <c r="P369" s="773"/>
      <c r="Q369" s="705"/>
      <c r="R369" s="754"/>
      <c r="S369" s="789"/>
      <c r="T369" s="705"/>
      <c r="U369" s="755"/>
    </row>
    <row r="370" ht="26.25" customHeight="1">
      <c r="A370" s="769"/>
      <c r="B370" s="770"/>
      <c r="C370" s="771"/>
      <c r="D370" s="705"/>
      <c r="E370" s="705"/>
      <c r="F370" s="707"/>
      <c r="G370" s="772"/>
      <c r="H370" s="772"/>
      <c r="I370" s="773"/>
      <c r="J370" s="510"/>
      <c r="K370" s="510"/>
      <c r="L370" s="510"/>
      <c r="M370" s="773"/>
      <c r="N370" s="510"/>
      <c r="O370" s="773"/>
      <c r="P370" s="773"/>
      <c r="Q370" s="705"/>
      <c r="R370" s="754"/>
      <c r="S370" s="789"/>
      <c r="T370" s="705"/>
      <c r="U370" s="755"/>
    </row>
    <row r="371" ht="26.25" customHeight="1">
      <c r="A371" s="769"/>
      <c r="B371" s="770"/>
      <c r="C371" s="771"/>
      <c r="D371" s="705"/>
      <c r="E371" s="705"/>
      <c r="F371" s="707"/>
      <c r="G371" s="772"/>
      <c r="H371" s="772"/>
      <c r="I371" s="773"/>
      <c r="J371" s="510"/>
      <c r="K371" s="510"/>
      <c r="L371" s="510"/>
      <c r="M371" s="773"/>
      <c r="N371" s="510"/>
      <c r="O371" s="773"/>
      <c r="P371" s="773"/>
      <c r="Q371" s="705"/>
      <c r="R371" s="754"/>
      <c r="S371" s="789"/>
      <c r="T371" s="705"/>
      <c r="U371" s="755"/>
    </row>
    <row r="372" ht="26.25" customHeight="1">
      <c r="A372" s="769"/>
      <c r="B372" s="770"/>
      <c r="C372" s="771"/>
      <c r="D372" s="705"/>
      <c r="E372" s="705"/>
      <c r="F372" s="707"/>
      <c r="G372" s="772"/>
      <c r="H372" s="772"/>
      <c r="I372" s="773"/>
      <c r="J372" s="510"/>
      <c r="K372" s="510"/>
      <c r="L372" s="510"/>
      <c r="M372" s="773"/>
      <c r="N372" s="510"/>
      <c r="O372" s="773"/>
      <c r="P372" s="773"/>
      <c r="Q372" s="705"/>
      <c r="R372" s="754"/>
      <c r="S372" s="789"/>
      <c r="T372" s="705"/>
      <c r="U372" s="755"/>
    </row>
    <row r="373" ht="26.25" customHeight="1">
      <c r="A373" s="769"/>
      <c r="B373" s="770"/>
      <c r="C373" s="771"/>
      <c r="D373" s="705"/>
      <c r="E373" s="705"/>
      <c r="F373" s="707"/>
      <c r="G373" s="772"/>
      <c r="H373" s="772"/>
      <c r="I373" s="773"/>
      <c r="J373" s="510"/>
      <c r="K373" s="510"/>
      <c r="L373" s="510"/>
      <c r="M373" s="773"/>
      <c r="N373" s="510"/>
      <c r="O373" s="773"/>
      <c r="P373" s="773"/>
      <c r="Q373" s="705"/>
      <c r="R373" s="754"/>
      <c r="S373" s="789"/>
      <c r="T373" s="705"/>
      <c r="U373" s="755"/>
    </row>
    <row r="374" ht="26.25" customHeight="1">
      <c r="A374" s="769"/>
      <c r="B374" s="770"/>
      <c r="C374" s="771"/>
      <c r="D374" s="705"/>
      <c r="E374" s="705"/>
      <c r="F374" s="707"/>
      <c r="G374" s="772"/>
      <c r="H374" s="772"/>
      <c r="I374" s="773"/>
      <c r="J374" s="510"/>
      <c r="K374" s="510"/>
      <c r="L374" s="510"/>
      <c r="M374" s="773"/>
      <c r="N374" s="510"/>
      <c r="O374" s="773"/>
      <c r="P374" s="773"/>
      <c r="Q374" s="705"/>
      <c r="R374" s="754"/>
      <c r="S374" s="789"/>
      <c r="T374" s="705"/>
      <c r="U374" s="755"/>
    </row>
    <row r="375" ht="26.25" customHeight="1">
      <c r="A375" s="769"/>
      <c r="B375" s="770"/>
      <c r="C375" s="771"/>
      <c r="D375" s="705"/>
      <c r="E375" s="705"/>
      <c r="F375" s="707"/>
      <c r="G375" s="772"/>
      <c r="H375" s="772"/>
      <c r="I375" s="773"/>
      <c r="J375" s="510"/>
      <c r="K375" s="510"/>
      <c r="L375" s="510"/>
      <c r="M375" s="773"/>
      <c r="N375" s="510"/>
      <c r="O375" s="773"/>
      <c r="P375" s="773"/>
      <c r="Q375" s="705"/>
      <c r="R375" s="754"/>
      <c r="S375" s="789"/>
      <c r="T375" s="705"/>
      <c r="U375" s="755"/>
    </row>
    <row r="376" ht="26.25" customHeight="1">
      <c r="A376" s="769"/>
      <c r="B376" s="770"/>
      <c r="C376" s="771"/>
      <c r="D376" s="705"/>
      <c r="E376" s="705"/>
      <c r="F376" s="707"/>
      <c r="G376" s="772"/>
      <c r="H376" s="772"/>
      <c r="I376" s="773"/>
      <c r="J376" s="510"/>
      <c r="K376" s="510"/>
      <c r="L376" s="510"/>
      <c r="M376" s="773"/>
      <c r="N376" s="510"/>
      <c r="O376" s="773"/>
      <c r="P376" s="773"/>
      <c r="Q376" s="705"/>
      <c r="R376" s="754"/>
      <c r="S376" s="789"/>
      <c r="T376" s="705"/>
      <c r="U376" s="755"/>
    </row>
    <row r="377" ht="26.25" customHeight="1">
      <c r="A377" s="769"/>
      <c r="B377" s="770"/>
      <c r="C377" s="771"/>
      <c r="D377" s="705"/>
      <c r="E377" s="705"/>
      <c r="F377" s="707"/>
      <c r="G377" s="772"/>
      <c r="H377" s="772"/>
      <c r="I377" s="773"/>
      <c r="J377" s="510"/>
      <c r="K377" s="510"/>
      <c r="L377" s="510"/>
      <c r="M377" s="773"/>
      <c r="N377" s="510"/>
      <c r="O377" s="773"/>
      <c r="P377" s="773"/>
      <c r="Q377" s="705"/>
      <c r="R377" s="754"/>
      <c r="S377" s="789"/>
      <c r="T377" s="705"/>
      <c r="U377" s="755"/>
    </row>
    <row r="378" ht="26.25" customHeight="1">
      <c r="A378" s="769"/>
      <c r="B378" s="770"/>
      <c r="C378" s="771"/>
      <c r="D378" s="705"/>
      <c r="E378" s="705"/>
      <c r="F378" s="707"/>
      <c r="G378" s="772"/>
      <c r="H378" s="772"/>
      <c r="I378" s="773"/>
      <c r="J378" s="510"/>
      <c r="K378" s="510"/>
      <c r="L378" s="510"/>
      <c r="M378" s="773"/>
      <c r="N378" s="510"/>
      <c r="O378" s="773"/>
      <c r="P378" s="773"/>
      <c r="Q378" s="705"/>
      <c r="R378" s="754"/>
      <c r="S378" s="789"/>
      <c r="T378" s="705"/>
      <c r="U378" s="755"/>
    </row>
    <row r="379" ht="26.25" customHeight="1">
      <c r="A379" s="769"/>
      <c r="B379" s="770"/>
      <c r="C379" s="771"/>
      <c r="D379" s="705"/>
      <c r="E379" s="705"/>
      <c r="F379" s="707"/>
      <c r="G379" s="772"/>
      <c r="H379" s="772"/>
      <c r="I379" s="773"/>
      <c r="J379" s="510"/>
      <c r="K379" s="510"/>
      <c r="L379" s="510"/>
      <c r="M379" s="773"/>
      <c r="N379" s="510"/>
      <c r="O379" s="773"/>
      <c r="P379" s="773"/>
      <c r="Q379" s="705"/>
      <c r="R379" s="754"/>
      <c r="S379" s="789"/>
      <c r="T379" s="705"/>
      <c r="U379" s="755"/>
    </row>
    <row r="380" ht="26.25" customHeight="1">
      <c r="A380" s="769"/>
      <c r="B380" s="770"/>
      <c r="C380" s="771"/>
      <c r="D380" s="705"/>
      <c r="E380" s="705"/>
      <c r="F380" s="707"/>
      <c r="G380" s="772"/>
      <c r="H380" s="772"/>
      <c r="I380" s="773"/>
      <c r="J380" s="510"/>
      <c r="K380" s="510"/>
      <c r="L380" s="510"/>
      <c r="M380" s="773"/>
      <c r="N380" s="510"/>
      <c r="O380" s="773"/>
      <c r="P380" s="773"/>
      <c r="Q380" s="705"/>
      <c r="R380" s="754"/>
      <c r="S380" s="789"/>
      <c r="T380" s="705"/>
      <c r="U380" s="755"/>
    </row>
    <row r="381" ht="26.25" customHeight="1">
      <c r="A381" s="769"/>
      <c r="B381" s="770"/>
      <c r="C381" s="771"/>
      <c r="D381" s="705"/>
      <c r="E381" s="705"/>
      <c r="F381" s="707"/>
      <c r="G381" s="772"/>
      <c r="H381" s="772"/>
      <c r="I381" s="773"/>
      <c r="J381" s="510"/>
      <c r="K381" s="510"/>
      <c r="L381" s="510"/>
      <c r="M381" s="773"/>
      <c r="N381" s="510"/>
      <c r="O381" s="773"/>
      <c r="P381" s="773"/>
      <c r="Q381" s="705"/>
      <c r="R381" s="754"/>
      <c r="S381" s="789"/>
      <c r="T381" s="705"/>
      <c r="U381" s="755"/>
    </row>
    <row r="382" ht="26.25" customHeight="1">
      <c r="A382" s="769"/>
      <c r="B382" s="770"/>
      <c r="C382" s="771"/>
      <c r="D382" s="705"/>
      <c r="E382" s="705"/>
      <c r="F382" s="707"/>
      <c r="G382" s="772"/>
      <c r="H382" s="772"/>
      <c r="I382" s="773"/>
      <c r="J382" s="510"/>
      <c r="K382" s="510"/>
      <c r="L382" s="510"/>
      <c r="M382" s="773"/>
      <c r="N382" s="510"/>
      <c r="O382" s="773"/>
      <c r="P382" s="773"/>
      <c r="Q382" s="705"/>
      <c r="R382" s="754"/>
      <c r="S382" s="789"/>
      <c r="T382" s="705"/>
      <c r="U382" s="755"/>
    </row>
    <row r="383" ht="26.25" customHeight="1">
      <c r="A383" s="769"/>
      <c r="B383" s="770"/>
      <c r="C383" s="771"/>
      <c r="D383" s="705"/>
      <c r="E383" s="705"/>
      <c r="F383" s="707"/>
      <c r="G383" s="772"/>
      <c r="H383" s="772"/>
      <c r="I383" s="773"/>
      <c r="J383" s="510"/>
      <c r="K383" s="510"/>
      <c r="L383" s="510"/>
      <c r="M383" s="773"/>
      <c r="N383" s="510"/>
      <c r="O383" s="773"/>
      <c r="P383" s="773"/>
      <c r="Q383" s="705"/>
      <c r="R383" s="754"/>
      <c r="S383" s="789"/>
      <c r="T383" s="705"/>
      <c r="U383" s="755"/>
    </row>
    <row r="384" ht="26.25" customHeight="1">
      <c r="A384" s="769"/>
      <c r="B384" s="770"/>
      <c r="C384" s="771"/>
      <c r="D384" s="705"/>
      <c r="E384" s="705"/>
      <c r="F384" s="707"/>
      <c r="G384" s="772"/>
      <c r="H384" s="772"/>
      <c r="I384" s="773"/>
      <c r="J384" s="510"/>
      <c r="K384" s="510"/>
      <c r="L384" s="510"/>
      <c r="M384" s="773"/>
      <c r="N384" s="510"/>
      <c r="O384" s="773"/>
      <c r="P384" s="773"/>
      <c r="Q384" s="705"/>
      <c r="R384" s="754"/>
      <c r="S384" s="789"/>
      <c r="T384" s="705"/>
      <c r="U384" s="755"/>
    </row>
    <row r="385" ht="26.25" customHeight="1">
      <c r="A385" s="769"/>
      <c r="B385" s="770"/>
      <c r="C385" s="771"/>
      <c r="D385" s="705"/>
      <c r="E385" s="705"/>
      <c r="F385" s="707"/>
      <c r="G385" s="772"/>
      <c r="H385" s="772"/>
      <c r="I385" s="773"/>
      <c r="J385" s="510"/>
      <c r="K385" s="510"/>
      <c r="L385" s="510"/>
      <c r="M385" s="773"/>
      <c r="N385" s="510"/>
      <c r="O385" s="773"/>
      <c r="P385" s="773"/>
      <c r="Q385" s="705"/>
      <c r="R385" s="754"/>
      <c r="S385" s="789"/>
      <c r="T385" s="705"/>
      <c r="U385" s="755"/>
    </row>
    <row r="386" ht="26.25" customHeight="1">
      <c r="A386" s="769"/>
      <c r="B386" s="770"/>
      <c r="C386" s="771"/>
      <c r="D386" s="705"/>
      <c r="E386" s="705"/>
      <c r="F386" s="707"/>
      <c r="G386" s="772"/>
      <c r="H386" s="772"/>
      <c r="I386" s="773"/>
      <c r="J386" s="510"/>
      <c r="K386" s="510"/>
      <c r="L386" s="510"/>
      <c r="M386" s="773"/>
      <c r="N386" s="510"/>
      <c r="O386" s="773"/>
      <c r="P386" s="773"/>
      <c r="Q386" s="705"/>
      <c r="R386" s="754"/>
      <c r="S386" s="789"/>
      <c r="T386" s="705"/>
      <c r="U386" s="755"/>
    </row>
    <row r="387" ht="26.25" customHeight="1">
      <c r="A387" s="769"/>
      <c r="B387" s="770"/>
      <c r="C387" s="771"/>
      <c r="D387" s="705"/>
      <c r="E387" s="705"/>
      <c r="F387" s="707"/>
      <c r="G387" s="772"/>
      <c r="H387" s="772"/>
      <c r="I387" s="773"/>
      <c r="J387" s="510"/>
      <c r="K387" s="510"/>
      <c r="L387" s="510"/>
      <c r="M387" s="773"/>
      <c r="N387" s="510"/>
      <c r="O387" s="773"/>
      <c r="P387" s="773"/>
      <c r="Q387" s="705"/>
      <c r="R387" s="754"/>
      <c r="S387" s="789"/>
      <c r="T387" s="705"/>
      <c r="U387" s="755"/>
    </row>
    <row r="388" ht="26.25" customHeight="1">
      <c r="A388" s="769"/>
      <c r="B388" s="770"/>
      <c r="C388" s="771"/>
      <c r="D388" s="705"/>
      <c r="E388" s="705"/>
      <c r="F388" s="707"/>
      <c r="G388" s="772"/>
      <c r="H388" s="772"/>
      <c r="I388" s="773"/>
      <c r="J388" s="510"/>
      <c r="K388" s="510"/>
      <c r="L388" s="510"/>
      <c r="M388" s="773"/>
      <c r="N388" s="510"/>
      <c r="O388" s="773"/>
      <c r="P388" s="773"/>
      <c r="Q388" s="705"/>
      <c r="R388" s="754"/>
      <c r="S388" s="789"/>
      <c r="T388" s="705"/>
      <c r="U388" s="755"/>
    </row>
    <row r="389" ht="26.25" customHeight="1">
      <c r="A389" s="769"/>
      <c r="B389" s="770"/>
      <c r="C389" s="771"/>
      <c r="D389" s="705"/>
      <c r="E389" s="705"/>
      <c r="F389" s="707"/>
      <c r="G389" s="772"/>
      <c r="H389" s="772"/>
      <c r="I389" s="773"/>
      <c r="J389" s="510"/>
      <c r="K389" s="510"/>
      <c r="L389" s="510"/>
      <c r="M389" s="773"/>
      <c r="N389" s="510"/>
      <c r="O389" s="773"/>
      <c r="P389" s="773"/>
      <c r="Q389" s="705"/>
      <c r="R389" s="754"/>
      <c r="S389" s="789"/>
      <c r="T389" s="705"/>
      <c r="U389" s="755"/>
    </row>
    <row r="390" ht="26.25" customHeight="1">
      <c r="A390" s="769"/>
      <c r="B390" s="770"/>
      <c r="C390" s="771"/>
      <c r="D390" s="705"/>
      <c r="E390" s="705"/>
      <c r="F390" s="707"/>
      <c r="G390" s="772"/>
      <c r="H390" s="772"/>
      <c r="I390" s="773"/>
      <c r="J390" s="510"/>
      <c r="K390" s="510"/>
      <c r="L390" s="510"/>
      <c r="M390" s="773"/>
      <c r="N390" s="510"/>
      <c r="O390" s="773"/>
      <c r="P390" s="773"/>
      <c r="Q390" s="705"/>
      <c r="R390" s="754"/>
      <c r="S390" s="789"/>
      <c r="T390" s="705"/>
      <c r="U390" s="755"/>
    </row>
    <row r="391" ht="26.25" customHeight="1">
      <c r="A391" s="769"/>
      <c r="B391" s="770"/>
      <c r="C391" s="771"/>
      <c r="D391" s="705"/>
      <c r="E391" s="705"/>
      <c r="F391" s="707"/>
      <c r="G391" s="772"/>
      <c r="H391" s="772"/>
      <c r="I391" s="773"/>
      <c r="J391" s="510"/>
      <c r="K391" s="510"/>
      <c r="L391" s="510"/>
      <c r="M391" s="773"/>
      <c r="N391" s="510"/>
      <c r="O391" s="773"/>
      <c r="P391" s="773"/>
      <c r="Q391" s="705"/>
      <c r="R391" s="754"/>
      <c r="S391" s="789"/>
      <c r="T391" s="705"/>
      <c r="U391" s="755"/>
    </row>
    <row r="392" ht="26.25" customHeight="1">
      <c r="A392" s="769"/>
      <c r="B392" s="770"/>
      <c r="C392" s="771"/>
      <c r="D392" s="705"/>
      <c r="E392" s="705"/>
      <c r="F392" s="707"/>
      <c r="G392" s="772"/>
      <c r="H392" s="772"/>
      <c r="I392" s="773"/>
      <c r="J392" s="510"/>
      <c r="K392" s="510"/>
      <c r="L392" s="510"/>
      <c r="M392" s="773"/>
      <c r="N392" s="510"/>
      <c r="O392" s="773"/>
      <c r="P392" s="773"/>
      <c r="Q392" s="705"/>
      <c r="R392" s="754"/>
      <c r="S392" s="789"/>
      <c r="T392" s="705"/>
      <c r="U392" s="755"/>
    </row>
    <row r="393" ht="26.25" customHeight="1">
      <c r="A393" s="769"/>
      <c r="B393" s="770"/>
      <c r="C393" s="771"/>
      <c r="D393" s="705"/>
      <c r="E393" s="705"/>
      <c r="F393" s="707"/>
      <c r="G393" s="772"/>
      <c r="H393" s="772"/>
      <c r="I393" s="773"/>
      <c r="J393" s="510"/>
      <c r="K393" s="510"/>
      <c r="L393" s="510"/>
      <c r="M393" s="773"/>
      <c r="N393" s="510"/>
      <c r="O393" s="773"/>
      <c r="P393" s="773"/>
      <c r="Q393" s="705"/>
      <c r="R393" s="754"/>
      <c r="S393" s="789"/>
      <c r="T393" s="705"/>
      <c r="U393" s="755"/>
    </row>
    <row r="394" ht="26.25" customHeight="1">
      <c r="A394" s="769"/>
      <c r="B394" s="770"/>
      <c r="C394" s="771"/>
      <c r="D394" s="705"/>
      <c r="E394" s="705"/>
      <c r="F394" s="707"/>
      <c r="G394" s="772"/>
      <c r="H394" s="772"/>
      <c r="I394" s="773"/>
      <c r="J394" s="510"/>
      <c r="K394" s="510"/>
      <c r="L394" s="510"/>
      <c r="M394" s="773"/>
      <c r="N394" s="510"/>
      <c r="O394" s="773"/>
      <c r="P394" s="773"/>
      <c r="Q394" s="705"/>
      <c r="R394" s="754"/>
      <c r="S394" s="789"/>
      <c r="T394" s="705"/>
      <c r="U394" s="755"/>
    </row>
    <row r="395" ht="26.25" customHeight="1">
      <c r="A395" s="769"/>
      <c r="B395" s="770"/>
      <c r="C395" s="771"/>
      <c r="D395" s="705"/>
      <c r="E395" s="705"/>
      <c r="F395" s="707"/>
      <c r="G395" s="772"/>
      <c r="H395" s="772"/>
      <c r="I395" s="773"/>
      <c r="J395" s="510"/>
      <c r="K395" s="510"/>
      <c r="L395" s="510"/>
      <c r="M395" s="773"/>
      <c r="N395" s="510"/>
      <c r="O395" s="773"/>
      <c r="P395" s="773"/>
      <c r="Q395" s="705"/>
      <c r="R395" s="754"/>
      <c r="S395" s="789"/>
      <c r="T395" s="705"/>
      <c r="U395" s="755"/>
    </row>
    <row r="396" ht="26.25" customHeight="1">
      <c r="A396" s="769"/>
      <c r="B396" s="770"/>
      <c r="C396" s="771"/>
      <c r="D396" s="705"/>
      <c r="E396" s="705"/>
      <c r="F396" s="707"/>
      <c r="G396" s="772"/>
      <c r="H396" s="772"/>
      <c r="I396" s="773"/>
      <c r="J396" s="510"/>
      <c r="K396" s="510"/>
      <c r="L396" s="510"/>
      <c r="M396" s="773"/>
      <c r="N396" s="510"/>
      <c r="O396" s="773"/>
      <c r="P396" s="773"/>
      <c r="Q396" s="705"/>
      <c r="R396" s="754"/>
      <c r="S396" s="789"/>
      <c r="T396" s="705"/>
      <c r="U396" s="755"/>
    </row>
    <row r="397" ht="26.25" customHeight="1">
      <c r="A397" s="769"/>
      <c r="B397" s="770"/>
      <c r="C397" s="771"/>
      <c r="D397" s="705"/>
      <c r="E397" s="705"/>
      <c r="F397" s="707"/>
      <c r="G397" s="772"/>
      <c r="H397" s="772"/>
      <c r="I397" s="773"/>
      <c r="J397" s="510"/>
      <c r="K397" s="510"/>
      <c r="L397" s="510"/>
      <c r="M397" s="773"/>
      <c r="N397" s="510"/>
      <c r="O397" s="773"/>
      <c r="P397" s="773"/>
      <c r="Q397" s="705"/>
      <c r="R397" s="754"/>
      <c r="S397" s="789"/>
      <c r="T397" s="705"/>
      <c r="U397" s="755"/>
    </row>
    <row r="398" ht="26.25" customHeight="1">
      <c r="A398" s="769"/>
      <c r="B398" s="770"/>
      <c r="C398" s="771"/>
      <c r="D398" s="705"/>
      <c r="E398" s="705"/>
      <c r="F398" s="707"/>
      <c r="G398" s="772"/>
      <c r="H398" s="772"/>
      <c r="I398" s="773"/>
      <c r="J398" s="510"/>
      <c r="K398" s="510"/>
      <c r="L398" s="510"/>
      <c r="M398" s="773"/>
      <c r="N398" s="510"/>
      <c r="O398" s="773"/>
      <c r="P398" s="773"/>
      <c r="Q398" s="705"/>
      <c r="R398" s="754"/>
      <c r="S398" s="789"/>
      <c r="T398" s="705"/>
      <c r="U398" s="755"/>
    </row>
    <row r="399" ht="26.25" customHeight="1">
      <c r="A399" s="769"/>
      <c r="B399" s="770"/>
      <c r="C399" s="771"/>
      <c r="D399" s="705"/>
      <c r="E399" s="705"/>
      <c r="F399" s="707"/>
      <c r="G399" s="772"/>
      <c r="H399" s="772"/>
      <c r="I399" s="773"/>
      <c r="J399" s="510"/>
      <c r="K399" s="510"/>
      <c r="L399" s="510"/>
      <c r="M399" s="773"/>
      <c r="N399" s="510"/>
      <c r="O399" s="773"/>
      <c r="P399" s="773"/>
      <c r="Q399" s="705"/>
      <c r="R399" s="754"/>
      <c r="S399" s="789"/>
      <c r="T399" s="705"/>
      <c r="U399" s="755"/>
    </row>
    <row r="400" ht="26.25" customHeight="1">
      <c r="A400" s="769"/>
      <c r="B400" s="770"/>
      <c r="C400" s="771"/>
      <c r="D400" s="705"/>
      <c r="E400" s="705"/>
      <c r="F400" s="707"/>
      <c r="G400" s="772"/>
      <c r="H400" s="772"/>
      <c r="I400" s="773"/>
      <c r="J400" s="510"/>
      <c r="K400" s="510"/>
      <c r="L400" s="510"/>
      <c r="M400" s="773"/>
      <c r="N400" s="510"/>
      <c r="O400" s="773"/>
      <c r="P400" s="773"/>
      <c r="Q400" s="705"/>
      <c r="R400" s="754"/>
      <c r="S400" s="789"/>
      <c r="T400" s="705"/>
      <c r="U400" s="755"/>
    </row>
    <row r="401" ht="26.25" customHeight="1">
      <c r="A401" s="769"/>
      <c r="B401" s="770"/>
      <c r="C401" s="771"/>
      <c r="D401" s="705"/>
      <c r="E401" s="705"/>
      <c r="F401" s="707"/>
      <c r="G401" s="772"/>
      <c r="H401" s="772"/>
      <c r="I401" s="773"/>
      <c r="J401" s="510"/>
      <c r="K401" s="510"/>
      <c r="L401" s="510"/>
      <c r="M401" s="773"/>
      <c r="N401" s="510"/>
      <c r="O401" s="773"/>
      <c r="P401" s="773"/>
      <c r="Q401" s="705"/>
      <c r="R401" s="754"/>
      <c r="S401" s="789"/>
      <c r="T401" s="705"/>
      <c r="U401" s="755"/>
    </row>
    <row r="402" ht="26.25" customHeight="1">
      <c r="A402" s="769"/>
      <c r="B402" s="770"/>
      <c r="C402" s="771"/>
      <c r="D402" s="705"/>
      <c r="E402" s="705"/>
      <c r="F402" s="707"/>
      <c r="G402" s="772"/>
      <c r="H402" s="772"/>
      <c r="I402" s="773"/>
      <c r="J402" s="510"/>
      <c r="K402" s="510"/>
      <c r="L402" s="510"/>
      <c r="M402" s="773"/>
      <c r="N402" s="510"/>
      <c r="O402" s="773"/>
      <c r="P402" s="773"/>
      <c r="Q402" s="705"/>
      <c r="R402" s="754"/>
      <c r="S402" s="789"/>
      <c r="T402" s="705"/>
      <c r="U402" s="755"/>
    </row>
    <row r="403" ht="26.25" customHeight="1">
      <c r="A403" s="769"/>
      <c r="B403" s="770"/>
      <c r="C403" s="771"/>
      <c r="D403" s="705"/>
      <c r="E403" s="705"/>
      <c r="F403" s="707"/>
      <c r="G403" s="772"/>
      <c r="H403" s="772"/>
      <c r="I403" s="773"/>
      <c r="J403" s="510"/>
      <c r="K403" s="510"/>
      <c r="L403" s="510"/>
      <c r="M403" s="773"/>
      <c r="N403" s="510"/>
      <c r="O403" s="773"/>
      <c r="P403" s="773"/>
      <c r="Q403" s="705"/>
      <c r="R403" s="754"/>
      <c r="S403" s="789"/>
      <c r="T403" s="705"/>
      <c r="U403" s="755"/>
    </row>
    <row r="404" ht="26.25" customHeight="1">
      <c r="A404" s="769"/>
      <c r="B404" s="770"/>
      <c r="C404" s="771"/>
      <c r="D404" s="705"/>
      <c r="E404" s="705"/>
      <c r="F404" s="707"/>
      <c r="G404" s="772"/>
      <c r="H404" s="772"/>
      <c r="I404" s="773"/>
      <c r="J404" s="510"/>
      <c r="K404" s="510"/>
      <c r="L404" s="510"/>
      <c r="M404" s="773"/>
      <c r="N404" s="510"/>
      <c r="O404" s="773"/>
      <c r="P404" s="773"/>
      <c r="Q404" s="705"/>
      <c r="R404" s="754"/>
      <c r="S404" s="789"/>
      <c r="T404" s="705"/>
      <c r="U404" s="755"/>
    </row>
    <row r="405" ht="26.25" customHeight="1">
      <c r="A405" s="769"/>
      <c r="B405" s="770"/>
      <c r="C405" s="771"/>
      <c r="D405" s="705"/>
      <c r="E405" s="705"/>
      <c r="F405" s="707"/>
      <c r="G405" s="772"/>
      <c r="H405" s="772"/>
      <c r="I405" s="773"/>
      <c r="J405" s="510"/>
      <c r="K405" s="510"/>
      <c r="L405" s="510"/>
      <c r="M405" s="773"/>
      <c r="N405" s="510"/>
      <c r="O405" s="773"/>
      <c r="P405" s="773"/>
      <c r="Q405" s="705"/>
      <c r="R405" s="754"/>
      <c r="S405" s="789"/>
      <c r="T405" s="705"/>
      <c r="U405" s="755"/>
    </row>
    <row r="406" ht="26.25" customHeight="1">
      <c r="A406" s="769"/>
      <c r="B406" s="770"/>
      <c r="C406" s="771"/>
      <c r="D406" s="705"/>
      <c r="E406" s="705"/>
      <c r="F406" s="707"/>
      <c r="G406" s="772"/>
      <c r="H406" s="772"/>
      <c r="I406" s="773"/>
      <c r="J406" s="510"/>
      <c r="K406" s="510"/>
      <c r="L406" s="510"/>
      <c r="M406" s="773"/>
      <c r="N406" s="510"/>
      <c r="O406" s="773"/>
      <c r="P406" s="773"/>
      <c r="Q406" s="705"/>
      <c r="R406" s="754"/>
      <c r="S406" s="789"/>
      <c r="T406" s="705"/>
      <c r="U406" s="755"/>
    </row>
    <row r="407" ht="26.25" customHeight="1">
      <c r="A407" s="769"/>
      <c r="B407" s="770"/>
      <c r="C407" s="771"/>
      <c r="D407" s="705"/>
      <c r="E407" s="705"/>
      <c r="F407" s="707"/>
      <c r="G407" s="772"/>
      <c r="H407" s="772"/>
      <c r="I407" s="773"/>
      <c r="J407" s="510"/>
      <c r="K407" s="510"/>
      <c r="L407" s="510"/>
      <c r="M407" s="773"/>
      <c r="N407" s="510"/>
      <c r="O407" s="773"/>
      <c r="P407" s="773"/>
      <c r="Q407" s="705"/>
      <c r="R407" s="754"/>
      <c r="S407" s="789"/>
      <c r="T407" s="705"/>
      <c r="U407" s="755"/>
    </row>
    <row r="408" ht="26.25" customHeight="1">
      <c r="A408" s="769"/>
      <c r="B408" s="770"/>
      <c r="C408" s="771"/>
      <c r="D408" s="705"/>
      <c r="E408" s="705"/>
      <c r="F408" s="707"/>
      <c r="G408" s="772"/>
      <c r="H408" s="772"/>
      <c r="I408" s="773"/>
      <c r="J408" s="510"/>
      <c r="K408" s="510"/>
      <c r="L408" s="510"/>
      <c r="M408" s="773"/>
      <c r="N408" s="510"/>
      <c r="O408" s="773"/>
      <c r="P408" s="773"/>
      <c r="Q408" s="705"/>
      <c r="R408" s="754"/>
      <c r="S408" s="789"/>
      <c r="T408" s="705"/>
      <c r="U408" s="755"/>
    </row>
    <row r="409" ht="26.25" customHeight="1">
      <c r="A409" s="769"/>
      <c r="B409" s="770"/>
      <c r="C409" s="771"/>
      <c r="D409" s="705"/>
      <c r="E409" s="705"/>
      <c r="F409" s="707"/>
      <c r="G409" s="772"/>
      <c r="H409" s="772"/>
      <c r="I409" s="773"/>
      <c r="J409" s="510"/>
      <c r="K409" s="510"/>
      <c r="L409" s="510"/>
      <c r="M409" s="773"/>
      <c r="N409" s="510"/>
      <c r="O409" s="773"/>
      <c r="P409" s="773"/>
      <c r="Q409" s="705"/>
      <c r="R409" s="754"/>
      <c r="S409" s="789"/>
      <c r="T409" s="705"/>
      <c r="U409" s="755"/>
    </row>
    <row r="410" ht="26.25" customHeight="1">
      <c r="A410" s="769"/>
      <c r="B410" s="770"/>
      <c r="C410" s="771"/>
      <c r="D410" s="705"/>
      <c r="E410" s="705"/>
      <c r="F410" s="707"/>
      <c r="G410" s="772"/>
      <c r="H410" s="772"/>
      <c r="I410" s="773"/>
      <c r="J410" s="510"/>
      <c r="K410" s="510"/>
      <c r="L410" s="510"/>
      <c r="M410" s="773"/>
      <c r="N410" s="510"/>
      <c r="O410" s="773"/>
      <c r="P410" s="773"/>
      <c r="Q410" s="705"/>
      <c r="R410" s="754"/>
      <c r="S410" s="789"/>
      <c r="T410" s="705"/>
      <c r="U410" s="755"/>
    </row>
    <row r="411" ht="26.25" customHeight="1">
      <c r="A411" s="769"/>
      <c r="B411" s="770"/>
      <c r="C411" s="771"/>
      <c r="D411" s="705"/>
      <c r="E411" s="705"/>
      <c r="F411" s="707"/>
      <c r="G411" s="772"/>
      <c r="H411" s="772"/>
      <c r="I411" s="773"/>
      <c r="J411" s="510"/>
      <c r="K411" s="510"/>
      <c r="L411" s="510"/>
      <c r="M411" s="773"/>
      <c r="N411" s="510"/>
      <c r="O411" s="773"/>
      <c r="P411" s="773"/>
      <c r="Q411" s="705"/>
      <c r="R411" s="754"/>
      <c r="S411" s="789"/>
      <c r="T411" s="705"/>
      <c r="U411" s="755"/>
    </row>
    <row r="412" ht="26.25" customHeight="1">
      <c r="A412" s="769"/>
      <c r="B412" s="770"/>
      <c r="C412" s="771"/>
      <c r="D412" s="705"/>
      <c r="E412" s="705"/>
      <c r="F412" s="707"/>
      <c r="G412" s="772"/>
      <c r="H412" s="772"/>
      <c r="I412" s="773"/>
      <c r="J412" s="510"/>
      <c r="K412" s="510"/>
      <c r="L412" s="510"/>
      <c r="M412" s="773"/>
      <c r="N412" s="510"/>
      <c r="O412" s="773"/>
      <c r="P412" s="773"/>
      <c r="Q412" s="705"/>
      <c r="R412" s="754"/>
      <c r="S412" s="789"/>
      <c r="T412" s="705"/>
      <c r="U412" s="755"/>
    </row>
    <row r="413" ht="26.25" customHeight="1">
      <c r="A413" s="769"/>
      <c r="B413" s="770"/>
      <c r="C413" s="771"/>
      <c r="D413" s="705"/>
      <c r="E413" s="705"/>
      <c r="F413" s="707"/>
      <c r="G413" s="772"/>
      <c r="H413" s="772"/>
      <c r="I413" s="773"/>
      <c r="J413" s="510"/>
      <c r="K413" s="510"/>
      <c r="L413" s="510"/>
      <c r="M413" s="773"/>
      <c r="N413" s="510"/>
      <c r="O413" s="773"/>
      <c r="P413" s="773"/>
      <c r="Q413" s="705"/>
      <c r="R413" s="754"/>
      <c r="S413" s="789"/>
      <c r="T413" s="705"/>
      <c r="U413" s="755"/>
    </row>
    <row r="414" ht="26.25" customHeight="1">
      <c r="A414" s="769"/>
      <c r="B414" s="770"/>
      <c r="C414" s="771"/>
      <c r="D414" s="705"/>
      <c r="E414" s="705"/>
      <c r="F414" s="707"/>
      <c r="G414" s="772"/>
      <c r="H414" s="772"/>
      <c r="I414" s="773"/>
      <c r="J414" s="510"/>
      <c r="K414" s="510"/>
      <c r="L414" s="510"/>
      <c r="M414" s="773"/>
      <c r="N414" s="510"/>
      <c r="O414" s="773"/>
      <c r="P414" s="773"/>
      <c r="Q414" s="705"/>
      <c r="R414" s="754"/>
      <c r="S414" s="789"/>
      <c r="T414" s="705"/>
      <c r="U414" s="755"/>
    </row>
    <row r="415" ht="26.25" customHeight="1">
      <c r="A415" s="769"/>
      <c r="B415" s="770"/>
      <c r="C415" s="771"/>
      <c r="D415" s="705"/>
      <c r="E415" s="705"/>
      <c r="F415" s="707"/>
      <c r="G415" s="772"/>
      <c r="H415" s="772"/>
      <c r="I415" s="773"/>
      <c r="J415" s="510"/>
      <c r="K415" s="510"/>
      <c r="L415" s="510"/>
      <c r="M415" s="773"/>
      <c r="N415" s="510"/>
      <c r="O415" s="773"/>
      <c r="P415" s="773"/>
      <c r="Q415" s="705"/>
      <c r="R415" s="754"/>
      <c r="S415" s="789"/>
      <c r="T415" s="705"/>
      <c r="U415" s="755"/>
    </row>
    <row r="416" ht="26.25" customHeight="1">
      <c r="A416" s="769"/>
      <c r="B416" s="770"/>
      <c r="C416" s="771"/>
      <c r="D416" s="705"/>
      <c r="E416" s="705"/>
      <c r="F416" s="707"/>
      <c r="G416" s="772"/>
      <c r="H416" s="772"/>
      <c r="I416" s="773"/>
      <c r="J416" s="510"/>
      <c r="K416" s="510"/>
      <c r="L416" s="510"/>
      <c r="M416" s="773"/>
      <c r="N416" s="510"/>
      <c r="O416" s="773"/>
      <c r="P416" s="773"/>
      <c r="Q416" s="705"/>
      <c r="R416" s="754"/>
      <c r="S416" s="789"/>
      <c r="T416" s="705"/>
      <c r="U416" s="755"/>
    </row>
    <row r="417" ht="26.25" customHeight="1">
      <c r="A417" s="769"/>
      <c r="B417" s="770"/>
      <c r="C417" s="771"/>
      <c r="D417" s="705"/>
      <c r="E417" s="705"/>
      <c r="F417" s="707"/>
      <c r="G417" s="772"/>
      <c r="H417" s="772"/>
      <c r="I417" s="773"/>
      <c r="J417" s="510"/>
      <c r="K417" s="510"/>
      <c r="L417" s="510"/>
      <c r="M417" s="773"/>
      <c r="N417" s="510"/>
      <c r="O417" s="773"/>
      <c r="P417" s="773"/>
      <c r="Q417" s="705"/>
      <c r="R417" s="754"/>
      <c r="S417" s="789"/>
      <c r="T417" s="705"/>
      <c r="U417" s="755"/>
    </row>
    <row r="418" ht="26.25" customHeight="1">
      <c r="A418" s="769"/>
      <c r="B418" s="770"/>
      <c r="C418" s="771"/>
      <c r="D418" s="705"/>
      <c r="E418" s="705"/>
      <c r="F418" s="707"/>
      <c r="G418" s="772"/>
      <c r="H418" s="772"/>
      <c r="I418" s="773"/>
      <c r="J418" s="510"/>
      <c r="K418" s="510"/>
      <c r="L418" s="510"/>
      <c r="M418" s="773"/>
      <c r="N418" s="510"/>
      <c r="O418" s="773"/>
      <c r="P418" s="773"/>
      <c r="Q418" s="705"/>
      <c r="R418" s="754"/>
      <c r="S418" s="789"/>
      <c r="T418" s="705"/>
      <c r="U418" s="755"/>
    </row>
    <row r="419" ht="26.25" customHeight="1">
      <c r="A419" s="769"/>
      <c r="B419" s="770"/>
      <c r="C419" s="771"/>
      <c r="D419" s="705"/>
      <c r="E419" s="705"/>
      <c r="F419" s="707"/>
      <c r="G419" s="772"/>
      <c r="H419" s="772"/>
      <c r="I419" s="773"/>
      <c r="J419" s="510"/>
      <c r="K419" s="510"/>
      <c r="L419" s="510"/>
      <c r="M419" s="773"/>
      <c r="N419" s="510"/>
      <c r="O419" s="773"/>
      <c r="P419" s="773"/>
      <c r="Q419" s="705"/>
      <c r="R419" s="754"/>
      <c r="S419" s="789"/>
      <c r="T419" s="705"/>
      <c r="U419" s="755"/>
    </row>
    <row r="420" ht="26.25" customHeight="1">
      <c r="A420" s="769"/>
      <c r="B420" s="770"/>
      <c r="C420" s="771"/>
      <c r="D420" s="705"/>
      <c r="E420" s="705"/>
      <c r="F420" s="707"/>
      <c r="G420" s="772"/>
      <c r="H420" s="772"/>
      <c r="I420" s="773"/>
      <c r="J420" s="510"/>
      <c r="K420" s="510"/>
      <c r="L420" s="510"/>
      <c r="M420" s="773"/>
      <c r="N420" s="510"/>
      <c r="O420" s="773"/>
      <c r="P420" s="773"/>
      <c r="Q420" s="705"/>
      <c r="R420" s="754"/>
      <c r="S420" s="789"/>
      <c r="T420" s="705"/>
      <c r="U420" s="755"/>
    </row>
    <row r="421" ht="26.25" customHeight="1">
      <c r="A421" s="769"/>
      <c r="B421" s="770"/>
      <c r="C421" s="771"/>
      <c r="D421" s="705"/>
      <c r="E421" s="705"/>
      <c r="F421" s="707"/>
      <c r="G421" s="772"/>
      <c r="H421" s="772"/>
      <c r="I421" s="773"/>
      <c r="J421" s="510"/>
      <c r="K421" s="510"/>
      <c r="L421" s="510"/>
      <c r="M421" s="773"/>
      <c r="N421" s="510"/>
      <c r="O421" s="773"/>
      <c r="P421" s="773"/>
      <c r="Q421" s="705"/>
      <c r="R421" s="754"/>
      <c r="S421" s="789"/>
      <c r="T421" s="705"/>
      <c r="U421" s="755"/>
    </row>
    <row r="422" ht="26.25" customHeight="1">
      <c r="A422" s="769"/>
      <c r="B422" s="770"/>
      <c r="C422" s="771"/>
      <c r="D422" s="705"/>
      <c r="E422" s="705"/>
      <c r="F422" s="707"/>
      <c r="G422" s="772"/>
      <c r="H422" s="772"/>
      <c r="I422" s="773"/>
      <c r="J422" s="510"/>
      <c r="K422" s="510"/>
      <c r="L422" s="510"/>
      <c r="M422" s="773"/>
      <c r="N422" s="510"/>
      <c r="O422" s="773"/>
      <c r="P422" s="773"/>
      <c r="Q422" s="705"/>
      <c r="R422" s="754"/>
      <c r="S422" s="789"/>
      <c r="T422" s="705"/>
      <c r="U422" s="755"/>
    </row>
    <row r="423" ht="26.25" customHeight="1">
      <c r="A423" s="769"/>
      <c r="B423" s="770"/>
      <c r="C423" s="771"/>
      <c r="D423" s="705"/>
      <c r="E423" s="705"/>
      <c r="F423" s="707"/>
      <c r="G423" s="772"/>
      <c r="H423" s="772"/>
      <c r="I423" s="773"/>
      <c r="J423" s="510"/>
      <c r="K423" s="510"/>
      <c r="L423" s="510"/>
      <c r="M423" s="773"/>
      <c r="N423" s="510"/>
      <c r="O423" s="773"/>
      <c r="P423" s="773"/>
      <c r="Q423" s="705"/>
      <c r="R423" s="754"/>
      <c r="S423" s="789"/>
      <c r="T423" s="705"/>
      <c r="U423" s="755"/>
    </row>
    <row r="424" ht="26.25" customHeight="1">
      <c r="A424" s="769"/>
      <c r="B424" s="770"/>
      <c r="C424" s="771"/>
      <c r="D424" s="705"/>
      <c r="E424" s="705"/>
      <c r="F424" s="707"/>
      <c r="G424" s="772"/>
      <c r="H424" s="772"/>
      <c r="I424" s="773"/>
      <c r="J424" s="510"/>
      <c r="K424" s="510"/>
      <c r="L424" s="510"/>
      <c r="M424" s="773"/>
      <c r="N424" s="510"/>
      <c r="O424" s="773"/>
      <c r="P424" s="773"/>
      <c r="Q424" s="705"/>
      <c r="R424" s="754"/>
      <c r="S424" s="789"/>
      <c r="T424" s="705"/>
      <c r="U424" s="755"/>
    </row>
    <row r="425" ht="26.25" customHeight="1">
      <c r="A425" s="769"/>
      <c r="B425" s="770"/>
      <c r="C425" s="771"/>
      <c r="D425" s="705"/>
      <c r="E425" s="705"/>
      <c r="F425" s="707"/>
      <c r="G425" s="772"/>
      <c r="H425" s="772"/>
      <c r="I425" s="773"/>
      <c r="J425" s="510"/>
      <c r="K425" s="510"/>
      <c r="L425" s="510"/>
      <c r="M425" s="773"/>
      <c r="N425" s="510"/>
      <c r="O425" s="773"/>
      <c r="P425" s="773"/>
      <c r="Q425" s="705"/>
      <c r="R425" s="754"/>
      <c r="S425" s="789"/>
      <c r="T425" s="705"/>
      <c r="U425" s="755"/>
    </row>
    <row r="426" ht="26.25" customHeight="1">
      <c r="A426" s="769"/>
      <c r="B426" s="770"/>
      <c r="C426" s="771"/>
      <c r="D426" s="705"/>
      <c r="E426" s="705"/>
      <c r="F426" s="707"/>
      <c r="G426" s="772"/>
      <c r="H426" s="772"/>
      <c r="I426" s="773"/>
      <c r="J426" s="510"/>
      <c r="K426" s="510"/>
      <c r="L426" s="510"/>
      <c r="M426" s="773"/>
      <c r="N426" s="510"/>
      <c r="O426" s="773"/>
      <c r="P426" s="773"/>
      <c r="Q426" s="705"/>
      <c r="R426" s="754"/>
      <c r="S426" s="789"/>
      <c r="T426" s="705"/>
      <c r="U426" s="755"/>
    </row>
    <row r="427" ht="26.25" customHeight="1">
      <c r="A427" s="769"/>
      <c r="B427" s="770"/>
      <c r="C427" s="771"/>
      <c r="D427" s="705"/>
      <c r="E427" s="705"/>
      <c r="F427" s="707"/>
      <c r="G427" s="772"/>
      <c r="H427" s="772"/>
      <c r="I427" s="773"/>
      <c r="J427" s="510"/>
      <c r="K427" s="510"/>
      <c r="L427" s="510"/>
      <c r="M427" s="773"/>
      <c r="N427" s="510"/>
      <c r="O427" s="773"/>
      <c r="P427" s="773"/>
      <c r="Q427" s="705"/>
      <c r="R427" s="754"/>
      <c r="S427" s="789"/>
      <c r="T427" s="705"/>
      <c r="U427" s="755"/>
    </row>
    <row r="428" ht="26.25" customHeight="1">
      <c r="A428" s="769"/>
      <c r="B428" s="770"/>
      <c r="C428" s="771"/>
      <c r="D428" s="705"/>
      <c r="E428" s="705"/>
      <c r="F428" s="707"/>
      <c r="G428" s="772"/>
      <c r="H428" s="772"/>
      <c r="I428" s="773"/>
      <c r="J428" s="510"/>
      <c r="K428" s="510"/>
      <c r="L428" s="510"/>
      <c r="M428" s="773"/>
      <c r="N428" s="510"/>
      <c r="O428" s="773"/>
      <c r="P428" s="773"/>
      <c r="Q428" s="705"/>
      <c r="R428" s="754"/>
      <c r="S428" s="789"/>
      <c r="T428" s="705"/>
      <c r="U428" s="755"/>
    </row>
    <row r="429" ht="26.25" customHeight="1">
      <c r="A429" s="769"/>
      <c r="B429" s="770"/>
      <c r="C429" s="771"/>
      <c r="D429" s="705"/>
      <c r="E429" s="705"/>
      <c r="F429" s="707"/>
      <c r="G429" s="772"/>
      <c r="H429" s="772"/>
      <c r="I429" s="773"/>
      <c r="J429" s="510"/>
      <c r="K429" s="510"/>
      <c r="L429" s="510"/>
      <c r="M429" s="773"/>
      <c r="N429" s="510"/>
      <c r="O429" s="773"/>
      <c r="P429" s="773"/>
      <c r="Q429" s="705"/>
      <c r="R429" s="754"/>
      <c r="S429" s="789"/>
      <c r="T429" s="705"/>
      <c r="U429" s="755"/>
    </row>
    <row r="430" ht="26.25" customHeight="1">
      <c r="A430" s="769"/>
      <c r="B430" s="770"/>
      <c r="C430" s="771"/>
      <c r="D430" s="705"/>
      <c r="E430" s="705"/>
      <c r="F430" s="707"/>
      <c r="G430" s="772"/>
      <c r="H430" s="772"/>
      <c r="I430" s="773"/>
      <c r="J430" s="510"/>
      <c r="K430" s="510"/>
      <c r="L430" s="510"/>
      <c r="M430" s="773"/>
      <c r="N430" s="510"/>
      <c r="O430" s="773"/>
      <c r="P430" s="773"/>
      <c r="Q430" s="705"/>
      <c r="R430" s="754"/>
      <c r="S430" s="789"/>
      <c r="T430" s="705"/>
      <c r="U430" s="755"/>
    </row>
    <row r="431" ht="26.25" customHeight="1">
      <c r="A431" s="769"/>
      <c r="B431" s="770"/>
      <c r="C431" s="771"/>
      <c r="D431" s="705"/>
      <c r="E431" s="705"/>
      <c r="F431" s="707"/>
      <c r="G431" s="772"/>
      <c r="H431" s="772"/>
      <c r="I431" s="773"/>
      <c r="J431" s="510"/>
      <c r="K431" s="510"/>
      <c r="L431" s="510"/>
      <c r="M431" s="773"/>
      <c r="N431" s="510"/>
      <c r="O431" s="773"/>
      <c r="P431" s="773"/>
      <c r="Q431" s="705"/>
      <c r="R431" s="754"/>
      <c r="S431" s="789"/>
      <c r="T431" s="705"/>
      <c r="U431" s="755"/>
    </row>
    <row r="432" ht="26.25" customHeight="1">
      <c r="A432" s="769"/>
      <c r="B432" s="770"/>
      <c r="C432" s="771"/>
      <c r="D432" s="705"/>
      <c r="E432" s="705"/>
      <c r="F432" s="707"/>
      <c r="G432" s="772"/>
      <c r="H432" s="772"/>
      <c r="I432" s="773"/>
      <c r="J432" s="510"/>
      <c r="K432" s="510"/>
      <c r="L432" s="510"/>
      <c r="M432" s="773"/>
      <c r="N432" s="510"/>
      <c r="O432" s="773"/>
      <c r="P432" s="773"/>
      <c r="Q432" s="705"/>
      <c r="R432" s="754"/>
      <c r="S432" s="789"/>
      <c r="T432" s="705"/>
      <c r="U432" s="755"/>
    </row>
    <row r="433" ht="26.25" customHeight="1">
      <c r="A433" s="769"/>
      <c r="B433" s="770"/>
      <c r="C433" s="771"/>
      <c r="D433" s="705"/>
      <c r="E433" s="705"/>
      <c r="F433" s="707"/>
      <c r="G433" s="772"/>
      <c r="H433" s="772"/>
      <c r="I433" s="773"/>
      <c r="J433" s="510"/>
      <c r="K433" s="510"/>
      <c r="L433" s="510"/>
      <c r="M433" s="773"/>
      <c r="N433" s="510"/>
      <c r="O433" s="773"/>
      <c r="P433" s="773"/>
      <c r="Q433" s="705"/>
      <c r="R433" s="754"/>
      <c r="S433" s="789"/>
      <c r="T433" s="705"/>
      <c r="U433" s="755"/>
    </row>
    <row r="434" ht="26.25" customHeight="1">
      <c r="A434" s="769"/>
      <c r="B434" s="770"/>
      <c r="C434" s="771"/>
      <c r="D434" s="705"/>
      <c r="E434" s="705"/>
      <c r="F434" s="707"/>
      <c r="G434" s="772"/>
      <c r="H434" s="772"/>
      <c r="I434" s="773"/>
      <c r="J434" s="510"/>
      <c r="K434" s="510"/>
      <c r="L434" s="510"/>
      <c r="M434" s="773"/>
      <c r="N434" s="510"/>
      <c r="O434" s="773"/>
      <c r="P434" s="773"/>
      <c r="Q434" s="705"/>
      <c r="R434" s="754"/>
      <c r="S434" s="789"/>
      <c r="T434" s="705"/>
      <c r="U434" s="755"/>
    </row>
    <row r="435" ht="26.25" customHeight="1">
      <c r="A435" s="769"/>
      <c r="B435" s="770"/>
      <c r="C435" s="771"/>
      <c r="D435" s="705"/>
      <c r="E435" s="705"/>
      <c r="F435" s="707"/>
      <c r="G435" s="772"/>
      <c r="H435" s="772"/>
      <c r="I435" s="773"/>
      <c r="J435" s="510"/>
      <c r="K435" s="510"/>
      <c r="L435" s="510"/>
      <c r="M435" s="773"/>
      <c r="N435" s="510"/>
      <c r="O435" s="773"/>
      <c r="P435" s="773"/>
      <c r="Q435" s="705"/>
      <c r="R435" s="754"/>
      <c r="S435" s="789"/>
      <c r="T435" s="705"/>
      <c r="U435" s="755"/>
    </row>
    <row r="436" ht="26.25" customHeight="1">
      <c r="A436" s="769"/>
      <c r="B436" s="770"/>
      <c r="C436" s="771"/>
      <c r="D436" s="705"/>
      <c r="E436" s="705"/>
      <c r="F436" s="707"/>
      <c r="G436" s="772"/>
      <c r="H436" s="772"/>
      <c r="I436" s="773"/>
      <c r="J436" s="510"/>
      <c r="K436" s="510"/>
      <c r="L436" s="510"/>
      <c r="M436" s="773"/>
      <c r="N436" s="510"/>
      <c r="O436" s="773"/>
      <c r="P436" s="773"/>
      <c r="Q436" s="705"/>
      <c r="R436" s="754"/>
      <c r="S436" s="789"/>
      <c r="T436" s="705"/>
      <c r="U436" s="755"/>
    </row>
    <row r="437" ht="26.25" customHeight="1">
      <c r="A437" s="769"/>
      <c r="B437" s="770"/>
      <c r="C437" s="771"/>
      <c r="D437" s="705"/>
      <c r="E437" s="705"/>
      <c r="F437" s="707"/>
      <c r="G437" s="772"/>
      <c r="H437" s="772"/>
      <c r="I437" s="773"/>
      <c r="J437" s="510"/>
      <c r="K437" s="510"/>
      <c r="L437" s="510"/>
      <c r="M437" s="773"/>
      <c r="N437" s="510"/>
      <c r="O437" s="773"/>
      <c r="P437" s="773"/>
      <c r="Q437" s="705"/>
      <c r="R437" s="754"/>
      <c r="S437" s="789"/>
      <c r="T437" s="705"/>
      <c r="U437" s="755"/>
    </row>
    <row r="438" ht="26.25" customHeight="1">
      <c r="A438" s="769"/>
      <c r="B438" s="770"/>
      <c r="C438" s="771"/>
      <c r="D438" s="705"/>
      <c r="E438" s="705"/>
      <c r="F438" s="707"/>
      <c r="G438" s="772"/>
      <c r="H438" s="772"/>
      <c r="I438" s="773"/>
      <c r="J438" s="510"/>
      <c r="K438" s="510"/>
      <c r="L438" s="510"/>
      <c r="M438" s="773"/>
      <c r="N438" s="510"/>
      <c r="O438" s="773"/>
      <c r="P438" s="773"/>
      <c r="Q438" s="705"/>
      <c r="R438" s="754"/>
      <c r="S438" s="789"/>
      <c r="T438" s="705"/>
      <c r="U438" s="755"/>
    </row>
    <row r="439" ht="26.25" customHeight="1">
      <c r="A439" s="769"/>
      <c r="B439" s="770"/>
      <c r="C439" s="771"/>
      <c r="D439" s="705"/>
      <c r="E439" s="705"/>
      <c r="F439" s="707"/>
      <c r="G439" s="772"/>
      <c r="H439" s="772"/>
      <c r="I439" s="773"/>
      <c r="J439" s="510"/>
      <c r="K439" s="510"/>
      <c r="L439" s="510"/>
      <c r="M439" s="773"/>
      <c r="N439" s="510"/>
      <c r="O439" s="773"/>
      <c r="P439" s="773"/>
      <c r="Q439" s="705"/>
      <c r="R439" s="754"/>
      <c r="S439" s="789"/>
      <c r="T439" s="705"/>
      <c r="U439" s="755"/>
    </row>
    <row r="440" ht="26.25" customHeight="1">
      <c r="A440" s="769"/>
      <c r="B440" s="770"/>
      <c r="C440" s="771"/>
      <c r="D440" s="705"/>
      <c r="E440" s="705"/>
      <c r="F440" s="707"/>
      <c r="G440" s="772"/>
      <c r="H440" s="772"/>
      <c r="I440" s="773"/>
      <c r="J440" s="510"/>
      <c r="K440" s="510"/>
      <c r="L440" s="510"/>
      <c r="M440" s="773"/>
      <c r="N440" s="510"/>
      <c r="O440" s="773"/>
      <c r="P440" s="773"/>
      <c r="Q440" s="705"/>
      <c r="R440" s="754"/>
      <c r="S440" s="789"/>
      <c r="T440" s="705"/>
      <c r="U440" s="755"/>
    </row>
    <row r="441" ht="26.25" customHeight="1">
      <c r="A441" s="769"/>
      <c r="B441" s="770"/>
      <c r="C441" s="771"/>
      <c r="D441" s="705"/>
      <c r="E441" s="705"/>
      <c r="F441" s="707"/>
      <c r="G441" s="772"/>
      <c r="H441" s="772"/>
      <c r="I441" s="773"/>
      <c r="J441" s="510"/>
      <c r="K441" s="510"/>
      <c r="L441" s="510"/>
      <c r="M441" s="773"/>
      <c r="N441" s="510"/>
      <c r="O441" s="773"/>
      <c r="P441" s="773"/>
      <c r="Q441" s="705"/>
      <c r="R441" s="754"/>
      <c r="S441" s="789"/>
      <c r="T441" s="705"/>
      <c r="U441" s="755"/>
    </row>
    <row r="442" ht="26.25" customHeight="1">
      <c r="A442" s="769"/>
      <c r="B442" s="770"/>
      <c r="C442" s="771"/>
      <c r="D442" s="705"/>
      <c r="E442" s="705"/>
      <c r="F442" s="707"/>
      <c r="G442" s="772"/>
      <c r="H442" s="772"/>
      <c r="I442" s="773"/>
      <c r="J442" s="510"/>
      <c r="K442" s="510"/>
      <c r="L442" s="510"/>
      <c r="M442" s="773"/>
      <c r="N442" s="510"/>
      <c r="O442" s="773"/>
      <c r="P442" s="773"/>
      <c r="Q442" s="705"/>
      <c r="R442" s="754"/>
      <c r="S442" s="789"/>
      <c r="T442" s="705"/>
      <c r="U442" s="755"/>
    </row>
    <row r="443" ht="26.25" customHeight="1">
      <c r="A443" s="769"/>
      <c r="B443" s="770"/>
      <c r="C443" s="771"/>
      <c r="D443" s="705"/>
      <c r="E443" s="705"/>
      <c r="F443" s="707"/>
      <c r="G443" s="772"/>
      <c r="H443" s="772"/>
      <c r="I443" s="773"/>
      <c r="J443" s="510"/>
      <c r="K443" s="510"/>
      <c r="L443" s="510"/>
      <c r="M443" s="773"/>
      <c r="N443" s="510"/>
      <c r="O443" s="773"/>
      <c r="P443" s="773"/>
      <c r="Q443" s="705"/>
      <c r="R443" s="754"/>
      <c r="S443" s="789"/>
      <c r="T443" s="705"/>
      <c r="U443" s="755"/>
    </row>
    <row r="444" ht="26.25" customHeight="1">
      <c r="A444" s="769"/>
      <c r="B444" s="770"/>
      <c r="C444" s="771"/>
      <c r="D444" s="705"/>
      <c r="E444" s="705"/>
      <c r="F444" s="707"/>
      <c r="G444" s="772"/>
      <c r="H444" s="772"/>
      <c r="I444" s="773"/>
      <c r="J444" s="510"/>
      <c r="K444" s="510"/>
      <c r="L444" s="510"/>
      <c r="M444" s="773"/>
      <c r="N444" s="510"/>
      <c r="O444" s="773"/>
      <c r="P444" s="773"/>
      <c r="Q444" s="705"/>
      <c r="R444" s="754"/>
      <c r="S444" s="789"/>
      <c r="T444" s="705"/>
      <c r="U444" s="755"/>
    </row>
    <row r="445" ht="26.25" customHeight="1">
      <c r="A445" s="769"/>
      <c r="B445" s="770"/>
      <c r="C445" s="771"/>
      <c r="D445" s="705"/>
      <c r="E445" s="705"/>
      <c r="F445" s="707"/>
      <c r="G445" s="772"/>
      <c r="H445" s="772"/>
      <c r="I445" s="773"/>
      <c r="J445" s="510"/>
      <c r="K445" s="510"/>
      <c r="L445" s="510"/>
      <c r="M445" s="773"/>
      <c r="N445" s="510"/>
      <c r="O445" s="773"/>
      <c r="P445" s="773"/>
      <c r="Q445" s="705"/>
      <c r="R445" s="754"/>
      <c r="S445" s="789"/>
      <c r="T445" s="705"/>
      <c r="U445" s="755"/>
    </row>
    <row r="446" ht="26.25" customHeight="1">
      <c r="A446" s="769"/>
      <c r="B446" s="770"/>
      <c r="C446" s="771"/>
      <c r="D446" s="705"/>
      <c r="E446" s="705"/>
      <c r="F446" s="707"/>
      <c r="G446" s="772"/>
      <c r="H446" s="772"/>
      <c r="I446" s="773"/>
      <c r="J446" s="510"/>
      <c r="K446" s="510"/>
      <c r="L446" s="510"/>
      <c r="M446" s="773"/>
      <c r="N446" s="510"/>
      <c r="O446" s="773"/>
      <c r="P446" s="773"/>
      <c r="Q446" s="705"/>
      <c r="R446" s="754"/>
      <c r="S446" s="789"/>
      <c r="T446" s="705"/>
      <c r="U446" s="755"/>
    </row>
    <row r="447" ht="26.25" customHeight="1">
      <c r="A447" s="769"/>
      <c r="B447" s="770"/>
      <c r="C447" s="771"/>
      <c r="D447" s="705"/>
      <c r="E447" s="705"/>
      <c r="F447" s="707"/>
      <c r="G447" s="772"/>
      <c r="H447" s="772"/>
      <c r="I447" s="773"/>
      <c r="J447" s="510"/>
      <c r="K447" s="510"/>
      <c r="L447" s="510"/>
      <c r="M447" s="773"/>
      <c r="N447" s="510"/>
      <c r="O447" s="773"/>
      <c r="P447" s="773"/>
      <c r="Q447" s="705"/>
      <c r="R447" s="754"/>
      <c r="S447" s="789"/>
      <c r="T447" s="705"/>
      <c r="U447" s="755"/>
    </row>
    <row r="448" ht="26.25" customHeight="1">
      <c r="A448" s="769"/>
      <c r="B448" s="770"/>
      <c r="C448" s="771"/>
      <c r="D448" s="705"/>
      <c r="E448" s="705"/>
      <c r="F448" s="707"/>
      <c r="G448" s="772"/>
      <c r="H448" s="772"/>
      <c r="I448" s="773"/>
      <c r="J448" s="510"/>
      <c r="K448" s="510"/>
      <c r="L448" s="510"/>
      <c r="M448" s="773"/>
      <c r="N448" s="510"/>
      <c r="O448" s="773"/>
      <c r="P448" s="773"/>
      <c r="Q448" s="705"/>
      <c r="R448" s="754"/>
      <c r="S448" s="789"/>
      <c r="T448" s="705"/>
      <c r="U448" s="755"/>
    </row>
    <row r="449" ht="26.25" customHeight="1">
      <c r="A449" s="769"/>
      <c r="B449" s="770"/>
      <c r="C449" s="771"/>
      <c r="D449" s="705"/>
      <c r="E449" s="705"/>
      <c r="F449" s="707"/>
      <c r="G449" s="772"/>
      <c r="H449" s="772"/>
      <c r="I449" s="773"/>
      <c r="J449" s="510"/>
      <c r="K449" s="510"/>
      <c r="L449" s="510"/>
      <c r="M449" s="773"/>
      <c r="N449" s="510"/>
      <c r="O449" s="773"/>
      <c r="P449" s="773"/>
      <c r="Q449" s="705"/>
      <c r="R449" s="754"/>
      <c r="S449" s="789"/>
      <c r="T449" s="705"/>
      <c r="U449" s="755"/>
    </row>
    <row r="450" ht="26.25" customHeight="1">
      <c r="A450" s="769"/>
      <c r="B450" s="770"/>
      <c r="C450" s="771"/>
      <c r="D450" s="705"/>
      <c r="E450" s="705"/>
      <c r="F450" s="707"/>
      <c r="G450" s="772"/>
      <c r="H450" s="772"/>
      <c r="I450" s="773"/>
      <c r="J450" s="510"/>
      <c r="K450" s="510"/>
      <c r="L450" s="510"/>
      <c r="M450" s="773"/>
      <c r="N450" s="510"/>
      <c r="O450" s="773"/>
      <c r="P450" s="773"/>
      <c r="Q450" s="705"/>
      <c r="R450" s="754"/>
      <c r="S450" s="789"/>
      <c r="T450" s="705"/>
      <c r="U450" s="755"/>
    </row>
    <row r="451" ht="26.25" customHeight="1">
      <c r="A451" s="769"/>
      <c r="B451" s="770"/>
      <c r="C451" s="771"/>
      <c r="D451" s="705"/>
      <c r="E451" s="705"/>
      <c r="F451" s="707"/>
      <c r="G451" s="772"/>
      <c r="H451" s="772"/>
      <c r="I451" s="773"/>
      <c r="J451" s="510"/>
      <c r="K451" s="510"/>
      <c r="L451" s="510"/>
      <c r="M451" s="773"/>
      <c r="N451" s="510"/>
      <c r="O451" s="773"/>
      <c r="P451" s="773"/>
      <c r="Q451" s="705"/>
      <c r="R451" s="754"/>
      <c r="S451" s="789"/>
      <c r="T451" s="705"/>
      <c r="U451" s="755"/>
    </row>
    <row r="452" ht="26.25" customHeight="1">
      <c r="A452" s="769"/>
      <c r="B452" s="770"/>
      <c r="C452" s="771"/>
      <c r="D452" s="705"/>
      <c r="E452" s="705"/>
      <c r="F452" s="707"/>
      <c r="G452" s="772"/>
      <c r="H452" s="772"/>
      <c r="I452" s="773"/>
      <c r="J452" s="510"/>
      <c r="K452" s="510"/>
      <c r="L452" s="510"/>
      <c r="M452" s="773"/>
      <c r="N452" s="510"/>
      <c r="O452" s="773"/>
      <c r="P452" s="773"/>
      <c r="Q452" s="705"/>
      <c r="R452" s="754"/>
      <c r="S452" s="789"/>
      <c r="T452" s="705"/>
      <c r="U452" s="755"/>
    </row>
    <row r="453" ht="26.25" customHeight="1">
      <c r="A453" s="769"/>
      <c r="B453" s="770"/>
      <c r="C453" s="771"/>
      <c r="D453" s="705"/>
      <c r="E453" s="705"/>
      <c r="F453" s="707"/>
      <c r="G453" s="772"/>
      <c r="H453" s="772"/>
      <c r="I453" s="773"/>
      <c r="J453" s="510"/>
      <c r="K453" s="510"/>
      <c r="L453" s="510"/>
      <c r="M453" s="773"/>
      <c r="N453" s="510"/>
      <c r="O453" s="773"/>
      <c r="P453" s="773"/>
      <c r="Q453" s="705"/>
      <c r="R453" s="754"/>
      <c r="S453" s="789"/>
      <c r="T453" s="705"/>
      <c r="U453" s="755"/>
    </row>
    <row r="454" ht="26.25" customHeight="1">
      <c r="A454" s="769"/>
      <c r="B454" s="770"/>
      <c r="C454" s="771"/>
      <c r="D454" s="705"/>
      <c r="E454" s="705"/>
      <c r="F454" s="707"/>
      <c r="G454" s="772"/>
      <c r="H454" s="772"/>
      <c r="I454" s="773"/>
      <c r="J454" s="510"/>
      <c r="K454" s="510"/>
      <c r="L454" s="510"/>
      <c r="M454" s="773"/>
      <c r="N454" s="510"/>
      <c r="O454" s="773"/>
      <c r="P454" s="773"/>
      <c r="Q454" s="705"/>
      <c r="R454" s="754"/>
      <c r="S454" s="789"/>
      <c r="T454" s="705"/>
      <c r="U454" s="755"/>
    </row>
    <row r="455" ht="26.25" customHeight="1">
      <c r="A455" s="769"/>
      <c r="B455" s="770"/>
      <c r="C455" s="771"/>
      <c r="D455" s="705"/>
      <c r="E455" s="705"/>
      <c r="F455" s="707"/>
      <c r="G455" s="772"/>
      <c r="H455" s="772"/>
      <c r="I455" s="773"/>
      <c r="J455" s="510"/>
      <c r="K455" s="510"/>
      <c r="L455" s="510"/>
      <c r="M455" s="773"/>
      <c r="N455" s="510"/>
      <c r="O455" s="773"/>
      <c r="P455" s="773"/>
      <c r="Q455" s="705"/>
      <c r="R455" s="754"/>
      <c r="S455" s="789"/>
      <c r="T455" s="705"/>
      <c r="U455" s="755"/>
    </row>
    <row r="456" ht="26.25" customHeight="1">
      <c r="A456" s="769"/>
      <c r="B456" s="770"/>
      <c r="C456" s="771"/>
      <c r="D456" s="705"/>
      <c r="E456" s="705"/>
      <c r="F456" s="707"/>
      <c r="G456" s="772"/>
      <c r="H456" s="772"/>
      <c r="I456" s="773"/>
      <c r="J456" s="510"/>
      <c r="K456" s="510"/>
      <c r="L456" s="510"/>
      <c r="M456" s="773"/>
      <c r="N456" s="510"/>
      <c r="O456" s="773"/>
      <c r="P456" s="773"/>
      <c r="Q456" s="705"/>
      <c r="R456" s="754"/>
      <c r="S456" s="789"/>
      <c r="T456" s="705"/>
      <c r="U456" s="755"/>
    </row>
    <row r="457" ht="26.25" customHeight="1">
      <c r="A457" s="769"/>
      <c r="B457" s="770"/>
      <c r="C457" s="771"/>
      <c r="D457" s="705"/>
      <c r="E457" s="705"/>
      <c r="F457" s="707"/>
      <c r="G457" s="772"/>
      <c r="H457" s="772"/>
      <c r="I457" s="773"/>
      <c r="J457" s="510"/>
      <c r="K457" s="510"/>
      <c r="L457" s="510"/>
      <c r="M457" s="773"/>
      <c r="N457" s="510"/>
      <c r="O457" s="773"/>
      <c r="P457" s="773"/>
      <c r="Q457" s="705"/>
      <c r="R457" s="754"/>
      <c r="S457" s="789"/>
      <c r="T457" s="705"/>
      <c r="U457" s="755"/>
    </row>
    <row r="458" ht="26.25" customHeight="1">
      <c r="A458" s="769"/>
      <c r="B458" s="770"/>
      <c r="C458" s="771"/>
      <c r="D458" s="705"/>
      <c r="E458" s="705"/>
      <c r="F458" s="707"/>
      <c r="G458" s="772"/>
      <c r="H458" s="772"/>
      <c r="I458" s="773"/>
      <c r="J458" s="510"/>
      <c r="K458" s="510"/>
      <c r="L458" s="510"/>
      <c r="M458" s="773"/>
      <c r="N458" s="510"/>
      <c r="O458" s="773"/>
      <c r="P458" s="773"/>
      <c r="Q458" s="705"/>
      <c r="R458" s="754"/>
      <c r="S458" s="789"/>
      <c r="T458" s="705"/>
      <c r="U458" s="755"/>
    </row>
    <row r="459" ht="26.25" customHeight="1">
      <c r="A459" s="769"/>
      <c r="B459" s="770"/>
      <c r="C459" s="771"/>
      <c r="D459" s="705"/>
      <c r="E459" s="705"/>
      <c r="F459" s="707"/>
      <c r="G459" s="772"/>
      <c r="H459" s="772"/>
      <c r="I459" s="773"/>
      <c r="J459" s="510"/>
      <c r="K459" s="510"/>
      <c r="L459" s="510"/>
      <c r="M459" s="773"/>
      <c r="N459" s="510"/>
      <c r="O459" s="773"/>
      <c r="P459" s="773"/>
      <c r="Q459" s="705"/>
      <c r="R459" s="754"/>
      <c r="S459" s="789"/>
      <c r="T459" s="705"/>
      <c r="U459" s="755"/>
    </row>
    <row r="460" ht="26.25" customHeight="1">
      <c r="A460" s="769"/>
      <c r="B460" s="770"/>
      <c r="C460" s="771"/>
      <c r="D460" s="705"/>
      <c r="E460" s="705"/>
      <c r="F460" s="707"/>
      <c r="G460" s="772"/>
      <c r="H460" s="772"/>
      <c r="I460" s="773"/>
      <c r="J460" s="510"/>
      <c r="K460" s="510"/>
      <c r="L460" s="510"/>
      <c r="M460" s="773"/>
      <c r="N460" s="510"/>
      <c r="O460" s="773"/>
      <c r="P460" s="773"/>
      <c r="Q460" s="705"/>
      <c r="R460" s="754"/>
      <c r="S460" s="789"/>
      <c r="T460" s="705"/>
      <c r="U460" s="755"/>
    </row>
    <row r="461" ht="26.25" customHeight="1">
      <c r="A461" s="769"/>
      <c r="B461" s="770"/>
      <c r="C461" s="771"/>
      <c r="D461" s="705"/>
      <c r="E461" s="705"/>
      <c r="F461" s="707"/>
      <c r="G461" s="772"/>
      <c r="H461" s="772"/>
      <c r="I461" s="773"/>
      <c r="J461" s="510"/>
      <c r="K461" s="510"/>
      <c r="L461" s="510"/>
      <c r="M461" s="773"/>
      <c r="N461" s="510"/>
      <c r="O461" s="773"/>
      <c r="P461" s="773"/>
      <c r="Q461" s="705"/>
      <c r="R461" s="754"/>
      <c r="S461" s="789"/>
      <c r="T461" s="705"/>
      <c r="U461" s="755"/>
    </row>
    <row r="462" ht="26.25" customHeight="1">
      <c r="A462" s="769"/>
      <c r="B462" s="770"/>
      <c r="C462" s="771"/>
      <c r="D462" s="705"/>
      <c r="E462" s="705"/>
      <c r="F462" s="707"/>
      <c r="G462" s="772"/>
      <c r="H462" s="772"/>
      <c r="I462" s="773"/>
      <c r="J462" s="510"/>
      <c r="K462" s="510"/>
      <c r="L462" s="510"/>
      <c r="M462" s="773"/>
      <c r="N462" s="510"/>
      <c r="O462" s="773"/>
      <c r="P462" s="773"/>
      <c r="Q462" s="705"/>
      <c r="R462" s="754"/>
      <c r="S462" s="789"/>
      <c r="T462" s="705"/>
      <c r="U462" s="755"/>
    </row>
    <row r="463" ht="26.25" customHeight="1">
      <c r="A463" s="769"/>
      <c r="B463" s="770"/>
      <c r="C463" s="771"/>
      <c r="D463" s="705"/>
      <c r="E463" s="705"/>
      <c r="F463" s="707"/>
      <c r="G463" s="772"/>
      <c r="H463" s="772"/>
      <c r="I463" s="773"/>
      <c r="J463" s="510"/>
      <c r="K463" s="510"/>
      <c r="L463" s="510"/>
      <c r="M463" s="773"/>
      <c r="N463" s="510"/>
      <c r="O463" s="773"/>
      <c r="P463" s="773"/>
      <c r="Q463" s="705"/>
      <c r="R463" s="754"/>
      <c r="S463" s="789"/>
      <c r="T463" s="705"/>
      <c r="U463" s="755"/>
    </row>
    <row r="464" ht="26.25" customHeight="1">
      <c r="A464" s="769"/>
      <c r="B464" s="770"/>
      <c r="C464" s="771"/>
      <c r="D464" s="705"/>
      <c r="E464" s="705"/>
      <c r="F464" s="707"/>
      <c r="G464" s="772"/>
      <c r="H464" s="772"/>
      <c r="I464" s="773"/>
      <c r="J464" s="510"/>
      <c r="K464" s="510"/>
      <c r="L464" s="510"/>
      <c r="M464" s="773"/>
      <c r="N464" s="510"/>
      <c r="O464" s="773"/>
      <c r="P464" s="773"/>
      <c r="Q464" s="705"/>
      <c r="R464" s="754"/>
      <c r="S464" s="789"/>
      <c r="T464" s="705"/>
      <c r="U464" s="755"/>
    </row>
    <row r="465" ht="26.25" customHeight="1">
      <c r="A465" s="769"/>
      <c r="B465" s="770"/>
      <c r="C465" s="771"/>
      <c r="D465" s="705"/>
      <c r="E465" s="705"/>
      <c r="F465" s="707"/>
      <c r="G465" s="772"/>
      <c r="H465" s="772"/>
      <c r="I465" s="773"/>
      <c r="J465" s="510"/>
      <c r="K465" s="510"/>
      <c r="L465" s="510"/>
      <c r="M465" s="773"/>
      <c r="N465" s="510"/>
      <c r="O465" s="773"/>
      <c r="P465" s="773"/>
      <c r="Q465" s="705"/>
      <c r="R465" s="754"/>
      <c r="S465" s="789"/>
      <c r="T465" s="705"/>
      <c r="U465" s="755"/>
    </row>
    <row r="466" ht="26.25" customHeight="1">
      <c r="A466" s="769"/>
      <c r="B466" s="770"/>
      <c r="C466" s="771"/>
      <c r="D466" s="705"/>
      <c r="E466" s="705"/>
      <c r="F466" s="707"/>
      <c r="G466" s="772"/>
      <c r="H466" s="772"/>
      <c r="I466" s="773"/>
      <c r="J466" s="510"/>
      <c r="K466" s="510"/>
      <c r="L466" s="510"/>
      <c r="M466" s="773"/>
      <c r="N466" s="510"/>
      <c r="O466" s="773"/>
      <c r="P466" s="773"/>
      <c r="Q466" s="705"/>
      <c r="R466" s="754"/>
      <c r="S466" s="789"/>
      <c r="T466" s="705"/>
      <c r="U466" s="755"/>
    </row>
    <row r="467" ht="26.25" customHeight="1">
      <c r="A467" s="769"/>
      <c r="B467" s="770"/>
      <c r="C467" s="771"/>
      <c r="D467" s="705"/>
      <c r="E467" s="705"/>
      <c r="F467" s="707"/>
      <c r="G467" s="772"/>
      <c r="H467" s="772"/>
      <c r="I467" s="773"/>
      <c r="J467" s="510"/>
      <c r="K467" s="510"/>
      <c r="L467" s="510"/>
      <c r="M467" s="773"/>
      <c r="N467" s="510"/>
      <c r="O467" s="773"/>
      <c r="P467" s="773"/>
      <c r="Q467" s="705"/>
      <c r="R467" s="754"/>
      <c r="S467" s="789"/>
      <c r="T467" s="705"/>
      <c r="U467" s="755"/>
    </row>
    <row r="468" ht="26.25" customHeight="1">
      <c r="A468" s="769"/>
      <c r="B468" s="770"/>
      <c r="C468" s="771"/>
      <c r="D468" s="705"/>
      <c r="E468" s="705"/>
      <c r="F468" s="707"/>
      <c r="G468" s="772"/>
      <c r="H468" s="772"/>
      <c r="I468" s="773"/>
      <c r="J468" s="510"/>
      <c r="K468" s="510"/>
      <c r="L468" s="510"/>
      <c r="M468" s="773"/>
      <c r="N468" s="510"/>
      <c r="O468" s="773"/>
      <c r="P468" s="773"/>
      <c r="Q468" s="705"/>
      <c r="R468" s="754"/>
      <c r="S468" s="789"/>
      <c r="T468" s="705"/>
      <c r="U468" s="755"/>
    </row>
    <row r="469" ht="26.25" customHeight="1">
      <c r="A469" s="769"/>
      <c r="B469" s="770"/>
      <c r="C469" s="771"/>
      <c r="D469" s="705"/>
      <c r="E469" s="705"/>
      <c r="F469" s="707"/>
      <c r="G469" s="772"/>
      <c r="H469" s="772"/>
      <c r="I469" s="773"/>
      <c r="J469" s="510"/>
      <c r="K469" s="510"/>
      <c r="L469" s="510"/>
      <c r="M469" s="773"/>
      <c r="N469" s="510"/>
      <c r="O469" s="773"/>
      <c r="P469" s="773"/>
      <c r="Q469" s="705"/>
      <c r="R469" s="754"/>
      <c r="S469" s="789"/>
      <c r="T469" s="705"/>
      <c r="U469" s="755"/>
    </row>
    <row r="470" ht="26.25" customHeight="1">
      <c r="A470" s="769"/>
      <c r="B470" s="770"/>
      <c r="C470" s="771"/>
      <c r="D470" s="705"/>
      <c r="E470" s="705"/>
      <c r="F470" s="707"/>
      <c r="G470" s="772"/>
      <c r="H470" s="772"/>
      <c r="I470" s="773"/>
      <c r="J470" s="510"/>
      <c r="K470" s="510"/>
      <c r="L470" s="510"/>
      <c r="M470" s="773"/>
      <c r="N470" s="510"/>
      <c r="O470" s="773"/>
      <c r="P470" s="773"/>
      <c r="Q470" s="705"/>
      <c r="R470" s="754"/>
      <c r="S470" s="789"/>
      <c r="T470" s="705"/>
      <c r="U470" s="755"/>
    </row>
    <row r="471" ht="26.25" customHeight="1">
      <c r="A471" s="769"/>
      <c r="B471" s="770"/>
      <c r="C471" s="771"/>
      <c r="D471" s="705"/>
      <c r="E471" s="705"/>
      <c r="F471" s="707"/>
      <c r="G471" s="772"/>
      <c r="H471" s="772"/>
      <c r="I471" s="773"/>
      <c r="J471" s="510"/>
      <c r="K471" s="510"/>
      <c r="L471" s="510"/>
      <c r="M471" s="773"/>
      <c r="N471" s="510"/>
      <c r="O471" s="773"/>
      <c r="P471" s="773"/>
      <c r="Q471" s="705"/>
      <c r="R471" s="754"/>
      <c r="S471" s="789"/>
      <c r="T471" s="705"/>
      <c r="U471" s="755"/>
    </row>
    <row r="472" ht="26.25" customHeight="1">
      <c r="A472" s="769"/>
      <c r="B472" s="770"/>
      <c r="C472" s="771"/>
      <c r="D472" s="705"/>
      <c r="E472" s="705"/>
      <c r="F472" s="707"/>
      <c r="G472" s="772"/>
      <c r="H472" s="772"/>
      <c r="I472" s="773"/>
      <c r="J472" s="510"/>
      <c r="K472" s="510"/>
      <c r="L472" s="510"/>
      <c r="M472" s="773"/>
      <c r="N472" s="510"/>
      <c r="O472" s="773"/>
      <c r="P472" s="773"/>
      <c r="Q472" s="705"/>
      <c r="R472" s="754"/>
      <c r="S472" s="789"/>
      <c r="T472" s="705"/>
      <c r="U472" s="755"/>
    </row>
    <row r="473" ht="26.25" customHeight="1">
      <c r="A473" s="769"/>
      <c r="B473" s="770"/>
      <c r="C473" s="771"/>
      <c r="D473" s="705"/>
      <c r="E473" s="705"/>
      <c r="F473" s="707"/>
      <c r="G473" s="772"/>
      <c r="H473" s="772"/>
      <c r="I473" s="773"/>
      <c r="J473" s="510"/>
      <c r="K473" s="510"/>
      <c r="L473" s="510"/>
      <c r="M473" s="773"/>
      <c r="N473" s="510"/>
      <c r="O473" s="773"/>
      <c r="P473" s="773"/>
      <c r="Q473" s="705"/>
      <c r="R473" s="754"/>
      <c r="S473" s="789"/>
      <c r="T473" s="705"/>
      <c r="U473" s="755"/>
    </row>
    <row r="474" ht="26.25" customHeight="1">
      <c r="A474" s="769"/>
      <c r="B474" s="770"/>
      <c r="C474" s="771"/>
      <c r="D474" s="705"/>
      <c r="E474" s="705"/>
      <c r="F474" s="707"/>
      <c r="G474" s="772"/>
      <c r="H474" s="772"/>
      <c r="I474" s="773"/>
      <c r="J474" s="510"/>
      <c r="K474" s="510"/>
      <c r="L474" s="510"/>
      <c r="M474" s="773"/>
      <c r="N474" s="510"/>
      <c r="O474" s="773"/>
      <c r="P474" s="773"/>
      <c r="Q474" s="705"/>
      <c r="R474" s="754"/>
      <c r="S474" s="789"/>
      <c r="T474" s="705"/>
      <c r="U474" s="755"/>
    </row>
    <row r="475" ht="26.25" customHeight="1">
      <c r="A475" s="769"/>
      <c r="B475" s="770"/>
      <c r="C475" s="771"/>
      <c r="D475" s="705"/>
      <c r="E475" s="705"/>
      <c r="F475" s="707"/>
      <c r="G475" s="772"/>
      <c r="H475" s="772"/>
      <c r="I475" s="773"/>
      <c r="J475" s="510"/>
      <c r="K475" s="510"/>
      <c r="L475" s="510"/>
      <c r="M475" s="773"/>
      <c r="N475" s="510"/>
      <c r="O475" s="773"/>
      <c r="P475" s="773"/>
      <c r="Q475" s="705"/>
      <c r="R475" s="754"/>
      <c r="S475" s="789"/>
      <c r="T475" s="705"/>
      <c r="U475" s="755"/>
    </row>
    <row r="476" ht="26.25" customHeight="1">
      <c r="A476" s="769"/>
      <c r="B476" s="770"/>
      <c r="C476" s="771"/>
      <c r="D476" s="705"/>
      <c r="E476" s="705"/>
      <c r="F476" s="707"/>
      <c r="G476" s="772"/>
      <c r="H476" s="772"/>
      <c r="I476" s="773"/>
      <c r="J476" s="510"/>
      <c r="K476" s="510"/>
      <c r="L476" s="510"/>
      <c r="M476" s="773"/>
      <c r="N476" s="510"/>
      <c r="O476" s="773"/>
      <c r="P476" s="773"/>
      <c r="Q476" s="705"/>
      <c r="R476" s="754"/>
      <c r="S476" s="789"/>
      <c r="T476" s="705"/>
      <c r="U476" s="755"/>
    </row>
    <row r="477" ht="26.25" customHeight="1">
      <c r="A477" s="769"/>
      <c r="B477" s="770"/>
      <c r="C477" s="771"/>
      <c r="D477" s="705"/>
      <c r="E477" s="705"/>
      <c r="F477" s="707"/>
      <c r="G477" s="772"/>
      <c r="H477" s="772"/>
      <c r="I477" s="773"/>
      <c r="J477" s="510"/>
      <c r="K477" s="510"/>
      <c r="L477" s="510"/>
      <c r="M477" s="773"/>
      <c r="N477" s="510"/>
      <c r="O477" s="773"/>
      <c r="P477" s="773"/>
      <c r="Q477" s="705"/>
      <c r="R477" s="754"/>
      <c r="S477" s="789"/>
      <c r="T477" s="705"/>
      <c r="U477" s="755"/>
    </row>
    <row r="478" ht="26.25" customHeight="1">
      <c r="A478" s="769"/>
      <c r="B478" s="770"/>
      <c r="C478" s="771"/>
      <c r="D478" s="705"/>
      <c r="E478" s="705"/>
      <c r="F478" s="707"/>
      <c r="G478" s="772"/>
      <c r="H478" s="772"/>
      <c r="I478" s="773"/>
      <c r="J478" s="510"/>
      <c r="K478" s="510"/>
      <c r="L478" s="510"/>
      <c r="M478" s="773"/>
      <c r="N478" s="510"/>
      <c r="O478" s="773"/>
      <c r="P478" s="773"/>
      <c r="Q478" s="705"/>
      <c r="R478" s="754"/>
      <c r="S478" s="789"/>
      <c r="T478" s="705"/>
      <c r="U478" s="755"/>
    </row>
    <row r="479" ht="26.25" customHeight="1">
      <c r="A479" s="769"/>
      <c r="B479" s="770"/>
      <c r="C479" s="771"/>
      <c r="D479" s="705"/>
      <c r="E479" s="705"/>
      <c r="F479" s="707"/>
      <c r="G479" s="772"/>
      <c r="H479" s="772"/>
      <c r="I479" s="773"/>
      <c r="J479" s="510"/>
      <c r="K479" s="510"/>
      <c r="L479" s="510"/>
      <c r="M479" s="773"/>
      <c r="N479" s="510"/>
      <c r="O479" s="773"/>
      <c r="P479" s="773"/>
      <c r="Q479" s="705"/>
      <c r="R479" s="754"/>
      <c r="S479" s="789"/>
      <c r="T479" s="705"/>
      <c r="U479" s="755"/>
    </row>
    <row r="480" ht="26.25" customHeight="1">
      <c r="A480" s="769"/>
      <c r="B480" s="770"/>
      <c r="C480" s="771"/>
      <c r="D480" s="705"/>
      <c r="E480" s="705"/>
      <c r="F480" s="707"/>
      <c r="G480" s="772"/>
      <c r="H480" s="772"/>
      <c r="I480" s="773"/>
      <c r="J480" s="510"/>
      <c r="K480" s="510"/>
      <c r="L480" s="510"/>
      <c r="M480" s="773"/>
      <c r="N480" s="510"/>
      <c r="O480" s="773"/>
      <c r="P480" s="773"/>
      <c r="Q480" s="705"/>
      <c r="R480" s="754"/>
      <c r="S480" s="789"/>
      <c r="T480" s="705"/>
      <c r="U480" s="755"/>
    </row>
    <row r="481" ht="26.25" customHeight="1">
      <c r="A481" s="769"/>
      <c r="B481" s="770"/>
      <c r="C481" s="771"/>
      <c r="D481" s="705"/>
      <c r="E481" s="705"/>
      <c r="F481" s="707"/>
      <c r="G481" s="772"/>
      <c r="H481" s="772"/>
      <c r="I481" s="773"/>
      <c r="J481" s="510"/>
      <c r="K481" s="510"/>
      <c r="L481" s="510"/>
      <c r="M481" s="773"/>
      <c r="N481" s="510"/>
      <c r="O481" s="773"/>
      <c r="P481" s="773"/>
      <c r="Q481" s="705"/>
      <c r="R481" s="754"/>
      <c r="S481" s="789"/>
      <c r="T481" s="705"/>
      <c r="U481" s="755"/>
    </row>
    <row r="482" ht="26.25" customHeight="1">
      <c r="A482" s="769"/>
      <c r="B482" s="770"/>
      <c r="C482" s="771"/>
      <c r="D482" s="705"/>
      <c r="E482" s="705"/>
      <c r="F482" s="707"/>
      <c r="G482" s="772"/>
      <c r="H482" s="772"/>
      <c r="I482" s="773"/>
      <c r="J482" s="510"/>
      <c r="K482" s="510"/>
      <c r="L482" s="510"/>
      <c r="M482" s="773"/>
      <c r="N482" s="510"/>
      <c r="O482" s="773"/>
      <c r="P482" s="773"/>
      <c r="Q482" s="705"/>
      <c r="R482" s="754"/>
      <c r="S482" s="789"/>
      <c r="T482" s="705"/>
      <c r="U482" s="755"/>
    </row>
    <row r="483" ht="26.25" customHeight="1">
      <c r="A483" s="769"/>
      <c r="B483" s="770"/>
      <c r="C483" s="771"/>
      <c r="D483" s="705"/>
      <c r="E483" s="705"/>
      <c r="F483" s="707"/>
      <c r="G483" s="772"/>
      <c r="H483" s="772"/>
      <c r="I483" s="773"/>
      <c r="J483" s="510"/>
      <c r="K483" s="510"/>
      <c r="L483" s="510"/>
      <c r="M483" s="773"/>
      <c r="N483" s="510"/>
      <c r="O483" s="773"/>
      <c r="P483" s="773"/>
      <c r="Q483" s="705"/>
      <c r="R483" s="754"/>
      <c r="S483" s="789"/>
      <c r="T483" s="705"/>
      <c r="U483" s="755"/>
    </row>
    <row r="484" ht="26.25" customHeight="1">
      <c r="A484" s="769"/>
      <c r="B484" s="770"/>
      <c r="C484" s="771"/>
      <c r="D484" s="705"/>
      <c r="E484" s="705"/>
      <c r="F484" s="707"/>
      <c r="G484" s="772"/>
      <c r="H484" s="772"/>
      <c r="I484" s="773"/>
      <c r="J484" s="510"/>
      <c r="K484" s="510"/>
      <c r="L484" s="510"/>
      <c r="M484" s="773"/>
      <c r="N484" s="510"/>
      <c r="O484" s="773"/>
      <c r="P484" s="773"/>
      <c r="Q484" s="705"/>
      <c r="R484" s="754"/>
      <c r="S484" s="789"/>
      <c r="T484" s="705"/>
      <c r="U484" s="755"/>
    </row>
    <row r="485" ht="26.25" customHeight="1">
      <c r="A485" s="769"/>
      <c r="B485" s="770"/>
      <c r="C485" s="771"/>
      <c r="D485" s="705"/>
      <c r="E485" s="705"/>
      <c r="F485" s="707"/>
      <c r="G485" s="772"/>
      <c r="H485" s="772"/>
      <c r="I485" s="773"/>
      <c r="J485" s="510"/>
      <c r="K485" s="510"/>
      <c r="L485" s="510"/>
      <c r="M485" s="773"/>
      <c r="N485" s="510"/>
      <c r="O485" s="773"/>
      <c r="P485" s="773"/>
      <c r="Q485" s="705"/>
      <c r="R485" s="754"/>
      <c r="S485" s="789"/>
      <c r="T485" s="705"/>
      <c r="U485" s="755"/>
    </row>
    <row r="486" ht="26.25" customHeight="1">
      <c r="A486" s="769"/>
      <c r="B486" s="770"/>
      <c r="C486" s="771"/>
      <c r="D486" s="705"/>
      <c r="E486" s="705"/>
      <c r="F486" s="707"/>
      <c r="G486" s="772"/>
      <c r="H486" s="772"/>
      <c r="I486" s="773"/>
      <c r="J486" s="510"/>
      <c r="K486" s="510"/>
      <c r="L486" s="510"/>
      <c r="M486" s="773"/>
      <c r="N486" s="510"/>
      <c r="O486" s="773"/>
      <c r="P486" s="773"/>
      <c r="Q486" s="705"/>
      <c r="R486" s="754"/>
      <c r="S486" s="789"/>
      <c r="T486" s="705"/>
      <c r="U486" s="755"/>
    </row>
    <row r="487" ht="26.25" customHeight="1">
      <c r="A487" s="769"/>
      <c r="B487" s="770"/>
      <c r="C487" s="771"/>
      <c r="D487" s="705"/>
      <c r="E487" s="705"/>
      <c r="F487" s="707"/>
      <c r="G487" s="772"/>
      <c r="H487" s="772"/>
      <c r="I487" s="773"/>
      <c r="J487" s="510"/>
      <c r="K487" s="510"/>
      <c r="L487" s="510"/>
      <c r="M487" s="773"/>
      <c r="N487" s="510"/>
      <c r="O487" s="773"/>
      <c r="P487" s="773"/>
      <c r="Q487" s="705"/>
      <c r="R487" s="754"/>
      <c r="S487" s="789"/>
      <c r="T487" s="705"/>
      <c r="U487" s="755"/>
    </row>
    <row r="488" ht="26.25" customHeight="1">
      <c r="A488" s="769"/>
      <c r="B488" s="770"/>
      <c r="C488" s="771"/>
      <c r="D488" s="705"/>
      <c r="E488" s="705"/>
      <c r="F488" s="707"/>
      <c r="G488" s="772"/>
      <c r="H488" s="772"/>
      <c r="I488" s="773"/>
      <c r="J488" s="510"/>
      <c r="K488" s="510"/>
      <c r="L488" s="510"/>
      <c r="M488" s="773"/>
      <c r="N488" s="510"/>
      <c r="O488" s="773"/>
      <c r="P488" s="773"/>
      <c r="Q488" s="705"/>
      <c r="R488" s="754"/>
      <c r="S488" s="789"/>
      <c r="T488" s="705"/>
      <c r="U488" s="755"/>
    </row>
    <row r="489" ht="26.25" customHeight="1">
      <c r="A489" s="769"/>
      <c r="B489" s="770"/>
      <c r="C489" s="771"/>
      <c r="D489" s="705"/>
      <c r="E489" s="705"/>
      <c r="F489" s="707"/>
      <c r="G489" s="772"/>
      <c r="H489" s="772"/>
      <c r="I489" s="773"/>
      <c r="J489" s="510"/>
      <c r="K489" s="510"/>
      <c r="L489" s="510"/>
      <c r="M489" s="773"/>
      <c r="N489" s="510"/>
      <c r="O489" s="773"/>
      <c r="P489" s="773"/>
      <c r="Q489" s="705"/>
      <c r="R489" s="754"/>
      <c r="S489" s="789"/>
      <c r="T489" s="705"/>
      <c r="U489" s="755"/>
    </row>
    <row r="490" ht="26.25" customHeight="1">
      <c r="A490" s="769"/>
      <c r="B490" s="770"/>
      <c r="C490" s="771"/>
      <c r="D490" s="705"/>
      <c r="E490" s="705"/>
      <c r="F490" s="707"/>
      <c r="G490" s="772"/>
      <c r="H490" s="772"/>
      <c r="I490" s="773"/>
      <c r="J490" s="510"/>
      <c r="K490" s="510"/>
      <c r="L490" s="510"/>
      <c r="M490" s="773"/>
      <c r="N490" s="510"/>
      <c r="O490" s="773"/>
      <c r="P490" s="773"/>
      <c r="Q490" s="705"/>
      <c r="R490" s="754"/>
      <c r="S490" s="789"/>
      <c r="T490" s="705"/>
      <c r="U490" s="755"/>
    </row>
    <row r="491" ht="26.25" customHeight="1">
      <c r="A491" s="769"/>
      <c r="B491" s="770"/>
      <c r="C491" s="771"/>
      <c r="D491" s="705"/>
      <c r="E491" s="705"/>
      <c r="F491" s="707"/>
      <c r="G491" s="772"/>
      <c r="H491" s="772"/>
      <c r="I491" s="773"/>
      <c r="J491" s="510"/>
      <c r="K491" s="510"/>
      <c r="L491" s="510"/>
      <c r="M491" s="773"/>
      <c r="N491" s="510"/>
      <c r="O491" s="773"/>
      <c r="P491" s="773"/>
      <c r="Q491" s="705"/>
      <c r="R491" s="754"/>
      <c r="S491" s="789"/>
      <c r="T491" s="705"/>
      <c r="U491" s="755"/>
    </row>
    <row r="492" ht="26.25" customHeight="1">
      <c r="A492" s="769"/>
      <c r="B492" s="770"/>
      <c r="C492" s="771"/>
      <c r="D492" s="705"/>
      <c r="E492" s="705"/>
      <c r="F492" s="707"/>
      <c r="G492" s="772"/>
      <c r="H492" s="772"/>
      <c r="I492" s="773"/>
      <c r="J492" s="510"/>
      <c r="K492" s="510"/>
      <c r="L492" s="510"/>
      <c r="M492" s="773"/>
      <c r="N492" s="510"/>
      <c r="O492" s="773"/>
      <c r="P492" s="773"/>
      <c r="Q492" s="705"/>
      <c r="R492" s="754"/>
      <c r="S492" s="789"/>
      <c r="T492" s="705"/>
      <c r="U492" s="755"/>
    </row>
    <row r="493" ht="26.25" customHeight="1">
      <c r="A493" s="769"/>
      <c r="B493" s="770"/>
      <c r="C493" s="771"/>
      <c r="D493" s="705"/>
      <c r="E493" s="705"/>
      <c r="F493" s="707"/>
      <c r="G493" s="772"/>
      <c r="H493" s="772"/>
      <c r="I493" s="773"/>
      <c r="J493" s="510"/>
      <c r="K493" s="510"/>
      <c r="L493" s="510"/>
      <c r="M493" s="773"/>
      <c r="N493" s="510"/>
      <c r="O493" s="773"/>
      <c r="P493" s="773"/>
      <c r="Q493" s="705"/>
      <c r="R493" s="754"/>
      <c r="S493" s="789"/>
      <c r="T493" s="705"/>
      <c r="U493" s="755"/>
    </row>
    <row r="494" ht="26.25" customHeight="1">
      <c r="A494" s="769"/>
      <c r="B494" s="770"/>
      <c r="C494" s="771"/>
      <c r="D494" s="705"/>
      <c r="E494" s="705"/>
      <c r="F494" s="707"/>
      <c r="G494" s="772"/>
      <c r="H494" s="772"/>
      <c r="I494" s="773"/>
      <c r="J494" s="510"/>
      <c r="K494" s="510"/>
      <c r="L494" s="510"/>
      <c r="M494" s="773"/>
      <c r="N494" s="510"/>
      <c r="O494" s="773"/>
      <c r="P494" s="773"/>
      <c r="Q494" s="705"/>
      <c r="R494" s="754"/>
      <c r="S494" s="789"/>
      <c r="T494" s="705"/>
      <c r="U494" s="755"/>
    </row>
    <row r="495" ht="26.25" customHeight="1">
      <c r="A495" s="769"/>
      <c r="B495" s="770"/>
      <c r="C495" s="771"/>
      <c r="D495" s="705"/>
      <c r="E495" s="705"/>
      <c r="F495" s="707"/>
      <c r="G495" s="772"/>
      <c r="H495" s="772"/>
      <c r="I495" s="773"/>
      <c r="J495" s="510"/>
      <c r="K495" s="510"/>
      <c r="L495" s="510"/>
      <c r="M495" s="773"/>
      <c r="N495" s="510"/>
      <c r="O495" s="773"/>
      <c r="P495" s="773"/>
      <c r="Q495" s="705"/>
      <c r="R495" s="754"/>
      <c r="S495" s="789"/>
      <c r="T495" s="705"/>
      <c r="U495" s="755"/>
    </row>
    <row r="496" ht="26.25" customHeight="1">
      <c r="A496" s="769"/>
      <c r="B496" s="770"/>
      <c r="C496" s="771"/>
      <c r="D496" s="705"/>
      <c r="E496" s="705"/>
      <c r="F496" s="707"/>
      <c r="G496" s="772"/>
      <c r="H496" s="772"/>
      <c r="I496" s="773"/>
      <c r="J496" s="510"/>
      <c r="K496" s="510"/>
      <c r="L496" s="510"/>
      <c r="M496" s="773"/>
      <c r="N496" s="510"/>
      <c r="O496" s="773"/>
      <c r="P496" s="773"/>
      <c r="Q496" s="705"/>
      <c r="R496" s="754"/>
      <c r="S496" s="789"/>
      <c r="T496" s="705"/>
      <c r="U496" s="755"/>
    </row>
    <row r="497" ht="26.25" customHeight="1">
      <c r="A497" s="769"/>
      <c r="B497" s="770"/>
      <c r="C497" s="771"/>
      <c r="D497" s="705"/>
      <c r="E497" s="705"/>
      <c r="F497" s="707"/>
      <c r="G497" s="772"/>
      <c r="H497" s="772"/>
      <c r="I497" s="773"/>
      <c r="J497" s="510"/>
      <c r="K497" s="510"/>
      <c r="L497" s="510"/>
      <c r="M497" s="773"/>
      <c r="N497" s="510"/>
      <c r="O497" s="773"/>
      <c r="P497" s="773"/>
      <c r="Q497" s="705"/>
      <c r="R497" s="754"/>
      <c r="S497" s="789"/>
      <c r="T497" s="705"/>
      <c r="U497" s="755"/>
    </row>
    <row r="498" ht="26.25" customHeight="1">
      <c r="A498" s="769"/>
      <c r="B498" s="770"/>
      <c r="C498" s="771"/>
      <c r="D498" s="705"/>
      <c r="E498" s="705"/>
      <c r="F498" s="707"/>
      <c r="G498" s="772"/>
      <c r="H498" s="772"/>
      <c r="I498" s="773"/>
      <c r="J498" s="510"/>
      <c r="K498" s="510"/>
      <c r="L498" s="510"/>
      <c r="M498" s="773"/>
      <c r="N498" s="510"/>
      <c r="O498" s="773"/>
      <c r="P498" s="773"/>
      <c r="Q498" s="705"/>
      <c r="R498" s="754"/>
      <c r="S498" s="789"/>
      <c r="T498" s="705"/>
      <c r="U498" s="755"/>
    </row>
    <row r="499" ht="26.25" customHeight="1">
      <c r="A499" s="769"/>
      <c r="B499" s="770"/>
      <c r="C499" s="771"/>
      <c r="D499" s="705"/>
      <c r="E499" s="705"/>
      <c r="F499" s="707"/>
      <c r="G499" s="772"/>
      <c r="H499" s="772"/>
      <c r="I499" s="773"/>
      <c r="J499" s="510"/>
      <c r="K499" s="510"/>
      <c r="L499" s="510"/>
      <c r="M499" s="773"/>
      <c r="N499" s="510"/>
      <c r="O499" s="773"/>
      <c r="P499" s="773"/>
      <c r="Q499" s="705"/>
      <c r="R499" s="754"/>
      <c r="S499" s="789"/>
      <c r="T499" s="705"/>
      <c r="U499" s="755"/>
    </row>
    <row r="500" ht="26.25" customHeight="1">
      <c r="A500" s="769"/>
      <c r="B500" s="770"/>
      <c r="C500" s="771"/>
      <c r="D500" s="705"/>
      <c r="E500" s="705"/>
      <c r="F500" s="707"/>
      <c r="G500" s="772"/>
      <c r="H500" s="772"/>
      <c r="I500" s="773"/>
      <c r="J500" s="510"/>
      <c r="K500" s="510"/>
      <c r="L500" s="510"/>
      <c r="M500" s="773"/>
      <c r="N500" s="510"/>
      <c r="O500" s="773"/>
      <c r="P500" s="773"/>
      <c r="Q500" s="705"/>
      <c r="R500" s="754"/>
      <c r="S500" s="789"/>
      <c r="T500" s="705"/>
      <c r="U500" s="755"/>
    </row>
    <row r="501" ht="26.25" customHeight="1">
      <c r="A501" s="769"/>
      <c r="B501" s="770"/>
      <c r="C501" s="771"/>
      <c r="D501" s="705"/>
      <c r="E501" s="705"/>
      <c r="F501" s="707"/>
      <c r="G501" s="772"/>
      <c r="H501" s="772"/>
      <c r="I501" s="773"/>
      <c r="J501" s="510"/>
      <c r="K501" s="510"/>
      <c r="L501" s="510"/>
      <c r="M501" s="773"/>
      <c r="N501" s="510"/>
      <c r="O501" s="773"/>
      <c r="P501" s="773"/>
      <c r="Q501" s="705"/>
      <c r="R501" s="754"/>
      <c r="S501" s="789"/>
      <c r="T501" s="705"/>
      <c r="U501" s="755"/>
    </row>
    <row r="502" ht="26.25" customHeight="1">
      <c r="A502" s="769"/>
      <c r="B502" s="770"/>
      <c r="C502" s="771"/>
      <c r="D502" s="705"/>
      <c r="E502" s="705"/>
      <c r="F502" s="707"/>
      <c r="G502" s="772"/>
      <c r="H502" s="772"/>
      <c r="I502" s="773"/>
      <c r="J502" s="510"/>
      <c r="K502" s="510"/>
      <c r="L502" s="510"/>
      <c r="M502" s="773"/>
      <c r="N502" s="510"/>
      <c r="O502" s="773"/>
      <c r="P502" s="773"/>
      <c r="Q502" s="705"/>
      <c r="R502" s="754"/>
      <c r="S502" s="789"/>
      <c r="T502" s="705"/>
      <c r="U502" s="755"/>
    </row>
    <row r="503" ht="26.25" customHeight="1">
      <c r="A503" s="769"/>
      <c r="B503" s="770"/>
      <c r="C503" s="771"/>
      <c r="D503" s="705"/>
      <c r="E503" s="705"/>
      <c r="F503" s="707"/>
      <c r="G503" s="772"/>
      <c r="H503" s="772"/>
      <c r="I503" s="773"/>
      <c r="J503" s="510"/>
      <c r="K503" s="510"/>
      <c r="L503" s="510"/>
      <c r="M503" s="773"/>
      <c r="N503" s="510"/>
      <c r="O503" s="773"/>
      <c r="P503" s="773"/>
      <c r="Q503" s="705"/>
      <c r="R503" s="754"/>
      <c r="S503" s="789"/>
      <c r="T503" s="705"/>
      <c r="U503" s="755"/>
    </row>
    <row r="504" ht="26.25" customHeight="1">
      <c r="A504" s="769"/>
      <c r="B504" s="770"/>
      <c r="C504" s="771"/>
      <c r="D504" s="705"/>
      <c r="E504" s="705"/>
      <c r="F504" s="707"/>
      <c r="G504" s="772"/>
      <c r="H504" s="772"/>
      <c r="I504" s="773"/>
      <c r="J504" s="510"/>
      <c r="K504" s="510"/>
      <c r="L504" s="510"/>
      <c r="M504" s="773"/>
      <c r="N504" s="510"/>
      <c r="O504" s="773"/>
      <c r="P504" s="773"/>
      <c r="Q504" s="705"/>
      <c r="R504" s="754"/>
      <c r="S504" s="789"/>
      <c r="T504" s="705"/>
      <c r="U504" s="755"/>
    </row>
    <row r="505" ht="26.25" customHeight="1">
      <c r="A505" s="769"/>
      <c r="B505" s="770"/>
      <c r="C505" s="771"/>
      <c r="D505" s="705"/>
      <c r="E505" s="705"/>
      <c r="F505" s="707"/>
      <c r="G505" s="772"/>
      <c r="H505" s="772"/>
      <c r="I505" s="773"/>
      <c r="J505" s="510"/>
      <c r="K505" s="510"/>
      <c r="L505" s="510"/>
      <c r="M505" s="773"/>
      <c r="N505" s="510"/>
      <c r="O505" s="773"/>
      <c r="P505" s="773"/>
      <c r="Q505" s="705"/>
      <c r="R505" s="754"/>
      <c r="S505" s="789"/>
      <c r="T505" s="705"/>
      <c r="U505" s="755"/>
    </row>
    <row r="506" ht="26.25" customHeight="1">
      <c r="A506" s="769"/>
      <c r="B506" s="770"/>
      <c r="C506" s="771"/>
      <c r="D506" s="705"/>
      <c r="E506" s="705"/>
      <c r="F506" s="707"/>
      <c r="G506" s="772"/>
      <c r="H506" s="772"/>
      <c r="I506" s="773"/>
      <c r="J506" s="510"/>
      <c r="K506" s="510"/>
      <c r="L506" s="510"/>
      <c r="M506" s="773"/>
      <c r="N506" s="510"/>
      <c r="O506" s="773"/>
      <c r="P506" s="773"/>
      <c r="Q506" s="705"/>
      <c r="R506" s="754"/>
      <c r="S506" s="789"/>
      <c r="T506" s="705"/>
      <c r="U506" s="755"/>
    </row>
    <row r="507" ht="26.25" customHeight="1">
      <c r="A507" s="769"/>
      <c r="B507" s="770"/>
      <c r="C507" s="771"/>
      <c r="D507" s="705"/>
      <c r="E507" s="705"/>
      <c r="F507" s="707"/>
      <c r="G507" s="772"/>
      <c r="H507" s="772"/>
      <c r="I507" s="773"/>
      <c r="J507" s="510"/>
      <c r="K507" s="510"/>
      <c r="L507" s="510"/>
      <c r="M507" s="773"/>
      <c r="N507" s="510"/>
      <c r="O507" s="773"/>
      <c r="P507" s="773"/>
      <c r="Q507" s="705"/>
      <c r="R507" s="754"/>
      <c r="S507" s="789"/>
      <c r="T507" s="705"/>
      <c r="U507" s="755"/>
    </row>
    <row r="508" ht="26.25" customHeight="1">
      <c r="A508" s="769"/>
      <c r="B508" s="770"/>
      <c r="C508" s="771"/>
      <c r="D508" s="705"/>
      <c r="E508" s="705"/>
      <c r="F508" s="707"/>
      <c r="G508" s="772"/>
      <c r="H508" s="772"/>
      <c r="I508" s="773"/>
      <c r="J508" s="510"/>
      <c r="K508" s="510"/>
      <c r="L508" s="510"/>
      <c r="M508" s="773"/>
      <c r="N508" s="510"/>
      <c r="O508" s="773"/>
      <c r="P508" s="773"/>
      <c r="Q508" s="705"/>
      <c r="R508" s="754"/>
      <c r="S508" s="789"/>
      <c r="T508" s="705"/>
      <c r="U508" s="755"/>
    </row>
    <row r="509" ht="26.25" customHeight="1">
      <c r="A509" s="769"/>
      <c r="B509" s="770"/>
      <c r="C509" s="771"/>
      <c r="D509" s="705"/>
      <c r="E509" s="705"/>
      <c r="F509" s="707"/>
      <c r="G509" s="772"/>
      <c r="H509" s="772"/>
      <c r="I509" s="773"/>
      <c r="J509" s="510"/>
      <c r="K509" s="510"/>
      <c r="L509" s="510"/>
      <c r="M509" s="773"/>
      <c r="N509" s="510"/>
      <c r="O509" s="773"/>
      <c r="P509" s="773"/>
      <c r="Q509" s="705"/>
      <c r="R509" s="754"/>
      <c r="S509" s="789"/>
      <c r="T509" s="705"/>
      <c r="U509" s="755"/>
    </row>
    <row r="510" ht="26.25" customHeight="1">
      <c r="A510" s="769"/>
      <c r="B510" s="770"/>
      <c r="C510" s="771"/>
      <c r="D510" s="705"/>
      <c r="E510" s="705"/>
      <c r="F510" s="707"/>
      <c r="G510" s="772"/>
      <c r="H510" s="772"/>
      <c r="I510" s="773"/>
      <c r="J510" s="510"/>
      <c r="K510" s="510"/>
      <c r="L510" s="510"/>
      <c r="M510" s="773"/>
      <c r="N510" s="510"/>
      <c r="O510" s="773"/>
      <c r="P510" s="773"/>
      <c r="Q510" s="705"/>
      <c r="R510" s="754"/>
      <c r="S510" s="789"/>
      <c r="T510" s="705"/>
      <c r="U510" s="755"/>
    </row>
    <row r="511" ht="26.25" customHeight="1">
      <c r="A511" s="769"/>
      <c r="B511" s="770"/>
      <c r="C511" s="771"/>
      <c r="D511" s="705"/>
      <c r="E511" s="705"/>
      <c r="F511" s="707"/>
      <c r="G511" s="772"/>
      <c r="H511" s="772"/>
      <c r="I511" s="773"/>
      <c r="J511" s="510"/>
      <c r="K511" s="510"/>
      <c r="L511" s="510"/>
      <c r="M511" s="773"/>
      <c r="N511" s="510"/>
      <c r="O511" s="773"/>
      <c r="P511" s="773"/>
      <c r="Q511" s="705"/>
      <c r="R511" s="754"/>
      <c r="S511" s="789"/>
      <c r="T511" s="705"/>
      <c r="U511" s="755"/>
    </row>
    <row r="512" ht="26.25" customHeight="1">
      <c r="A512" s="769"/>
      <c r="B512" s="770"/>
      <c r="C512" s="771"/>
      <c r="D512" s="705"/>
      <c r="E512" s="705"/>
      <c r="F512" s="707"/>
      <c r="G512" s="772"/>
      <c r="H512" s="772"/>
      <c r="I512" s="773"/>
      <c r="J512" s="510"/>
      <c r="K512" s="510"/>
      <c r="L512" s="510"/>
      <c r="M512" s="773"/>
      <c r="N512" s="510"/>
      <c r="O512" s="773"/>
      <c r="P512" s="773"/>
      <c r="Q512" s="705"/>
      <c r="R512" s="754"/>
      <c r="S512" s="789"/>
      <c r="T512" s="705"/>
      <c r="U512" s="755"/>
    </row>
    <row r="513" ht="26.25" customHeight="1">
      <c r="A513" s="769"/>
      <c r="B513" s="770"/>
      <c r="C513" s="771"/>
      <c r="D513" s="705"/>
      <c r="E513" s="705"/>
      <c r="F513" s="707"/>
      <c r="G513" s="772"/>
      <c r="H513" s="772"/>
      <c r="I513" s="773"/>
      <c r="J513" s="510"/>
      <c r="K513" s="510"/>
      <c r="L513" s="510"/>
      <c r="M513" s="773"/>
      <c r="N513" s="510"/>
      <c r="O513" s="773"/>
      <c r="P513" s="773"/>
      <c r="Q513" s="705"/>
      <c r="R513" s="754"/>
      <c r="S513" s="789"/>
      <c r="T513" s="705"/>
      <c r="U513" s="755"/>
    </row>
    <row r="514" ht="26.25" customHeight="1">
      <c r="A514" s="769"/>
      <c r="B514" s="770"/>
      <c r="C514" s="771"/>
      <c r="D514" s="705"/>
      <c r="E514" s="705"/>
      <c r="F514" s="707"/>
      <c r="G514" s="772"/>
      <c r="H514" s="772"/>
      <c r="I514" s="773"/>
      <c r="J514" s="510"/>
      <c r="K514" s="510"/>
      <c r="L514" s="510"/>
      <c r="M514" s="773"/>
      <c r="N514" s="510"/>
      <c r="O514" s="773"/>
      <c r="P514" s="773"/>
      <c r="Q514" s="705"/>
      <c r="R514" s="754"/>
      <c r="S514" s="789"/>
      <c r="T514" s="705"/>
      <c r="U514" s="755"/>
    </row>
    <row r="515" ht="26.25" customHeight="1">
      <c r="A515" s="769"/>
      <c r="B515" s="770"/>
      <c r="C515" s="771"/>
      <c r="D515" s="705"/>
      <c r="E515" s="705"/>
      <c r="F515" s="707"/>
      <c r="G515" s="772"/>
      <c r="H515" s="772"/>
      <c r="I515" s="773"/>
      <c r="J515" s="510"/>
      <c r="K515" s="510"/>
      <c r="L515" s="510"/>
      <c r="M515" s="773"/>
      <c r="N515" s="510"/>
      <c r="O515" s="773"/>
      <c r="P515" s="773"/>
      <c r="Q515" s="705"/>
      <c r="R515" s="754"/>
      <c r="S515" s="789"/>
      <c r="T515" s="705"/>
      <c r="U515" s="755"/>
    </row>
    <row r="516" ht="26.25" customHeight="1">
      <c r="A516" s="769"/>
      <c r="B516" s="770"/>
      <c r="C516" s="771"/>
      <c r="D516" s="705"/>
      <c r="E516" s="705"/>
      <c r="F516" s="707"/>
      <c r="G516" s="772"/>
      <c r="H516" s="772"/>
      <c r="I516" s="773"/>
      <c r="J516" s="510"/>
      <c r="K516" s="510"/>
      <c r="L516" s="510"/>
      <c r="M516" s="773"/>
      <c r="N516" s="510"/>
      <c r="O516" s="773"/>
      <c r="P516" s="773"/>
      <c r="Q516" s="705"/>
      <c r="R516" s="754"/>
      <c r="S516" s="789"/>
      <c r="T516" s="705"/>
      <c r="U516" s="755"/>
    </row>
    <row r="517" ht="26.25" customHeight="1">
      <c r="A517" s="769"/>
      <c r="B517" s="770"/>
      <c r="C517" s="771"/>
      <c r="D517" s="705"/>
      <c r="E517" s="705"/>
      <c r="F517" s="707"/>
      <c r="G517" s="772"/>
      <c r="H517" s="772"/>
      <c r="I517" s="773"/>
      <c r="J517" s="510"/>
      <c r="K517" s="510"/>
      <c r="L517" s="510"/>
      <c r="M517" s="773"/>
      <c r="N517" s="510"/>
      <c r="O517" s="773"/>
      <c r="P517" s="773"/>
      <c r="Q517" s="705"/>
      <c r="R517" s="754"/>
      <c r="S517" s="789"/>
      <c r="T517" s="705"/>
      <c r="U517" s="755"/>
    </row>
    <row r="518" ht="26.25" customHeight="1">
      <c r="A518" s="769"/>
      <c r="B518" s="770"/>
      <c r="C518" s="771"/>
      <c r="D518" s="705"/>
      <c r="E518" s="705"/>
      <c r="F518" s="707"/>
      <c r="G518" s="772"/>
      <c r="H518" s="772"/>
      <c r="I518" s="773"/>
      <c r="J518" s="510"/>
      <c r="K518" s="510"/>
      <c r="L518" s="510"/>
      <c r="M518" s="773"/>
      <c r="N518" s="510"/>
      <c r="O518" s="773"/>
      <c r="P518" s="773"/>
      <c r="Q518" s="705"/>
      <c r="R518" s="754"/>
      <c r="S518" s="789"/>
      <c r="T518" s="705"/>
      <c r="U518" s="755"/>
    </row>
    <row r="519" ht="26.25" customHeight="1">
      <c r="A519" s="769"/>
      <c r="B519" s="770"/>
      <c r="C519" s="771"/>
      <c r="D519" s="705"/>
      <c r="E519" s="705"/>
      <c r="F519" s="707"/>
      <c r="G519" s="772"/>
      <c r="H519" s="772"/>
      <c r="I519" s="773"/>
      <c r="J519" s="510"/>
      <c r="K519" s="510"/>
      <c r="L519" s="510"/>
      <c r="M519" s="773"/>
      <c r="N519" s="510"/>
      <c r="O519" s="773"/>
      <c r="P519" s="773"/>
      <c r="Q519" s="705"/>
      <c r="R519" s="754"/>
      <c r="S519" s="789"/>
      <c r="T519" s="705"/>
      <c r="U519" s="755"/>
    </row>
    <row r="520" ht="26.25" customHeight="1">
      <c r="A520" s="769"/>
      <c r="B520" s="770"/>
      <c r="C520" s="771"/>
      <c r="D520" s="705"/>
      <c r="E520" s="705"/>
      <c r="F520" s="707"/>
      <c r="G520" s="772"/>
      <c r="H520" s="772"/>
      <c r="I520" s="773"/>
      <c r="J520" s="510"/>
      <c r="K520" s="510"/>
      <c r="L520" s="510"/>
      <c r="M520" s="773"/>
      <c r="N520" s="510"/>
      <c r="O520" s="773"/>
      <c r="P520" s="773"/>
      <c r="Q520" s="705"/>
      <c r="R520" s="754"/>
      <c r="S520" s="789"/>
      <c r="T520" s="705"/>
      <c r="U520" s="755"/>
    </row>
    <row r="521" ht="26.25" customHeight="1">
      <c r="A521" s="769"/>
      <c r="B521" s="770"/>
      <c r="C521" s="771"/>
      <c r="D521" s="705"/>
      <c r="E521" s="705"/>
      <c r="F521" s="707"/>
      <c r="G521" s="772"/>
      <c r="H521" s="772"/>
      <c r="I521" s="773"/>
      <c r="J521" s="510"/>
      <c r="K521" s="510"/>
      <c r="L521" s="510"/>
      <c r="M521" s="773"/>
      <c r="N521" s="510"/>
      <c r="O521" s="773"/>
      <c r="P521" s="773"/>
      <c r="Q521" s="705"/>
      <c r="R521" s="754"/>
      <c r="S521" s="789"/>
      <c r="T521" s="705"/>
      <c r="U521" s="755"/>
    </row>
    <row r="522" ht="26.25" customHeight="1">
      <c r="A522" s="769"/>
      <c r="B522" s="770"/>
      <c r="C522" s="771"/>
      <c r="D522" s="705"/>
      <c r="E522" s="705"/>
      <c r="F522" s="707"/>
      <c r="G522" s="772"/>
      <c r="H522" s="772"/>
      <c r="I522" s="773"/>
      <c r="J522" s="510"/>
      <c r="K522" s="510"/>
      <c r="L522" s="510"/>
      <c r="M522" s="773"/>
      <c r="N522" s="510"/>
      <c r="O522" s="773"/>
      <c r="P522" s="773"/>
      <c r="Q522" s="705"/>
      <c r="R522" s="754"/>
      <c r="S522" s="789"/>
      <c r="T522" s="705"/>
      <c r="U522" s="755"/>
    </row>
    <row r="523" ht="26.25" customHeight="1">
      <c r="A523" s="769"/>
      <c r="B523" s="770"/>
      <c r="C523" s="771"/>
      <c r="D523" s="705"/>
      <c r="E523" s="705"/>
      <c r="F523" s="707"/>
      <c r="G523" s="772"/>
      <c r="H523" s="772"/>
      <c r="I523" s="773"/>
      <c r="J523" s="510"/>
      <c r="K523" s="510"/>
      <c r="L523" s="510"/>
      <c r="M523" s="773"/>
      <c r="N523" s="510"/>
      <c r="O523" s="773"/>
      <c r="P523" s="773"/>
      <c r="Q523" s="705"/>
      <c r="R523" s="754"/>
      <c r="S523" s="789"/>
      <c r="T523" s="705"/>
      <c r="U523" s="755"/>
    </row>
    <row r="524" ht="26.25" customHeight="1">
      <c r="A524" s="769"/>
      <c r="B524" s="770"/>
      <c r="C524" s="771"/>
      <c r="D524" s="705"/>
      <c r="E524" s="705"/>
      <c r="F524" s="707"/>
      <c r="G524" s="772"/>
      <c r="H524" s="772"/>
      <c r="I524" s="773"/>
      <c r="J524" s="510"/>
      <c r="K524" s="510"/>
      <c r="L524" s="510"/>
      <c r="M524" s="773"/>
      <c r="N524" s="510"/>
      <c r="O524" s="773"/>
      <c r="P524" s="773"/>
      <c r="Q524" s="705"/>
      <c r="R524" s="754"/>
      <c r="S524" s="789"/>
      <c r="T524" s="705"/>
      <c r="U524" s="755"/>
    </row>
    <row r="525" ht="26.25" customHeight="1">
      <c r="A525" s="769"/>
      <c r="B525" s="770"/>
      <c r="C525" s="771"/>
      <c r="D525" s="705"/>
      <c r="E525" s="705"/>
      <c r="F525" s="707"/>
      <c r="G525" s="772"/>
      <c r="H525" s="772"/>
      <c r="I525" s="773"/>
      <c r="J525" s="510"/>
      <c r="K525" s="510"/>
      <c r="L525" s="510"/>
      <c r="M525" s="773"/>
      <c r="N525" s="510"/>
      <c r="O525" s="773"/>
      <c r="P525" s="773"/>
      <c r="Q525" s="705"/>
      <c r="R525" s="754"/>
      <c r="S525" s="789"/>
      <c r="T525" s="705"/>
      <c r="U525" s="755"/>
    </row>
    <row r="526" ht="26.25" customHeight="1">
      <c r="A526" s="769"/>
      <c r="B526" s="770"/>
      <c r="C526" s="771"/>
      <c r="D526" s="705"/>
      <c r="E526" s="705"/>
      <c r="F526" s="707"/>
      <c r="G526" s="772"/>
      <c r="H526" s="772"/>
      <c r="I526" s="773"/>
      <c r="J526" s="510"/>
      <c r="K526" s="510"/>
      <c r="L526" s="510"/>
      <c r="M526" s="773"/>
      <c r="N526" s="510"/>
      <c r="O526" s="773"/>
      <c r="P526" s="773"/>
      <c r="Q526" s="705"/>
      <c r="R526" s="754"/>
      <c r="S526" s="789"/>
      <c r="T526" s="705"/>
      <c r="U526" s="755"/>
    </row>
    <row r="527" ht="26.25" customHeight="1">
      <c r="A527" s="769"/>
      <c r="B527" s="770"/>
      <c r="C527" s="771"/>
      <c r="D527" s="705"/>
      <c r="E527" s="705"/>
      <c r="F527" s="707"/>
      <c r="G527" s="772"/>
      <c r="H527" s="772"/>
      <c r="I527" s="773"/>
      <c r="J527" s="510"/>
      <c r="K527" s="510"/>
      <c r="L527" s="510"/>
      <c r="M527" s="773"/>
      <c r="N527" s="510"/>
      <c r="O527" s="773"/>
      <c r="P527" s="773"/>
      <c r="Q527" s="705"/>
      <c r="R527" s="754"/>
      <c r="S527" s="789"/>
      <c r="T527" s="705"/>
      <c r="U527" s="755"/>
    </row>
    <row r="528" ht="26.25" customHeight="1">
      <c r="A528" s="769"/>
      <c r="B528" s="770"/>
      <c r="C528" s="771"/>
      <c r="D528" s="705"/>
      <c r="E528" s="705"/>
      <c r="F528" s="707"/>
      <c r="G528" s="772"/>
      <c r="H528" s="772"/>
      <c r="I528" s="773"/>
      <c r="J528" s="510"/>
      <c r="K528" s="510"/>
      <c r="L528" s="510"/>
      <c r="M528" s="773"/>
      <c r="N528" s="510"/>
      <c r="O528" s="773"/>
      <c r="P528" s="773"/>
      <c r="Q528" s="705"/>
      <c r="R528" s="754"/>
      <c r="S528" s="789"/>
      <c r="T528" s="705"/>
      <c r="U528" s="755"/>
    </row>
    <row r="529" ht="26.25" customHeight="1">
      <c r="A529" s="769"/>
      <c r="B529" s="770"/>
      <c r="C529" s="771"/>
      <c r="D529" s="705"/>
      <c r="E529" s="705"/>
      <c r="F529" s="707"/>
      <c r="G529" s="772"/>
      <c r="H529" s="772"/>
      <c r="I529" s="773"/>
      <c r="J529" s="510"/>
      <c r="K529" s="510"/>
      <c r="L529" s="510"/>
      <c r="M529" s="773"/>
      <c r="N529" s="510"/>
      <c r="O529" s="773"/>
      <c r="P529" s="773"/>
      <c r="Q529" s="705"/>
      <c r="R529" s="754"/>
      <c r="S529" s="789"/>
      <c r="T529" s="705"/>
      <c r="U529" s="755"/>
    </row>
    <row r="530" ht="26.25" customHeight="1">
      <c r="A530" s="769"/>
      <c r="B530" s="770"/>
      <c r="C530" s="771"/>
      <c r="D530" s="705"/>
      <c r="E530" s="705"/>
      <c r="F530" s="707"/>
      <c r="G530" s="772"/>
      <c r="H530" s="772"/>
      <c r="I530" s="773"/>
      <c r="J530" s="510"/>
      <c r="K530" s="510"/>
      <c r="L530" s="510"/>
      <c r="M530" s="773"/>
      <c r="N530" s="510"/>
      <c r="O530" s="773"/>
      <c r="P530" s="773"/>
      <c r="Q530" s="705"/>
      <c r="R530" s="754"/>
      <c r="S530" s="789"/>
      <c r="T530" s="705"/>
      <c r="U530" s="755"/>
    </row>
    <row r="531" ht="26.25" customHeight="1">
      <c r="A531" s="769"/>
      <c r="B531" s="770"/>
      <c r="C531" s="771"/>
      <c r="D531" s="705"/>
      <c r="E531" s="705"/>
      <c r="F531" s="707"/>
      <c r="G531" s="772"/>
      <c r="H531" s="772"/>
      <c r="I531" s="773"/>
      <c r="J531" s="510"/>
      <c r="K531" s="510"/>
      <c r="L531" s="510"/>
      <c r="M531" s="773"/>
      <c r="N531" s="510"/>
      <c r="O531" s="773"/>
      <c r="P531" s="773"/>
      <c r="Q531" s="705"/>
      <c r="R531" s="754"/>
      <c r="S531" s="789"/>
      <c r="T531" s="705"/>
      <c r="U531" s="755"/>
    </row>
    <row r="532" ht="26.25" customHeight="1">
      <c r="A532" s="769"/>
      <c r="B532" s="770"/>
      <c r="C532" s="771"/>
      <c r="D532" s="705"/>
      <c r="E532" s="705"/>
      <c r="F532" s="707"/>
      <c r="G532" s="772"/>
      <c r="H532" s="772"/>
      <c r="I532" s="773"/>
      <c r="J532" s="510"/>
      <c r="K532" s="510"/>
      <c r="L532" s="510"/>
      <c r="M532" s="773"/>
      <c r="N532" s="510"/>
      <c r="O532" s="773"/>
      <c r="P532" s="773"/>
      <c r="Q532" s="705"/>
      <c r="R532" s="754"/>
      <c r="S532" s="789"/>
      <c r="T532" s="705"/>
      <c r="U532" s="755"/>
    </row>
    <row r="533" ht="26.25" customHeight="1">
      <c r="A533" s="769"/>
      <c r="B533" s="770"/>
      <c r="C533" s="771"/>
      <c r="D533" s="705"/>
      <c r="E533" s="705"/>
      <c r="F533" s="707"/>
      <c r="G533" s="772"/>
      <c r="H533" s="772"/>
      <c r="I533" s="773"/>
      <c r="J533" s="510"/>
      <c r="K533" s="510"/>
      <c r="L533" s="510"/>
      <c r="M533" s="773"/>
      <c r="N533" s="510"/>
      <c r="O533" s="773"/>
      <c r="P533" s="773"/>
      <c r="Q533" s="705"/>
      <c r="R533" s="754"/>
      <c r="S533" s="789"/>
      <c r="T533" s="705"/>
      <c r="U533" s="755"/>
    </row>
    <row r="534" ht="26.25" customHeight="1">
      <c r="A534" s="769"/>
      <c r="B534" s="770"/>
      <c r="C534" s="771"/>
      <c r="D534" s="705"/>
      <c r="E534" s="705"/>
      <c r="F534" s="707"/>
      <c r="G534" s="772"/>
      <c r="H534" s="772"/>
      <c r="I534" s="773"/>
      <c r="J534" s="510"/>
      <c r="K534" s="510"/>
      <c r="L534" s="510"/>
      <c r="M534" s="773"/>
      <c r="N534" s="510"/>
      <c r="O534" s="773"/>
      <c r="P534" s="773"/>
      <c r="Q534" s="705"/>
      <c r="R534" s="754"/>
      <c r="S534" s="789"/>
      <c r="T534" s="705"/>
      <c r="U534" s="755"/>
    </row>
    <row r="535" ht="26.25" customHeight="1">
      <c r="A535" s="769"/>
      <c r="B535" s="770"/>
      <c r="C535" s="771"/>
      <c r="D535" s="705"/>
      <c r="E535" s="705"/>
      <c r="F535" s="707"/>
      <c r="G535" s="772"/>
      <c r="H535" s="772"/>
      <c r="I535" s="773"/>
      <c r="J535" s="510"/>
      <c r="K535" s="510"/>
      <c r="L535" s="510"/>
      <c r="M535" s="773"/>
      <c r="N535" s="510"/>
      <c r="O535" s="773"/>
      <c r="P535" s="773"/>
      <c r="Q535" s="705"/>
      <c r="R535" s="754"/>
      <c r="S535" s="789"/>
      <c r="T535" s="705"/>
      <c r="U535" s="755"/>
    </row>
    <row r="536" ht="26.25" customHeight="1">
      <c r="A536" s="769"/>
      <c r="B536" s="770"/>
      <c r="C536" s="771"/>
      <c r="D536" s="705"/>
      <c r="E536" s="705"/>
      <c r="F536" s="707"/>
      <c r="G536" s="772"/>
      <c r="H536" s="772"/>
      <c r="I536" s="773"/>
      <c r="J536" s="510"/>
      <c r="K536" s="510"/>
      <c r="L536" s="510"/>
      <c r="M536" s="773"/>
      <c r="N536" s="510"/>
      <c r="O536" s="773"/>
      <c r="P536" s="773"/>
      <c r="Q536" s="705"/>
      <c r="R536" s="754"/>
      <c r="S536" s="789"/>
      <c r="T536" s="705"/>
      <c r="U536" s="755"/>
    </row>
    <row r="537" ht="26.25" customHeight="1">
      <c r="A537" s="769"/>
      <c r="B537" s="770"/>
      <c r="C537" s="771"/>
      <c r="D537" s="705"/>
      <c r="E537" s="705"/>
      <c r="F537" s="707"/>
      <c r="G537" s="772"/>
      <c r="H537" s="772"/>
      <c r="I537" s="773"/>
      <c r="J537" s="510"/>
      <c r="K537" s="510"/>
      <c r="L537" s="510"/>
      <c r="M537" s="773"/>
      <c r="N537" s="510"/>
      <c r="O537" s="773"/>
      <c r="P537" s="773"/>
      <c r="Q537" s="705"/>
      <c r="R537" s="754"/>
      <c r="S537" s="789"/>
      <c r="T537" s="705"/>
      <c r="U537" s="755"/>
    </row>
    <row r="538" ht="26.25" customHeight="1">
      <c r="A538" s="769"/>
      <c r="B538" s="770"/>
      <c r="C538" s="771"/>
      <c r="D538" s="705"/>
      <c r="E538" s="705"/>
      <c r="F538" s="707"/>
      <c r="G538" s="772"/>
      <c r="H538" s="772"/>
      <c r="I538" s="773"/>
      <c r="J538" s="510"/>
      <c r="K538" s="510"/>
      <c r="L538" s="510"/>
      <c r="M538" s="773"/>
      <c r="N538" s="510"/>
      <c r="O538" s="773"/>
      <c r="P538" s="773"/>
      <c r="Q538" s="705"/>
      <c r="R538" s="754"/>
      <c r="S538" s="789"/>
      <c r="T538" s="705"/>
      <c r="U538" s="755"/>
    </row>
    <row r="539" ht="26.25" customHeight="1">
      <c r="A539" s="769"/>
      <c r="B539" s="770"/>
      <c r="C539" s="771"/>
      <c r="D539" s="705"/>
      <c r="E539" s="705"/>
      <c r="F539" s="707"/>
      <c r="G539" s="772"/>
      <c r="H539" s="772"/>
      <c r="I539" s="773"/>
      <c r="J539" s="510"/>
      <c r="K539" s="510"/>
      <c r="L539" s="510"/>
      <c r="M539" s="773"/>
      <c r="N539" s="510"/>
      <c r="O539" s="773"/>
      <c r="P539" s="773"/>
      <c r="Q539" s="705"/>
      <c r="R539" s="754"/>
      <c r="S539" s="789"/>
      <c r="T539" s="705"/>
      <c r="U539" s="755"/>
    </row>
    <row r="540" ht="26.25" customHeight="1">
      <c r="A540" s="769"/>
      <c r="B540" s="770"/>
      <c r="C540" s="771"/>
      <c r="D540" s="705"/>
      <c r="E540" s="705"/>
      <c r="F540" s="707"/>
      <c r="G540" s="772"/>
      <c r="H540" s="772"/>
      <c r="I540" s="773"/>
      <c r="J540" s="510"/>
      <c r="K540" s="510"/>
      <c r="L540" s="510"/>
      <c r="M540" s="773"/>
      <c r="N540" s="510"/>
      <c r="O540" s="773"/>
      <c r="P540" s="773"/>
      <c r="Q540" s="705"/>
      <c r="R540" s="754"/>
      <c r="S540" s="789"/>
      <c r="T540" s="705"/>
      <c r="U540" s="755"/>
    </row>
    <row r="541" ht="26.25" customHeight="1">
      <c r="A541" s="769"/>
      <c r="B541" s="770"/>
      <c r="C541" s="771"/>
      <c r="D541" s="705"/>
      <c r="E541" s="705"/>
      <c r="F541" s="707"/>
      <c r="G541" s="772"/>
      <c r="H541" s="772"/>
      <c r="I541" s="773"/>
      <c r="J541" s="510"/>
      <c r="K541" s="510"/>
      <c r="L541" s="510"/>
      <c r="M541" s="773"/>
      <c r="N541" s="510"/>
      <c r="O541" s="773"/>
      <c r="P541" s="773"/>
      <c r="Q541" s="705"/>
      <c r="R541" s="754"/>
      <c r="S541" s="789"/>
      <c r="T541" s="705"/>
      <c r="U541" s="755"/>
    </row>
    <row r="542" ht="26.25" customHeight="1">
      <c r="A542" s="769"/>
      <c r="B542" s="770"/>
      <c r="C542" s="771"/>
      <c r="D542" s="705"/>
      <c r="E542" s="705"/>
      <c r="F542" s="707"/>
      <c r="G542" s="772"/>
      <c r="H542" s="772"/>
      <c r="I542" s="773"/>
      <c r="J542" s="510"/>
      <c r="K542" s="510"/>
      <c r="L542" s="510"/>
      <c r="M542" s="773"/>
      <c r="N542" s="510"/>
      <c r="O542" s="773"/>
      <c r="P542" s="773"/>
      <c r="Q542" s="705"/>
      <c r="R542" s="754"/>
      <c r="S542" s="789"/>
      <c r="T542" s="705"/>
      <c r="U542" s="755"/>
    </row>
    <row r="543" ht="26.25" customHeight="1">
      <c r="A543" s="769"/>
      <c r="B543" s="770"/>
      <c r="C543" s="771"/>
      <c r="D543" s="705"/>
      <c r="E543" s="705"/>
      <c r="F543" s="707"/>
      <c r="G543" s="772"/>
      <c r="H543" s="772"/>
      <c r="I543" s="773"/>
      <c r="J543" s="510"/>
      <c r="K543" s="510"/>
      <c r="L543" s="510"/>
      <c r="M543" s="773"/>
      <c r="N543" s="510"/>
      <c r="O543" s="773"/>
      <c r="P543" s="773"/>
      <c r="Q543" s="705"/>
      <c r="R543" s="754"/>
      <c r="S543" s="789"/>
      <c r="T543" s="705"/>
      <c r="U543" s="755"/>
    </row>
    <row r="544" ht="26.25" customHeight="1">
      <c r="A544" s="769"/>
      <c r="B544" s="770"/>
      <c r="C544" s="771"/>
      <c r="D544" s="705"/>
      <c r="E544" s="705"/>
      <c r="F544" s="707"/>
      <c r="G544" s="772"/>
      <c r="H544" s="772"/>
      <c r="I544" s="773"/>
      <c r="J544" s="510"/>
      <c r="K544" s="510"/>
      <c r="L544" s="510"/>
      <c r="M544" s="773"/>
      <c r="N544" s="510"/>
      <c r="O544" s="773"/>
      <c r="P544" s="773"/>
      <c r="Q544" s="705"/>
      <c r="R544" s="754"/>
      <c r="S544" s="789"/>
      <c r="T544" s="705"/>
      <c r="U544" s="755"/>
    </row>
    <row r="545" ht="26.25" customHeight="1">
      <c r="A545" s="769"/>
      <c r="B545" s="770"/>
      <c r="C545" s="771"/>
      <c r="D545" s="705"/>
      <c r="E545" s="705"/>
      <c r="F545" s="707"/>
      <c r="G545" s="772"/>
      <c r="H545" s="772"/>
      <c r="I545" s="773"/>
      <c r="J545" s="510"/>
      <c r="K545" s="510"/>
      <c r="L545" s="510"/>
      <c r="M545" s="773"/>
      <c r="N545" s="510"/>
      <c r="O545" s="773"/>
      <c r="P545" s="773"/>
      <c r="Q545" s="705"/>
      <c r="R545" s="754"/>
      <c r="S545" s="789"/>
      <c r="T545" s="705"/>
      <c r="U545" s="755"/>
    </row>
    <row r="546" ht="26.25" customHeight="1">
      <c r="A546" s="769"/>
      <c r="B546" s="770"/>
      <c r="C546" s="771"/>
      <c r="D546" s="705"/>
      <c r="E546" s="705"/>
      <c r="F546" s="707"/>
      <c r="G546" s="772"/>
      <c r="H546" s="772"/>
      <c r="I546" s="773"/>
      <c r="J546" s="510"/>
      <c r="K546" s="510"/>
      <c r="L546" s="510"/>
      <c r="M546" s="773"/>
      <c r="N546" s="510"/>
      <c r="O546" s="773"/>
      <c r="P546" s="773"/>
      <c r="Q546" s="705"/>
      <c r="R546" s="754"/>
      <c r="S546" s="789"/>
      <c r="T546" s="705"/>
      <c r="U546" s="755"/>
    </row>
    <row r="547" ht="26.25" customHeight="1">
      <c r="A547" s="769"/>
      <c r="B547" s="770"/>
      <c r="C547" s="771"/>
      <c r="D547" s="705"/>
      <c r="E547" s="705"/>
      <c r="F547" s="707"/>
      <c r="G547" s="772"/>
      <c r="H547" s="772"/>
      <c r="I547" s="773"/>
      <c r="J547" s="510"/>
      <c r="K547" s="510"/>
      <c r="L547" s="510"/>
      <c r="M547" s="773"/>
      <c r="N547" s="510"/>
      <c r="O547" s="773"/>
      <c r="P547" s="773"/>
      <c r="Q547" s="705"/>
      <c r="R547" s="754"/>
      <c r="S547" s="789"/>
      <c r="T547" s="705"/>
      <c r="U547" s="755"/>
    </row>
    <row r="548" ht="26.25" customHeight="1">
      <c r="A548" s="769"/>
      <c r="B548" s="770"/>
      <c r="C548" s="771"/>
      <c r="D548" s="705"/>
      <c r="E548" s="705"/>
      <c r="F548" s="707"/>
      <c r="G548" s="772"/>
      <c r="H548" s="772"/>
      <c r="I548" s="773"/>
      <c r="J548" s="510"/>
      <c r="K548" s="510"/>
      <c r="L548" s="510"/>
      <c r="M548" s="773"/>
      <c r="N548" s="510"/>
      <c r="O548" s="773"/>
      <c r="P548" s="773"/>
      <c r="Q548" s="705"/>
      <c r="R548" s="754"/>
      <c r="S548" s="789"/>
      <c r="T548" s="705"/>
      <c r="U548" s="755"/>
    </row>
    <row r="549" ht="26.25" customHeight="1">
      <c r="A549" s="769"/>
      <c r="B549" s="770"/>
      <c r="C549" s="771"/>
      <c r="D549" s="705"/>
      <c r="E549" s="705"/>
      <c r="F549" s="707"/>
      <c r="G549" s="772"/>
      <c r="H549" s="772"/>
      <c r="I549" s="773"/>
      <c r="J549" s="510"/>
      <c r="K549" s="510"/>
      <c r="L549" s="510"/>
      <c r="M549" s="773"/>
      <c r="N549" s="510"/>
      <c r="O549" s="773"/>
      <c r="P549" s="773"/>
      <c r="Q549" s="705"/>
      <c r="R549" s="754"/>
      <c r="S549" s="789"/>
      <c r="T549" s="705"/>
      <c r="U549" s="755"/>
    </row>
    <row r="550" ht="26.25" customHeight="1">
      <c r="A550" s="769"/>
      <c r="B550" s="770"/>
      <c r="C550" s="771"/>
      <c r="D550" s="705"/>
      <c r="E550" s="705"/>
      <c r="F550" s="707"/>
      <c r="G550" s="772"/>
      <c r="H550" s="772"/>
      <c r="I550" s="773"/>
      <c r="J550" s="510"/>
      <c r="K550" s="510"/>
      <c r="L550" s="510"/>
      <c r="M550" s="773"/>
      <c r="N550" s="510"/>
      <c r="O550" s="773"/>
      <c r="P550" s="773"/>
      <c r="Q550" s="705"/>
      <c r="R550" s="754"/>
      <c r="S550" s="789"/>
      <c r="T550" s="705"/>
      <c r="U550" s="755"/>
    </row>
    <row r="551" ht="26.25" customHeight="1">
      <c r="A551" s="769"/>
      <c r="B551" s="770"/>
      <c r="C551" s="771"/>
      <c r="D551" s="705"/>
      <c r="E551" s="705"/>
      <c r="F551" s="707"/>
      <c r="G551" s="772"/>
      <c r="H551" s="772"/>
      <c r="I551" s="773"/>
      <c r="J551" s="510"/>
      <c r="K551" s="510"/>
      <c r="L551" s="510"/>
      <c r="M551" s="773"/>
      <c r="N551" s="510"/>
      <c r="O551" s="773"/>
      <c r="P551" s="773"/>
      <c r="Q551" s="705"/>
      <c r="R551" s="754"/>
      <c r="S551" s="789"/>
      <c r="T551" s="705"/>
      <c r="U551" s="755"/>
    </row>
    <row r="552" ht="26.25" customHeight="1">
      <c r="A552" s="769"/>
      <c r="B552" s="770"/>
      <c r="C552" s="771"/>
      <c r="D552" s="705"/>
      <c r="E552" s="705"/>
      <c r="F552" s="707"/>
      <c r="G552" s="772"/>
      <c r="H552" s="772"/>
      <c r="I552" s="773"/>
      <c r="J552" s="510"/>
      <c r="K552" s="510"/>
      <c r="L552" s="510"/>
      <c r="M552" s="773"/>
      <c r="N552" s="510"/>
      <c r="O552" s="773"/>
      <c r="P552" s="773"/>
      <c r="Q552" s="705"/>
      <c r="R552" s="754"/>
      <c r="S552" s="789"/>
      <c r="T552" s="705"/>
      <c r="U552" s="755"/>
    </row>
    <row r="553" ht="26.25" customHeight="1">
      <c r="A553" s="769"/>
      <c r="B553" s="770"/>
      <c r="C553" s="771"/>
      <c r="D553" s="705"/>
      <c r="E553" s="705"/>
      <c r="F553" s="707"/>
      <c r="G553" s="772"/>
      <c r="H553" s="772"/>
      <c r="I553" s="773"/>
      <c r="J553" s="510"/>
      <c r="K553" s="510"/>
      <c r="L553" s="510"/>
      <c r="M553" s="773"/>
      <c r="N553" s="510"/>
      <c r="O553" s="773"/>
      <c r="P553" s="773"/>
      <c r="Q553" s="705"/>
      <c r="R553" s="754"/>
      <c r="S553" s="789"/>
      <c r="T553" s="705"/>
      <c r="U553" s="755"/>
    </row>
    <row r="554" ht="26.25" customHeight="1">
      <c r="A554" s="769"/>
      <c r="B554" s="770"/>
      <c r="C554" s="771"/>
      <c r="D554" s="705"/>
      <c r="E554" s="705"/>
      <c r="F554" s="707"/>
      <c r="G554" s="772"/>
      <c r="H554" s="772"/>
      <c r="I554" s="773"/>
      <c r="J554" s="510"/>
      <c r="K554" s="510"/>
      <c r="L554" s="510"/>
      <c r="M554" s="773"/>
      <c r="N554" s="510"/>
      <c r="O554" s="773"/>
      <c r="P554" s="773"/>
      <c r="Q554" s="705"/>
      <c r="R554" s="754"/>
      <c r="S554" s="789"/>
      <c r="T554" s="705"/>
      <c r="U554" s="755"/>
    </row>
    <row r="555" ht="26.25" customHeight="1">
      <c r="A555" s="769"/>
      <c r="B555" s="770"/>
      <c r="C555" s="771"/>
      <c r="D555" s="705"/>
      <c r="E555" s="705"/>
      <c r="F555" s="707"/>
      <c r="G555" s="772"/>
      <c r="H555" s="772"/>
      <c r="I555" s="773"/>
      <c r="J555" s="510"/>
      <c r="K555" s="510"/>
      <c r="L555" s="510"/>
      <c r="M555" s="773"/>
      <c r="N555" s="510"/>
      <c r="O555" s="773"/>
      <c r="P555" s="773"/>
      <c r="Q555" s="705"/>
      <c r="R555" s="754"/>
      <c r="S555" s="789"/>
      <c r="T555" s="705"/>
      <c r="U555" s="755"/>
    </row>
    <row r="556" ht="26.25" customHeight="1">
      <c r="A556" s="769"/>
      <c r="B556" s="770"/>
      <c r="C556" s="771"/>
      <c r="D556" s="705"/>
      <c r="E556" s="705"/>
      <c r="F556" s="707"/>
      <c r="G556" s="772"/>
      <c r="H556" s="772"/>
      <c r="I556" s="773"/>
      <c r="J556" s="510"/>
      <c r="K556" s="510"/>
      <c r="L556" s="510"/>
      <c r="M556" s="773"/>
      <c r="N556" s="510"/>
      <c r="O556" s="773"/>
      <c r="P556" s="773"/>
      <c r="Q556" s="705"/>
      <c r="R556" s="754"/>
      <c r="S556" s="789"/>
      <c r="T556" s="705"/>
      <c r="U556" s="755"/>
    </row>
    <row r="557" ht="26.25" customHeight="1">
      <c r="A557" s="769"/>
      <c r="B557" s="770"/>
      <c r="C557" s="771"/>
      <c r="D557" s="705"/>
      <c r="E557" s="705"/>
      <c r="F557" s="707"/>
      <c r="G557" s="772"/>
      <c r="H557" s="772"/>
      <c r="I557" s="773"/>
      <c r="J557" s="510"/>
      <c r="K557" s="510"/>
      <c r="L557" s="510"/>
      <c r="M557" s="773"/>
      <c r="N557" s="510"/>
      <c r="O557" s="773"/>
      <c r="P557" s="773"/>
      <c r="Q557" s="705"/>
      <c r="R557" s="754"/>
      <c r="S557" s="789"/>
      <c r="T557" s="705"/>
      <c r="U557" s="755"/>
    </row>
    <row r="558" ht="26.25" customHeight="1">
      <c r="A558" s="769"/>
      <c r="B558" s="770"/>
      <c r="C558" s="771"/>
      <c r="D558" s="705"/>
      <c r="E558" s="705"/>
      <c r="F558" s="707"/>
      <c r="G558" s="772"/>
      <c r="H558" s="772"/>
      <c r="I558" s="773"/>
      <c r="J558" s="510"/>
      <c r="K558" s="510"/>
      <c r="L558" s="510"/>
      <c r="M558" s="773"/>
      <c r="N558" s="510"/>
      <c r="O558" s="773"/>
      <c r="P558" s="773"/>
      <c r="Q558" s="705"/>
      <c r="R558" s="754"/>
      <c r="S558" s="789"/>
      <c r="T558" s="705"/>
      <c r="U558" s="755"/>
    </row>
    <row r="559" ht="26.25" customHeight="1">
      <c r="A559" s="769"/>
      <c r="B559" s="770"/>
      <c r="C559" s="771"/>
      <c r="D559" s="705"/>
      <c r="E559" s="705"/>
      <c r="F559" s="707"/>
      <c r="G559" s="772"/>
      <c r="H559" s="772"/>
      <c r="I559" s="773"/>
      <c r="J559" s="510"/>
      <c r="K559" s="510"/>
      <c r="L559" s="510"/>
      <c r="M559" s="773"/>
      <c r="N559" s="510"/>
      <c r="O559" s="773"/>
      <c r="P559" s="773"/>
      <c r="Q559" s="705"/>
      <c r="R559" s="754"/>
      <c r="S559" s="789"/>
      <c r="T559" s="705"/>
      <c r="U559" s="755"/>
    </row>
    <row r="560" ht="26.25" customHeight="1">
      <c r="A560" s="769"/>
      <c r="B560" s="770"/>
      <c r="C560" s="771"/>
      <c r="D560" s="705"/>
      <c r="E560" s="705"/>
      <c r="F560" s="707"/>
      <c r="G560" s="772"/>
      <c r="H560" s="772"/>
      <c r="I560" s="773"/>
      <c r="J560" s="510"/>
      <c r="K560" s="510"/>
      <c r="L560" s="510"/>
      <c r="M560" s="773"/>
      <c r="N560" s="510"/>
      <c r="O560" s="773"/>
      <c r="P560" s="773"/>
      <c r="Q560" s="705"/>
      <c r="R560" s="754"/>
      <c r="S560" s="789"/>
      <c r="T560" s="705"/>
      <c r="U560" s="755"/>
    </row>
    <row r="561" ht="26.25" customHeight="1">
      <c r="A561" s="769"/>
      <c r="B561" s="770"/>
      <c r="C561" s="771"/>
      <c r="D561" s="705"/>
      <c r="E561" s="705"/>
      <c r="F561" s="707"/>
      <c r="G561" s="772"/>
      <c r="H561" s="772"/>
      <c r="I561" s="773"/>
      <c r="J561" s="510"/>
      <c r="K561" s="510"/>
      <c r="L561" s="510"/>
      <c r="M561" s="773"/>
      <c r="N561" s="510"/>
      <c r="O561" s="773"/>
      <c r="P561" s="773"/>
      <c r="Q561" s="705"/>
      <c r="R561" s="754"/>
      <c r="S561" s="789"/>
      <c r="T561" s="705"/>
      <c r="U561" s="755"/>
    </row>
    <row r="562" ht="26.25" customHeight="1">
      <c r="A562" s="769"/>
      <c r="B562" s="770"/>
      <c r="C562" s="771"/>
      <c r="D562" s="705"/>
      <c r="E562" s="705"/>
      <c r="F562" s="707"/>
      <c r="G562" s="772"/>
      <c r="H562" s="772"/>
      <c r="I562" s="773"/>
      <c r="J562" s="510"/>
      <c r="K562" s="510"/>
      <c r="L562" s="510"/>
      <c r="M562" s="773"/>
      <c r="N562" s="510"/>
      <c r="O562" s="773"/>
      <c r="P562" s="773"/>
      <c r="Q562" s="705"/>
      <c r="R562" s="754"/>
      <c r="S562" s="789"/>
      <c r="T562" s="705"/>
      <c r="U562" s="755"/>
    </row>
    <row r="563" ht="26.25" customHeight="1">
      <c r="A563" s="769"/>
      <c r="B563" s="770"/>
      <c r="C563" s="771"/>
      <c r="D563" s="705"/>
      <c r="E563" s="705"/>
      <c r="F563" s="707"/>
      <c r="G563" s="772"/>
      <c r="H563" s="772"/>
      <c r="I563" s="773"/>
      <c r="J563" s="510"/>
      <c r="K563" s="510"/>
      <c r="L563" s="510"/>
      <c r="M563" s="773"/>
      <c r="N563" s="510"/>
      <c r="O563" s="773"/>
      <c r="P563" s="773"/>
      <c r="Q563" s="705"/>
      <c r="R563" s="754"/>
      <c r="S563" s="789"/>
      <c r="T563" s="705"/>
      <c r="U563" s="755"/>
    </row>
    <row r="564" ht="26.25" customHeight="1">
      <c r="A564" s="769"/>
      <c r="B564" s="770"/>
      <c r="C564" s="771"/>
      <c r="D564" s="705"/>
      <c r="E564" s="705"/>
      <c r="F564" s="707"/>
      <c r="G564" s="772"/>
      <c r="H564" s="772"/>
      <c r="I564" s="773"/>
      <c r="J564" s="510"/>
      <c r="K564" s="510"/>
      <c r="L564" s="510"/>
      <c r="M564" s="773"/>
      <c r="N564" s="510"/>
      <c r="O564" s="773"/>
      <c r="P564" s="773"/>
      <c r="Q564" s="705"/>
      <c r="R564" s="754"/>
      <c r="S564" s="789"/>
      <c r="T564" s="705"/>
      <c r="U564" s="755"/>
    </row>
    <row r="565" ht="26.25" customHeight="1">
      <c r="A565" s="769"/>
      <c r="B565" s="770"/>
      <c r="C565" s="771"/>
      <c r="D565" s="705"/>
      <c r="E565" s="705"/>
      <c r="F565" s="707"/>
      <c r="G565" s="772"/>
      <c r="H565" s="772"/>
      <c r="I565" s="773"/>
      <c r="J565" s="510"/>
      <c r="K565" s="510"/>
      <c r="L565" s="510"/>
      <c r="M565" s="773"/>
      <c r="N565" s="510"/>
      <c r="O565" s="773"/>
      <c r="P565" s="773"/>
      <c r="Q565" s="705"/>
      <c r="R565" s="754"/>
      <c r="S565" s="789"/>
      <c r="T565" s="705"/>
      <c r="U565" s="755"/>
    </row>
    <row r="566" ht="26.25" customHeight="1">
      <c r="A566" s="769"/>
      <c r="B566" s="770"/>
      <c r="C566" s="771"/>
      <c r="D566" s="705"/>
      <c r="E566" s="705"/>
      <c r="F566" s="707"/>
      <c r="G566" s="772"/>
      <c r="H566" s="772"/>
      <c r="I566" s="773"/>
      <c r="J566" s="510"/>
      <c r="K566" s="510"/>
      <c r="L566" s="510"/>
      <c r="M566" s="773"/>
      <c r="N566" s="510"/>
      <c r="O566" s="773"/>
      <c r="P566" s="773"/>
      <c r="Q566" s="705"/>
      <c r="R566" s="754"/>
      <c r="S566" s="789"/>
      <c r="T566" s="705"/>
      <c r="U566" s="755"/>
    </row>
    <row r="567" ht="26.25" customHeight="1">
      <c r="A567" s="769"/>
      <c r="B567" s="770"/>
      <c r="C567" s="771"/>
      <c r="D567" s="705"/>
      <c r="E567" s="705"/>
      <c r="F567" s="707"/>
      <c r="G567" s="772"/>
      <c r="H567" s="772"/>
      <c r="I567" s="773"/>
      <c r="J567" s="510"/>
      <c r="K567" s="510"/>
      <c r="L567" s="510"/>
      <c r="M567" s="773"/>
      <c r="N567" s="510"/>
      <c r="O567" s="773"/>
      <c r="P567" s="773"/>
      <c r="Q567" s="705"/>
      <c r="R567" s="754"/>
      <c r="S567" s="789"/>
      <c r="T567" s="705"/>
      <c r="U567" s="755"/>
    </row>
    <row r="568" ht="26.25" customHeight="1">
      <c r="A568" s="769"/>
      <c r="B568" s="770"/>
      <c r="C568" s="771"/>
      <c r="D568" s="705"/>
      <c r="E568" s="705"/>
      <c r="F568" s="707"/>
      <c r="G568" s="772"/>
      <c r="H568" s="772"/>
      <c r="I568" s="773"/>
      <c r="J568" s="510"/>
      <c r="K568" s="510"/>
      <c r="L568" s="510"/>
      <c r="M568" s="773"/>
      <c r="N568" s="510"/>
      <c r="O568" s="773"/>
      <c r="P568" s="773"/>
      <c r="Q568" s="705"/>
      <c r="R568" s="754"/>
      <c r="S568" s="789"/>
      <c r="T568" s="705"/>
      <c r="U568" s="755"/>
    </row>
    <row r="569" ht="26.25" customHeight="1">
      <c r="A569" s="769"/>
      <c r="B569" s="770"/>
      <c r="C569" s="771"/>
      <c r="D569" s="705"/>
      <c r="E569" s="705"/>
      <c r="F569" s="707"/>
      <c r="G569" s="772"/>
      <c r="H569" s="772"/>
      <c r="I569" s="773"/>
      <c r="J569" s="510"/>
      <c r="K569" s="510"/>
      <c r="L569" s="510"/>
      <c r="M569" s="773"/>
      <c r="N569" s="510"/>
      <c r="O569" s="773"/>
      <c r="P569" s="773"/>
      <c r="Q569" s="705"/>
      <c r="R569" s="754"/>
      <c r="S569" s="789"/>
      <c r="T569" s="705"/>
      <c r="U569" s="755"/>
    </row>
    <row r="570" ht="26.25" customHeight="1">
      <c r="A570" s="769"/>
      <c r="B570" s="770"/>
      <c r="C570" s="771"/>
      <c r="D570" s="705"/>
      <c r="E570" s="705"/>
      <c r="F570" s="707"/>
      <c r="G570" s="772"/>
      <c r="H570" s="772"/>
      <c r="I570" s="773"/>
      <c r="J570" s="510"/>
      <c r="K570" s="510"/>
      <c r="L570" s="510"/>
      <c r="M570" s="773"/>
      <c r="N570" s="510"/>
      <c r="O570" s="773"/>
      <c r="P570" s="773"/>
      <c r="Q570" s="705"/>
      <c r="R570" s="754"/>
      <c r="S570" s="789"/>
      <c r="T570" s="705"/>
      <c r="U570" s="755"/>
    </row>
    <row r="571" ht="26.25" customHeight="1">
      <c r="A571" s="769"/>
      <c r="B571" s="770"/>
      <c r="C571" s="771"/>
      <c r="D571" s="705"/>
      <c r="E571" s="705"/>
      <c r="F571" s="707"/>
      <c r="G571" s="772"/>
      <c r="H571" s="772"/>
      <c r="I571" s="773"/>
      <c r="J571" s="510"/>
      <c r="K571" s="510"/>
      <c r="L571" s="510"/>
      <c r="M571" s="773"/>
      <c r="N571" s="510"/>
      <c r="O571" s="773"/>
      <c r="P571" s="773"/>
      <c r="Q571" s="705"/>
      <c r="R571" s="754"/>
      <c r="S571" s="789"/>
      <c r="T571" s="705"/>
      <c r="U571" s="755"/>
    </row>
    <row r="572" ht="26.25" customHeight="1">
      <c r="A572" s="769"/>
      <c r="B572" s="770"/>
      <c r="C572" s="771"/>
      <c r="D572" s="705"/>
      <c r="E572" s="705"/>
      <c r="F572" s="707"/>
      <c r="G572" s="772"/>
      <c r="H572" s="772"/>
      <c r="I572" s="773"/>
      <c r="J572" s="510"/>
      <c r="K572" s="510"/>
      <c r="L572" s="510"/>
      <c r="M572" s="773"/>
      <c r="N572" s="510"/>
      <c r="O572" s="773"/>
      <c r="P572" s="773"/>
      <c r="Q572" s="705"/>
      <c r="R572" s="754"/>
      <c r="S572" s="789"/>
      <c r="T572" s="705"/>
      <c r="U572" s="755"/>
    </row>
    <row r="573" ht="26.25" customHeight="1">
      <c r="A573" s="769"/>
      <c r="B573" s="770"/>
      <c r="C573" s="771"/>
      <c r="D573" s="705"/>
      <c r="E573" s="705"/>
      <c r="F573" s="707"/>
      <c r="G573" s="772"/>
      <c r="H573" s="772"/>
      <c r="I573" s="773"/>
      <c r="J573" s="510"/>
      <c r="K573" s="510"/>
      <c r="L573" s="510"/>
      <c r="M573" s="773"/>
      <c r="N573" s="510"/>
      <c r="O573" s="773"/>
      <c r="P573" s="773"/>
      <c r="Q573" s="705"/>
      <c r="R573" s="754"/>
      <c r="S573" s="789"/>
      <c r="T573" s="705"/>
      <c r="U573" s="755"/>
    </row>
    <row r="574" ht="26.25" customHeight="1">
      <c r="A574" s="769"/>
      <c r="B574" s="770"/>
      <c r="C574" s="771"/>
      <c r="D574" s="705"/>
      <c r="E574" s="705"/>
      <c r="F574" s="707"/>
      <c r="G574" s="772"/>
      <c r="H574" s="772"/>
      <c r="I574" s="773"/>
      <c r="J574" s="510"/>
      <c r="K574" s="510"/>
      <c r="L574" s="510"/>
      <c r="M574" s="773"/>
      <c r="N574" s="510"/>
      <c r="O574" s="773"/>
      <c r="P574" s="773"/>
      <c r="Q574" s="705"/>
      <c r="R574" s="754"/>
      <c r="S574" s="789"/>
      <c r="T574" s="705"/>
      <c r="U574" s="755"/>
    </row>
    <row r="575" ht="26.25" customHeight="1">
      <c r="A575" s="769"/>
      <c r="B575" s="770"/>
      <c r="C575" s="771"/>
      <c r="D575" s="705"/>
      <c r="E575" s="705"/>
      <c r="F575" s="707"/>
      <c r="G575" s="772"/>
      <c r="H575" s="772"/>
      <c r="I575" s="773"/>
      <c r="J575" s="510"/>
      <c r="K575" s="510"/>
      <c r="L575" s="510"/>
      <c r="M575" s="773"/>
      <c r="N575" s="510"/>
      <c r="O575" s="773"/>
      <c r="P575" s="773"/>
      <c r="Q575" s="705"/>
      <c r="R575" s="754"/>
      <c r="S575" s="789"/>
      <c r="T575" s="705"/>
      <c r="U575" s="755"/>
    </row>
    <row r="576" ht="26.25" customHeight="1">
      <c r="A576" s="769"/>
      <c r="B576" s="770"/>
      <c r="C576" s="771"/>
      <c r="D576" s="705"/>
      <c r="E576" s="705"/>
      <c r="F576" s="707"/>
      <c r="G576" s="772"/>
      <c r="H576" s="772"/>
      <c r="I576" s="773"/>
      <c r="J576" s="510"/>
      <c r="K576" s="510"/>
      <c r="L576" s="510"/>
      <c r="M576" s="773"/>
      <c r="N576" s="510"/>
      <c r="O576" s="773"/>
      <c r="P576" s="773"/>
      <c r="Q576" s="705"/>
      <c r="R576" s="754"/>
      <c r="S576" s="789"/>
      <c r="T576" s="705"/>
      <c r="U576" s="755"/>
    </row>
    <row r="577" ht="26.25" customHeight="1">
      <c r="A577" s="769"/>
      <c r="B577" s="770"/>
      <c r="C577" s="771"/>
      <c r="D577" s="705"/>
      <c r="E577" s="705"/>
      <c r="F577" s="707"/>
      <c r="G577" s="772"/>
      <c r="H577" s="772"/>
      <c r="I577" s="773"/>
      <c r="J577" s="510"/>
      <c r="K577" s="510"/>
      <c r="L577" s="510"/>
      <c r="M577" s="773"/>
      <c r="N577" s="510"/>
      <c r="O577" s="773"/>
      <c r="P577" s="773"/>
      <c r="Q577" s="705"/>
      <c r="R577" s="754"/>
      <c r="S577" s="789"/>
      <c r="T577" s="705"/>
      <c r="U577" s="755"/>
    </row>
    <row r="578" ht="26.25" customHeight="1">
      <c r="A578" s="769"/>
      <c r="B578" s="770"/>
      <c r="C578" s="771"/>
      <c r="D578" s="705"/>
      <c r="E578" s="705"/>
      <c r="F578" s="707"/>
      <c r="G578" s="772"/>
      <c r="H578" s="772"/>
      <c r="I578" s="773"/>
      <c r="J578" s="510"/>
      <c r="K578" s="510"/>
      <c r="L578" s="510"/>
      <c r="M578" s="773"/>
      <c r="N578" s="510"/>
      <c r="O578" s="773"/>
      <c r="P578" s="773"/>
      <c r="Q578" s="705"/>
      <c r="R578" s="754"/>
      <c r="S578" s="789"/>
      <c r="T578" s="705"/>
      <c r="U578" s="755"/>
    </row>
    <row r="579" ht="26.25" customHeight="1">
      <c r="A579" s="769"/>
      <c r="B579" s="770"/>
      <c r="C579" s="771"/>
      <c r="D579" s="705"/>
      <c r="E579" s="705"/>
      <c r="F579" s="707"/>
      <c r="G579" s="772"/>
      <c r="H579" s="772"/>
      <c r="I579" s="773"/>
      <c r="J579" s="510"/>
      <c r="K579" s="510"/>
      <c r="L579" s="510"/>
      <c r="M579" s="773"/>
      <c r="N579" s="510"/>
      <c r="O579" s="773"/>
      <c r="P579" s="773"/>
      <c r="Q579" s="705"/>
      <c r="R579" s="754"/>
      <c r="S579" s="789"/>
      <c r="T579" s="705"/>
      <c r="U579" s="755"/>
    </row>
    <row r="580" ht="26.25" customHeight="1">
      <c r="A580" s="769"/>
      <c r="B580" s="770"/>
      <c r="C580" s="771"/>
      <c r="D580" s="705"/>
      <c r="E580" s="705"/>
      <c r="F580" s="707"/>
      <c r="G580" s="772"/>
      <c r="H580" s="772"/>
      <c r="I580" s="773"/>
      <c r="J580" s="510"/>
      <c r="K580" s="510"/>
      <c r="L580" s="510"/>
      <c r="M580" s="773"/>
      <c r="N580" s="510"/>
      <c r="O580" s="773"/>
      <c r="P580" s="773"/>
      <c r="Q580" s="705"/>
      <c r="R580" s="754"/>
      <c r="S580" s="789"/>
      <c r="T580" s="705"/>
      <c r="U580" s="755"/>
    </row>
    <row r="581" ht="26.25" customHeight="1">
      <c r="A581" s="769"/>
      <c r="B581" s="770"/>
      <c r="C581" s="771"/>
      <c r="D581" s="705"/>
      <c r="E581" s="705"/>
      <c r="F581" s="707"/>
      <c r="G581" s="772"/>
      <c r="H581" s="772"/>
      <c r="I581" s="773"/>
      <c r="J581" s="510"/>
      <c r="K581" s="510"/>
      <c r="L581" s="510"/>
      <c r="M581" s="773"/>
      <c r="N581" s="510"/>
      <c r="O581" s="773"/>
      <c r="P581" s="773"/>
      <c r="Q581" s="705"/>
      <c r="R581" s="754"/>
      <c r="S581" s="789"/>
      <c r="T581" s="705"/>
      <c r="U581" s="755"/>
    </row>
    <row r="582" ht="26.25" customHeight="1">
      <c r="A582" s="769"/>
      <c r="B582" s="770"/>
      <c r="C582" s="771"/>
      <c r="D582" s="705"/>
      <c r="E582" s="705"/>
      <c r="F582" s="707"/>
      <c r="G582" s="772"/>
      <c r="H582" s="772"/>
      <c r="I582" s="773"/>
      <c r="J582" s="510"/>
      <c r="K582" s="510"/>
      <c r="L582" s="510"/>
      <c r="M582" s="773"/>
      <c r="N582" s="510"/>
      <c r="O582" s="773"/>
      <c r="P582" s="773"/>
      <c r="Q582" s="705"/>
      <c r="R582" s="754"/>
      <c r="S582" s="789"/>
      <c r="T582" s="705"/>
      <c r="U582" s="755"/>
    </row>
    <row r="583" ht="26.25" customHeight="1">
      <c r="A583" s="769"/>
      <c r="B583" s="770"/>
      <c r="C583" s="771"/>
      <c r="D583" s="705"/>
      <c r="E583" s="705"/>
      <c r="F583" s="707"/>
      <c r="G583" s="772"/>
      <c r="H583" s="772"/>
      <c r="I583" s="773"/>
      <c r="J583" s="510"/>
      <c r="K583" s="510"/>
      <c r="L583" s="510"/>
      <c r="M583" s="773"/>
      <c r="N583" s="510"/>
      <c r="O583" s="773"/>
      <c r="P583" s="773"/>
      <c r="Q583" s="705"/>
      <c r="R583" s="754"/>
      <c r="S583" s="789"/>
      <c r="T583" s="705"/>
      <c r="U583" s="755"/>
    </row>
    <row r="584" ht="26.25" customHeight="1">
      <c r="A584" s="769"/>
      <c r="B584" s="770"/>
      <c r="C584" s="771"/>
      <c r="D584" s="705"/>
      <c r="E584" s="705"/>
      <c r="F584" s="707"/>
      <c r="G584" s="772"/>
      <c r="H584" s="772"/>
      <c r="I584" s="773"/>
      <c r="J584" s="510"/>
      <c r="K584" s="510"/>
      <c r="L584" s="510"/>
      <c r="M584" s="773"/>
      <c r="N584" s="510"/>
      <c r="O584" s="773"/>
      <c r="P584" s="773"/>
      <c r="Q584" s="705"/>
      <c r="R584" s="754"/>
      <c r="S584" s="789"/>
      <c r="T584" s="705"/>
      <c r="U584" s="755"/>
    </row>
    <row r="585" ht="26.25" customHeight="1">
      <c r="A585" s="769"/>
      <c r="B585" s="770"/>
      <c r="C585" s="771"/>
      <c r="D585" s="705"/>
      <c r="E585" s="705"/>
      <c r="F585" s="707"/>
      <c r="G585" s="772"/>
      <c r="H585" s="772"/>
      <c r="I585" s="773"/>
      <c r="J585" s="510"/>
      <c r="K585" s="510"/>
      <c r="L585" s="510"/>
      <c r="M585" s="773"/>
      <c r="N585" s="510"/>
      <c r="O585" s="773"/>
      <c r="P585" s="773"/>
      <c r="Q585" s="705"/>
      <c r="R585" s="754"/>
      <c r="S585" s="789"/>
      <c r="T585" s="705"/>
      <c r="U585" s="755"/>
    </row>
    <row r="586" ht="26.25" customHeight="1">
      <c r="A586" s="769"/>
      <c r="B586" s="770"/>
      <c r="C586" s="771"/>
      <c r="D586" s="705"/>
      <c r="E586" s="705"/>
      <c r="F586" s="707"/>
      <c r="G586" s="772"/>
      <c r="H586" s="772"/>
      <c r="I586" s="773"/>
      <c r="J586" s="510"/>
      <c r="K586" s="510"/>
      <c r="L586" s="510"/>
      <c r="M586" s="773"/>
      <c r="N586" s="510"/>
      <c r="O586" s="773"/>
      <c r="P586" s="773"/>
      <c r="Q586" s="705"/>
      <c r="R586" s="754"/>
      <c r="S586" s="789"/>
      <c r="T586" s="705"/>
      <c r="U586" s="755"/>
    </row>
    <row r="587" ht="26.25" customHeight="1">
      <c r="A587" s="769"/>
      <c r="B587" s="770"/>
      <c r="C587" s="771"/>
      <c r="D587" s="705"/>
      <c r="E587" s="705"/>
      <c r="F587" s="707"/>
      <c r="G587" s="772"/>
      <c r="H587" s="772"/>
      <c r="I587" s="773"/>
      <c r="J587" s="510"/>
      <c r="K587" s="510"/>
      <c r="L587" s="510"/>
      <c r="M587" s="773"/>
      <c r="N587" s="510"/>
      <c r="O587" s="773"/>
      <c r="P587" s="773"/>
      <c r="Q587" s="705"/>
      <c r="R587" s="754"/>
      <c r="S587" s="789"/>
      <c r="T587" s="705"/>
      <c r="U587" s="755"/>
    </row>
    <row r="588" ht="26.25" customHeight="1">
      <c r="A588" s="769"/>
      <c r="B588" s="770"/>
      <c r="C588" s="771"/>
      <c r="D588" s="705"/>
      <c r="E588" s="705"/>
      <c r="F588" s="707"/>
      <c r="G588" s="772"/>
      <c r="H588" s="772"/>
      <c r="I588" s="773"/>
      <c r="J588" s="510"/>
      <c r="K588" s="510"/>
      <c r="L588" s="510"/>
      <c r="M588" s="773"/>
      <c r="N588" s="510"/>
      <c r="O588" s="773"/>
      <c r="P588" s="773"/>
      <c r="Q588" s="705"/>
      <c r="R588" s="754"/>
      <c r="S588" s="789"/>
      <c r="T588" s="705"/>
      <c r="U588" s="755"/>
    </row>
    <row r="589" ht="26.25" customHeight="1">
      <c r="A589" s="769"/>
      <c r="B589" s="770"/>
      <c r="C589" s="771"/>
      <c r="D589" s="705"/>
      <c r="E589" s="705"/>
      <c r="F589" s="707"/>
      <c r="G589" s="772"/>
      <c r="H589" s="772"/>
      <c r="I589" s="773"/>
      <c r="J589" s="510"/>
      <c r="K589" s="510"/>
      <c r="L589" s="510"/>
      <c r="M589" s="773"/>
      <c r="N589" s="510"/>
      <c r="O589" s="773"/>
      <c r="P589" s="773"/>
      <c r="Q589" s="705"/>
      <c r="R589" s="754"/>
      <c r="S589" s="789"/>
      <c r="T589" s="705"/>
      <c r="U589" s="755"/>
    </row>
    <row r="590" ht="26.25" customHeight="1">
      <c r="A590" s="769"/>
      <c r="B590" s="770"/>
      <c r="C590" s="771"/>
      <c r="D590" s="705"/>
      <c r="E590" s="705"/>
      <c r="F590" s="707"/>
      <c r="G590" s="772"/>
      <c r="H590" s="772"/>
      <c r="I590" s="773"/>
      <c r="J590" s="510"/>
      <c r="K590" s="510"/>
      <c r="L590" s="510"/>
      <c r="M590" s="773"/>
      <c r="N590" s="510"/>
      <c r="O590" s="773"/>
      <c r="P590" s="773"/>
      <c r="Q590" s="705"/>
      <c r="R590" s="754"/>
      <c r="S590" s="789"/>
      <c r="T590" s="705"/>
      <c r="U590" s="755"/>
    </row>
    <row r="591" ht="26.25" customHeight="1">
      <c r="A591" s="769"/>
      <c r="B591" s="770"/>
      <c r="C591" s="771"/>
      <c r="D591" s="705"/>
      <c r="E591" s="705"/>
      <c r="F591" s="707"/>
      <c r="G591" s="772"/>
      <c r="H591" s="772"/>
      <c r="I591" s="773"/>
      <c r="J591" s="510"/>
      <c r="K591" s="510"/>
      <c r="L591" s="510"/>
      <c r="M591" s="773"/>
      <c r="N591" s="510"/>
      <c r="O591" s="773"/>
      <c r="P591" s="773"/>
      <c r="Q591" s="705"/>
      <c r="R591" s="754"/>
      <c r="S591" s="789"/>
      <c r="T591" s="705"/>
      <c r="U591" s="755"/>
    </row>
    <row r="592" ht="26.25" customHeight="1">
      <c r="A592" s="769"/>
      <c r="B592" s="770"/>
      <c r="C592" s="771"/>
      <c r="D592" s="705"/>
      <c r="E592" s="705"/>
      <c r="F592" s="707"/>
      <c r="G592" s="772"/>
      <c r="H592" s="772"/>
      <c r="I592" s="773"/>
      <c r="J592" s="510"/>
      <c r="K592" s="510"/>
      <c r="L592" s="510"/>
      <c r="M592" s="773"/>
      <c r="N592" s="510"/>
      <c r="O592" s="773"/>
      <c r="P592" s="773"/>
      <c r="Q592" s="705"/>
      <c r="R592" s="754"/>
      <c r="S592" s="789"/>
      <c r="T592" s="705"/>
      <c r="U592" s="755"/>
    </row>
    <row r="593" ht="26.25" customHeight="1">
      <c r="A593" s="769"/>
      <c r="B593" s="770"/>
      <c r="C593" s="771"/>
      <c r="D593" s="705"/>
      <c r="E593" s="705"/>
      <c r="F593" s="707"/>
      <c r="G593" s="772"/>
      <c r="H593" s="772"/>
      <c r="I593" s="773"/>
      <c r="J593" s="510"/>
      <c r="K593" s="510"/>
      <c r="L593" s="510"/>
      <c r="M593" s="773"/>
      <c r="N593" s="510"/>
      <c r="O593" s="773"/>
      <c r="P593" s="773"/>
      <c r="Q593" s="705"/>
      <c r="R593" s="754"/>
      <c r="S593" s="789"/>
      <c r="T593" s="705"/>
      <c r="U593" s="755"/>
    </row>
    <row r="594" ht="26.25" customHeight="1">
      <c r="A594" s="769"/>
      <c r="B594" s="770"/>
      <c r="C594" s="771"/>
      <c r="D594" s="705"/>
      <c r="E594" s="705"/>
      <c r="F594" s="707"/>
      <c r="G594" s="772"/>
      <c r="H594" s="772"/>
      <c r="I594" s="773"/>
      <c r="J594" s="510"/>
      <c r="K594" s="510"/>
      <c r="L594" s="510"/>
      <c r="M594" s="773"/>
      <c r="N594" s="510"/>
      <c r="O594" s="773"/>
      <c r="P594" s="773"/>
      <c r="Q594" s="705"/>
      <c r="R594" s="754"/>
      <c r="S594" s="789"/>
      <c r="T594" s="705"/>
      <c r="U594" s="755"/>
    </row>
    <row r="595" ht="26.25" customHeight="1">
      <c r="A595" s="769"/>
      <c r="B595" s="770"/>
      <c r="C595" s="771"/>
      <c r="D595" s="705"/>
      <c r="E595" s="705"/>
      <c r="F595" s="707"/>
      <c r="G595" s="772"/>
      <c r="H595" s="772"/>
      <c r="I595" s="773"/>
      <c r="J595" s="510"/>
      <c r="K595" s="510"/>
      <c r="L595" s="510"/>
      <c r="M595" s="773"/>
      <c r="N595" s="510"/>
      <c r="O595" s="773"/>
      <c r="P595" s="773"/>
      <c r="Q595" s="705"/>
      <c r="R595" s="754"/>
      <c r="S595" s="789"/>
      <c r="T595" s="705"/>
      <c r="U595" s="755"/>
    </row>
    <row r="596" ht="26.25" customHeight="1">
      <c r="A596" s="769"/>
      <c r="B596" s="770"/>
      <c r="C596" s="771"/>
      <c r="D596" s="705"/>
      <c r="E596" s="705"/>
      <c r="F596" s="707"/>
      <c r="G596" s="772"/>
      <c r="H596" s="772"/>
      <c r="I596" s="773"/>
      <c r="J596" s="510"/>
      <c r="K596" s="510"/>
      <c r="L596" s="510"/>
      <c r="M596" s="773"/>
      <c r="N596" s="510"/>
      <c r="O596" s="773"/>
      <c r="P596" s="773"/>
      <c r="Q596" s="705"/>
      <c r="R596" s="754"/>
      <c r="S596" s="789"/>
      <c r="T596" s="705"/>
      <c r="U596" s="755"/>
    </row>
    <row r="597" ht="26.25" customHeight="1">
      <c r="A597" s="769"/>
      <c r="B597" s="770"/>
      <c r="C597" s="771"/>
      <c r="D597" s="705"/>
      <c r="E597" s="705"/>
      <c r="F597" s="707"/>
      <c r="G597" s="772"/>
      <c r="H597" s="772"/>
      <c r="I597" s="773"/>
      <c r="J597" s="510"/>
      <c r="K597" s="510"/>
      <c r="L597" s="510"/>
      <c r="M597" s="773"/>
      <c r="N597" s="510"/>
      <c r="O597" s="773"/>
      <c r="P597" s="773"/>
      <c r="Q597" s="705"/>
      <c r="R597" s="754"/>
      <c r="S597" s="789"/>
      <c r="T597" s="705"/>
      <c r="U597" s="755"/>
    </row>
    <row r="598" ht="26.25" customHeight="1">
      <c r="A598" s="769"/>
      <c r="B598" s="770"/>
      <c r="C598" s="771"/>
      <c r="D598" s="705"/>
      <c r="E598" s="705"/>
      <c r="F598" s="707"/>
      <c r="G598" s="772"/>
      <c r="H598" s="772"/>
      <c r="I598" s="773"/>
      <c r="J598" s="510"/>
      <c r="K598" s="510"/>
      <c r="L598" s="510"/>
      <c r="M598" s="773"/>
      <c r="N598" s="510"/>
      <c r="O598" s="773"/>
      <c r="P598" s="773"/>
      <c r="Q598" s="705"/>
      <c r="R598" s="754"/>
      <c r="S598" s="789"/>
      <c r="T598" s="705"/>
      <c r="U598" s="755"/>
    </row>
    <row r="599" ht="26.25" customHeight="1">
      <c r="A599" s="769"/>
      <c r="B599" s="770"/>
      <c r="C599" s="771"/>
      <c r="D599" s="705"/>
      <c r="E599" s="705"/>
      <c r="F599" s="707"/>
      <c r="G599" s="772"/>
      <c r="H599" s="772"/>
      <c r="I599" s="773"/>
      <c r="J599" s="510"/>
      <c r="K599" s="510"/>
      <c r="L599" s="510"/>
      <c r="M599" s="773"/>
      <c r="N599" s="510"/>
      <c r="O599" s="773"/>
      <c r="P599" s="773"/>
      <c r="Q599" s="705"/>
      <c r="R599" s="754"/>
      <c r="S599" s="789"/>
      <c r="T599" s="705"/>
      <c r="U599" s="755"/>
    </row>
    <row r="600" ht="26.25" customHeight="1">
      <c r="A600" s="769"/>
      <c r="B600" s="770"/>
      <c r="C600" s="771"/>
      <c r="D600" s="705"/>
      <c r="E600" s="705"/>
      <c r="F600" s="707"/>
      <c r="G600" s="772"/>
      <c r="H600" s="772"/>
      <c r="I600" s="773"/>
      <c r="J600" s="510"/>
      <c r="K600" s="510"/>
      <c r="L600" s="510"/>
      <c r="M600" s="773"/>
      <c r="N600" s="510"/>
      <c r="O600" s="773"/>
      <c r="P600" s="773"/>
      <c r="Q600" s="705"/>
      <c r="R600" s="754"/>
      <c r="S600" s="789"/>
      <c r="T600" s="705"/>
      <c r="U600" s="755"/>
    </row>
    <row r="601" ht="26.25" customHeight="1">
      <c r="A601" s="769"/>
      <c r="B601" s="770"/>
      <c r="C601" s="771"/>
      <c r="D601" s="705"/>
      <c r="E601" s="705"/>
      <c r="F601" s="707"/>
      <c r="G601" s="772"/>
      <c r="H601" s="772"/>
      <c r="I601" s="773"/>
      <c r="J601" s="510"/>
      <c r="K601" s="510"/>
      <c r="L601" s="510"/>
      <c r="M601" s="773"/>
      <c r="N601" s="510"/>
      <c r="O601" s="773"/>
      <c r="P601" s="773"/>
      <c r="Q601" s="705"/>
      <c r="R601" s="754"/>
      <c r="S601" s="789"/>
      <c r="T601" s="705"/>
      <c r="U601" s="755"/>
    </row>
    <row r="602" ht="26.25" customHeight="1">
      <c r="A602" s="769"/>
      <c r="B602" s="770"/>
      <c r="C602" s="771"/>
      <c r="D602" s="705"/>
      <c r="E602" s="705"/>
      <c r="F602" s="707"/>
      <c r="G602" s="772"/>
      <c r="H602" s="772"/>
      <c r="I602" s="773"/>
      <c r="J602" s="510"/>
      <c r="K602" s="510"/>
      <c r="L602" s="510"/>
      <c r="M602" s="773"/>
      <c r="N602" s="510"/>
      <c r="O602" s="773"/>
      <c r="P602" s="773"/>
      <c r="Q602" s="705"/>
      <c r="R602" s="754"/>
      <c r="S602" s="789"/>
      <c r="T602" s="705"/>
      <c r="U602" s="755"/>
    </row>
    <row r="603" ht="26.25" customHeight="1">
      <c r="A603" s="769"/>
      <c r="B603" s="770"/>
      <c r="C603" s="771"/>
      <c r="D603" s="705"/>
      <c r="E603" s="705"/>
      <c r="F603" s="707"/>
      <c r="G603" s="772"/>
      <c r="H603" s="772"/>
      <c r="I603" s="773"/>
      <c r="J603" s="510"/>
      <c r="K603" s="510"/>
      <c r="L603" s="510"/>
      <c r="M603" s="773"/>
      <c r="N603" s="510"/>
      <c r="O603" s="773"/>
      <c r="P603" s="773"/>
      <c r="Q603" s="705"/>
      <c r="R603" s="754"/>
      <c r="S603" s="789"/>
      <c r="T603" s="705"/>
      <c r="U603" s="755"/>
    </row>
    <row r="604" ht="26.25" customHeight="1">
      <c r="A604" s="769"/>
      <c r="B604" s="770"/>
      <c r="C604" s="771"/>
      <c r="D604" s="705"/>
      <c r="E604" s="705"/>
      <c r="F604" s="707"/>
      <c r="G604" s="772"/>
      <c r="H604" s="772"/>
      <c r="I604" s="773"/>
      <c r="J604" s="510"/>
      <c r="K604" s="510"/>
      <c r="L604" s="510"/>
      <c r="M604" s="773"/>
      <c r="N604" s="510"/>
      <c r="O604" s="773"/>
      <c r="P604" s="773"/>
      <c r="Q604" s="705"/>
      <c r="R604" s="754"/>
      <c r="S604" s="789"/>
      <c r="T604" s="705"/>
      <c r="U604" s="755"/>
    </row>
    <row r="605" ht="26.25" customHeight="1">
      <c r="A605" s="769"/>
      <c r="B605" s="770"/>
      <c r="C605" s="771"/>
      <c r="D605" s="705"/>
      <c r="E605" s="705"/>
      <c r="F605" s="707"/>
      <c r="G605" s="772"/>
      <c r="H605" s="772"/>
      <c r="I605" s="773"/>
      <c r="J605" s="510"/>
      <c r="K605" s="510"/>
      <c r="L605" s="510"/>
      <c r="M605" s="773"/>
      <c r="N605" s="510"/>
      <c r="O605" s="773"/>
      <c r="P605" s="773"/>
      <c r="Q605" s="705"/>
      <c r="R605" s="754"/>
      <c r="S605" s="789"/>
      <c r="T605" s="705"/>
      <c r="U605" s="755"/>
    </row>
    <row r="606" ht="26.25" customHeight="1">
      <c r="A606" s="769"/>
      <c r="B606" s="770"/>
      <c r="C606" s="771"/>
      <c r="D606" s="705"/>
      <c r="E606" s="705"/>
      <c r="F606" s="707"/>
      <c r="G606" s="772"/>
      <c r="H606" s="772"/>
      <c r="I606" s="773"/>
      <c r="J606" s="510"/>
      <c r="K606" s="510"/>
      <c r="L606" s="510"/>
      <c r="M606" s="773"/>
      <c r="N606" s="510"/>
      <c r="O606" s="773"/>
      <c r="P606" s="773"/>
      <c r="Q606" s="705"/>
      <c r="R606" s="754"/>
      <c r="S606" s="789"/>
      <c r="T606" s="705"/>
      <c r="U606" s="755"/>
    </row>
    <row r="607" ht="26.25" customHeight="1">
      <c r="A607" s="769"/>
      <c r="B607" s="770"/>
      <c r="C607" s="771"/>
      <c r="D607" s="705"/>
      <c r="E607" s="705"/>
      <c r="F607" s="707"/>
      <c r="G607" s="772"/>
      <c r="H607" s="772"/>
      <c r="I607" s="773"/>
      <c r="J607" s="510"/>
      <c r="K607" s="510"/>
      <c r="L607" s="510"/>
      <c r="M607" s="773"/>
      <c r="N607" s="510"/>
      <c r="O607" s="773"/>
      <c r="P607" s="773"/>
      <c r="Q607" s="705"/>
      <c r="R607" s="754"/>
      <c r="S607" s="789"/>
      <c r="T607" s="705"/>
      <c r="U607" s="755"/>
    </row>
    <row r="608" ht="26.25" customHeight="1">
      <c r="A608" s="769"/>
      <c r="B608" s="770"/>
      <c r="C608" s="771"/>
      <c r="D608" s="705"/>
      <c r="E608" s="705"/>
      <c r="F608" s="707"/>
      <c r="G608" s="772"/>
      <c r="H608" s="772"/>
      <c r="I608" s="773"/>
      <c r="J608" s="510"/>
      <c r="K608" s="510"/>
      <c r="L608" s="510"/>
      <c r="M608" s="773"/>
      <c r="N608" s="510"/>
      <c r="O608" s="773"/>
      <c r="P608" s="773"/>
      <c r="Q608" s="705"/>
      <c r="R608" s="754"/>
      <c r="S608" s="789"/>
      <c r="T608" s="705"/>
      <c r="U608" s="755"/>
    </row>
    <row r="609" ht="26.25" customHeight="1">
      <c r="A609" s="769"/>
      <c r="B609" s="770"/>
      <c r="C609" s="771"/>
      <c r="D609" s="705"/>
      <c r="E609" s="705"/>
      <c r="F609" s="707"/>
      <c r="G609" s="772"/>
      <c r="H609" s="772"/>
      <c r="I609" s="773"/>
      <c r="J609" s="510"/>
      <c r="K609" s="510"/>
      <c r="L609" s="510"/>
      <c r="M609" s="773"/>
      <c r="N609" s="510"/>
      <c r="O609" s="773"/>
      <c r="P609" s="773"/>
      <c r="Q609" s="705"/>
      <c r="R609" s="754"/>
      <c r="S609" s="789"/>
      <c r="T609" s="705"/>
      <c r="U609" s="755"/>
    </row>
    <row r="610" ht="26.25" customHeight="1">
      <c r="A610" s="769"/>
      <c r="B610" s="770"/>
      <c r="C610" s="771"/>
      <c r="D610" s="705"/>
      <c r="E610" s="705"/>
      <c r="F610" s="707"/>
      <c r="G610" s="772"/>
      <c r="H610" s="772"/>
      <c r="I610" s="773"/>
      <c r="J610" s="510"/>
      <c r="K610" s="510"/>
      <c r="L610" s="510"/>
      <c r="M610" s="773"/>
      <c r="N610" s="510"/>
      <c r="O610" s="773"/>
      <c r="P610" s="773"/>
      <c r="Q610" s="705"/>
      <c r="R610" s="754"/>
      <c r="S610" s="789"/>
      <c r="T610" s="705"/>
      <c r="U610" s="755"/>
    </row>
    <row r="611" ht="26.25" customHeight="1">
      <c r="A611" s="769"/>
      <c r="B611" s="770"/>
      <c r="C611" s="771"/>
      <c r="D611" s="705"/>
      <c r="E611" s="705"/>
      <c r="F611" s="707"/>
      <c r="G611" s="772"/>
      <c r="H611" s="772"/>
      <c r="I611" s="773"/>
      <c r="J611" s="510"/>
      <c r="K611" s="510"/>
      <c r="L611" s="510"/>
      <c r="M611" s="773"/>
      <c r="N611" s="510"/>
      <c r="O611" s="773"/>
      <c r="P611" s="773"/>
      <c r="Q611" s="705"/>
      <c r="R611" s="754"/>
      <c r="S611" s="789"/>
      <c r="T611" s="705"/>
      <c r="U611" s="755"/>
    </row>
    <row r="612" ht="26.25" customHeight="1">
      <c r="A612" s="769"/>
      <c r="B612" s="770"/>
      <c r="C612" s="771"/>
      <c r="D612" s="705"/>
      <c r="E612" s="705"/>
      <c r="F612" s="707"/>
      <c r="G612" s="772"/>
      <c r="H612" s="772"/>
      <c r="I612" s="773"/>
      <c r="J612" s="510"/>
      <c r="K612" s="510"/>
      <c r="L612" s="510"/>
      <c r="M612" s="773"/>
      <c r="N612" s="510"/>
      <c r="O612" s="773"/>
      <c r="P612" s="773"/>
      <c r="Q612" s="705"/>
      <c r="R612" s="754"/>
      <c r="S612" s="789"/>
      <c r="T612" s="705"/>
      <c r="U612" s="755"/>
    </row>
    <row r="613" ht="26.25" customHeight="1">
      <c r="A613" s="769"/>
      <c r="B613" s="770"/>
      <c r="C613" s="771"/>
      <c r="D613" s="705"/>
      <c r="E613" s="705"/>
      <c r="F613" s="707"/>
      <c r="G613" s="772"/>
      <c r="H613" s="772"/>
      <c r="I613" s="773"/>
      <c r="J613" s="510"/>
      <c r="K613" s="510"/>
      <c r="L613" s="510"/>
      <c r="M613" s="773"/>
      <c r="N613" s="510"/>
      <c r="O613" s="773"/>
      <c r="P613" s="773"/>
      <c r="Q613" s="705"/>
      <c r="R613" s="754"/>
      <c r="S613" s="789"/>
      <c r="T613" s="705"/>
      <c r="U613" s="755"/>
    </row>
    <row r="614" ht="26.25" customHeight="1">
      <c r="A614" s="769"/>
      <c r="B614" s="770"/>
      <c r="C614" s="771"/>
      <c r="D614" s="705"/>
      <c r="E614" s="705"/>
      <c r="F614" s="707"/>
      <c r="G614" s="772"/>
      <c r="H614" s="772"/>
      <c r="I614" s="773"/>
      <c r="J614" s="510"/>
      <c r="K614" s="510"/>
      <c r="L614" s="510"/>
      <c r="M614" s="773"/>
      <c r="N614" s="510"/>
      <c r="O614" s="773"/>
      <c r="P614" s="773"/>
      <c r="Q614" s="705"/>
      <c r="R614" s="754"/>
      <c r="S614" s="789"/>
      <c r="T614" s="705"/>
      <c r="U614" s="755"/>
    </row>
    <row r="615" ht="26.25" customHeight="1">
      <c r="A615" s="769"/>
      <c r="B615" s="770"/>
      <c r="C615" s="771"/>
      <c r="D615" s="705"/>
      <c r="E615" s="705"/>
      <c r="F615" s="707"/>
      <c r="G615" s="772"/>
      <c r="H615" s="772"/>
      <c r="I615" s="773"/>
      <c r="J615" s="510"/>
      <c r="K615" s="510"/>
      <c r="L615" s="510"/>
      <c r="M615" s="773"/>
      <c r="N615" s="510"/>
      <c r="O615" s="773"/>
      <c r="P615" s="773"/>
      <c r="Q615" s="705"/>
      <c r="R615" s="754"/>
      <c r="S615" s="789"/>
      <c r="T615" s="705"/>
      <c r="U615" s="755"/>
    </row>
    <row r="616" ht="26.25" customHeight="1">
      <c r="A616" s="769"/>
      <c r="B616" s="770"/>
      <c r="C616" s="771"/>
      <c r="D616" s="705"/>
      <c r="E616" s="705"/>
      <c r="F616" s="707"/>
      <c r="G616" s="772"/>
      <c r="H616" s="772"/>
      <c r="I616" s="773"/>
      <c r="J616" s="510"/>
      <c r="K616" s="510"/>
      <c r="L616" s="510"/>
      <c r="M616" s="773"/>
      <c r="N616" s="510"/>
      <c r="O616" s="773"/>
      <c r="P616" s="773"/>
      <c r="Q616" s="705"/>
      <c r="R616" s="754"/>
      <c r="S616" s="789"/>
      <c r="T616" s="705"/>
      <c r="U616" s="755"/>
    </row>
    <row r="617" ht="26.25" customHeight="1">
      <c r="A617" s="769"/>
      <c r="B617" s="770"/>
      <c r="C617" s="771"/>
      <c r="D617" s="705"/>
      <c r="E617" s="705"/>
      <c r="F617" s="707"/>
      <c r="G617" s="772"/>
      <c r="H617" s="772"/>
      <c r="I617" s="773"/>
      <c r="J617" s="510"/>
      <c r="K617" s="510"/>
      <c r="L617" s="510"/>
      <c r="M617" s="773"/>
      <c r="N617" s="510"/>
      <c r="O617" s="773"/>
      <c r="P617" s="773"/>
      <c r="Q617" s="705"/>
      <c r="R617" s="754"/>
      <c r="S617" s="789"/>
      <c r="T617" s="705"/>
      <c r="U617" s="755"/>
    </row>
    <row r="618" ht="26.25" customHeight="1">
      <c r="A618" s="769"/>
      <c r="B618" s="770"/>
      <c r="C618" s="771"/>
      <c r="D618" s="705"/>
      <c r="E618" s="705"/>
      <c r="F618" s="707"/>
      <c r="G618" s="772"/>
      <c r="H618" s="772"/>
      <c r="I618" s="773"/>
      <c r="J618" s="510"/>
      <c r="K618" s="510"/>
      <c r="L618" s="510"/>
      <c r="M618" s="773"/>
      <c r="N618" s="510"/>
      <c r="O618" s="773"/>
      <c r="P618" s="773"/>
      <c r="Q618" s="705"/>
      <c r="R618" s="754"/>
      <c r="S618" s="789"/>
      <c r="T618" s="705"/>
      <c r="U618" s="755"/>
    </row>
    <row r="619" ht="26.25" customHeight="1">
      <c r="A619" s="769"/>
      <c r="B619" s="770"/>
      <c r="C619" s="771"/>
      <c r="D619" s="705"/>
      <c r="E619" s="705"/>
      <c r="F619" s="707"/>
      <c r="G619" s="772"/>
      <c r="H619" s="772"/>
      <c r="I619" s="773"/>
      <c r="J619" s="510"/>
      <c r="K619" s="510"/>
      <c r="L619" s="510"/>
      <c r="M619" s="773"/>
      <c r="N619" s="510"/>
      <c r="O619" s="773"/>
      <c r="P619" s="773"/>
      <c r="Q619" s="705"/>
      <c r="R619" s="754"/>
      <c r="S619" s="789"/>
      <c r="T619" s="705"/>
      <c r="U619" s="755"/>
    </row>
    <row r="620" ht="26.25" customHeight="1">
      <c r="A620" s="769"/>
      <c r="B620" s="770"/>
      <c r="C620" s="771"/>
      <c r="D620" s="705"/>
      <c r="E620" s="705"/>
      <c r="F620" s="707"/>
      <c r="G620" s="772"/>
      <c r="H620" s="772"/>
      <c r="I620" s="773"/>
      <c r="J620" s="510"/>
      <c r="K620" s="510"/>
      <c r="L620" s="510"/>
      <c r="M620" s="773"/>
      <c r="N620" s="510"/>
      <c r="O620" s="773"/>
      <c r="P620" s="773"/>
      <c r="Q620" s="705"/>
      <c r="R620" s="754"/>
      <c r="S620" s="789"/>
      <c r="T620" s="705"/>
      <c r="U620" s="755"/>
    </row>
    <row r="621" ht="26.25" customHeight="1">
      <c r="A621" s="769"/>
      <c r="B621" s="770"/>
      <c r="C621" s="771"/>
      <c r="D621" s="705"/>
      <c r="E621" s="705"/>
      <c r="F621" s="707"/>
      <c r="G621" s="772"/>
      <c r="H621" s="772"/>
      <c r="I621" s="773"/>
      <c r="J621" s="510"/>
      <c r="K621" s="510"/>
      <c r="L621" s="510"/>
      <c r="M621" s="773"/>
      <c r="N621" s="510"/>
      <c r="O621" s="773"/>
      <c r="P621" s="773"/>
      <c r="Q621" s="705"/>
      <c r="R621" s="754"/>
      <c r="S621" s="789"/>
      <c r="T621" s="705"/>
      <c r="U621" s="755"/>
    </row>
    <row r="622" ht="26.25" customHeight="1">
      <c r="A622" s="769"/>
      <c r="B622" s="770"/>
      <c r="C622" s="771"/>
      <c r="D622" s="705"/>
      <c r="E622" s="705"/>
      <c r="F622" s="707"/>
      <c r="G622" s="772"/>
      <c r="H622" s="772"/>
      <c r="I622" s="773"/>
      <c r="J622" s="510"/>
      <c r="K622" s="510"/>
      <c r="L622" s="510"/>
      <c r="M622" s="773"/>
      <c r="N622" s="510"/>
      <c r="O622" s="773"/>
      <c r="P622" s="773"/>
      <c r="Q622" s="705"/>
      <c r="R622" s="754"/>
      <c r="S622" s="789"/>
      <c r="T622" s="705"/>
      <c r="U622" s="755"/>
    </row>
    <row r="623" ht="26.25" customHeight="1">
      <c r="A623" s="769"/>
      <c r="B623" s="770"/>
      <c r="C623" s="771"/>
      <c r="D623" s="705"/>
      <c r="E623" s="705"/>
      <c r="F623" s="707"/>
      <c r="G623" s="772"/>
      <c r="H623" s="772"/>
      <c r="I623" s="773"/>
      <c r="J623" s="510"/>
      <c r="K623" s="510"/>
      <c r="L623" s="510"/>
      <c r="M623" s="773"/>
      <c r="N623" s="510"/>
      <c r="O623" s="773"/>
      <c r="P623" s="773"/>
      <c r="Q623" s="705"/>
      <c r="R623" s="754"/>
      <c r="S623" s="789"/>
      <c r="T623" s="705"/>
      <c r="U623" s="755"/>
    </row>
    <row r="624" ht="26.25" customHeight="1">
      <c r="A624" s="769"/>
      <c r="B624" s="770"/>
      <c r="C624" s="771"/>
      <c r="D624" s="705"/>
      <c r="E624" s="705"/>
      <c r="F624" s="707"/>
      <c r="G624" s="772"/>
      <c r="H624" s="772"/>
      <c r="I624" s="773"/>
      <c r="J624" s="510"/>
      <c r="K624" s="510"/>
      <c r="L624" s="510"/>
      <c r="M624" s="773"/>
      <c r="N624" s="510"/>
      <c r="O624" s="773"/>
      <c r="P624" s="773"/>
      <c r="Q624" s="705"/>
      <c r="R624" s="754"/>
      <c r="S624" s="789"/>
      <c r="T624" s="705"/>
      <c r="U624" s="755"/>
    </row>
    <row r="625" ht="26.25" customHeight="1">
      <c r="A625" s="769"/>
      <c r="B625" s="770"/>
      <c r="C625" s="771"/>
      <c r="D625" s="705"/>
      <c r="E625" s="705"/>
      <c r="F625" s="707"/>
      <c r="G625" s="772"/>
      <c r="H625" s="772"/>
      <c r="I625" s="773"/>
      <c r="J625" s="510"/>
      <c r="K625" s="510"/>
      <c r="L625" s="510"/>
      <c r="M625" s="773"/>
      <c r="N625" s="510"/>
      <c r="O625" s="773"/>
      <c r="P625" s="773"/>
      <c r="Q625" s="705"/>
      <c r="R625" s="754"/>
      <c r="S625" s="789"/>
      <c r="T625" s="705"/>
      <c r="U625" s="755"/>
    </row>
    <row r="626" ht="26.25" customHeight="1">
      <c r="A626" s="769"/>
      <c r="B626" s="770"/>
      <c r="C626" s="771"/>
      <c r="D626" s="705"/>
      <c r="E626" s="705"/>
      <c r="F626" s="707"/>
      <c r="G626" s="772"/>
      <c r="H626" s="772"/>
      <c r="I626" s="773"/>
      <c r="J626" s="510"/>
      <c r="K626" s="510"/>
      <c r="L626" s="510"/>
      <c r="M626" s="773"/>
      <c r="N626" s="510"/>
      <c r="O626" s="773"/>
      <c r="P626" s="773"/>
      <c r="Q626" s="705"/>
      <c r="R626" s="754"/>
      <c r="S626" s="789"/>
      <c r="T626" s="705"/>
      <c r="U626" s="755"/>
    </row>
    <row r="627" ht="26.25" customHeight="1">
      <c r="A627" s="769"/>
      <c r="B627" s="770"/>
      <c r="C627" s="771"/>
      <c r="D627" s="705"/>
      <c r="E627" s="705"/>
      <c r="F627" s="707"/>
      <c r="G627" s="772"/>
      <c r="H627" s="772"/>
      <c r="I627" s="773"/>
      <c r="J627" s="510"/>
      <c r="K627" s="510"/>
      <c r="L627" s="510"/>
      <c r="M627" s="773"/>
      <c r="N627" s="510"/>
      <c r="O627" s="773"/>
      <c r="P627" s="773"/>
      <c r="Q627" s="705"/>
      <c r="R627" s="754"/>
      <c r="S627" s="789"/>
      <c r="T627" s="705"/>
      <c r="U627" s="755"/>
    </row>
    <row r="628" ht="26.25" customHeight="1">
      <c r="A628" s="769"/>
      <c r="B628" s="770"/>
      <c r="C628" s="771"/>
      <c r="D628" s="705"/>
      <c r="E628" s="705"/>
      <c r="F628" s="707"/>
      <c r="G628" s="772"/>
      <c r="H628" s="772"/>
      <c r="I628" s="773"/>
      <c r="J628" s="510"/>
      <c r="K628" s="510"/>
      <c r="L628" s="510"/>
      <c r="M628" s="773"/>
      <c r="N628" s="510"/>
      <c r="O628" s="773"/>
      <c r="P628" s="773"/>
      <c r="Q628" s="705"/>
      <c r="R628" s="754"/>
      <c r="S628" s="789"/>
      <c r="T628" s="705"/>
      <c r="U628" s="755"/>
    </row>
    <row r="629" ht="26.25" customHeight="1">
      <c r="A629" s="769"/>
      <c r="B629" s="770"/>
      <c r="C629" s="771"/>
      <c r="D629" s="705"/>
      <c r="E629" s="705"/>
      <c r="F629" s="707"/>
      <c r="G629" s="772"/>
      <c r="H629" s="772"/>
      <c r="I629" s="773"/>
      <c r="J629" s="510"/>
      <c r="K629" s="510"/>
      <c r="L629" s="510"/>
      <c r="M629" s="773"/>
      <c r="N629" s="510"/>
      <c r="O629" s="773"/>
      <c r="P629" s="773"/>
      <c r="Q629" s="705"/>
      <c r="R629" s="754"/>
      <c r="S629" s="789"/>
      <c r="T629" s="705"/>
      <c r="U629" s="755"/>
    </row>
    <row r="630" ht="26.25" customHeight="1">
      <c r="A630" s="769"/>
      <c r="B630" s="770"/>
      <c r="C630" s="771"/>
      <c r="D630" s="705"/>
      <c r="E630" s="705"/>
      <c r="F630" s="707"/>
      <c r="G630" s="772"/>
      <c r="H630" s="772"/>
      <c r="I630" s="773"/>
      <c r="J630" s="510"/>
      <c r="K630" s="510"/>
      <c r="L630" s="510"/>
      <c r="M630" s="773"/>
      <c r="N630" s="510"/>
      <c r="O630" s="773"/>
      <c r="P630" s="773"/>
      <c r="Q630" s="705"/>
      <c r="R630" s="754"/>
      <c r="S630" s="789"/>
      <c r="T630" s="705"/>
      <c r="U630" s="755"/>
    </row>
    <row r="631" ht="26.25" customHeight="1">
      <c r="A631" s="769"/>
      <c r="B631" s="770"/>
      <c r="C631" s="771"/>
      <c r="D631" s="705"/>
      <c r="E631" s="705"/>
      <c r="F631" s="707"/>
      <c r="G631" s="772"/>
      <c r="H631" s="772"/>
      <c r="I631" s="773"/>
      <c r="J631" s="510"/>
      <c r="K631" s="510"/>
      <c r="L631" s="510"/>
      <c r="M631" s="773"/>
      <c r="N631" s="510"/>
      <c r="O631" s="773"/>
      <c r="P631" s="773"/>
      <c r="Q631" s="705"/>
      <c r="R631" s="754"/>
      <c r="S631" s="789"/>
      <c r="T631" s="705"/>
      <c r="U631" s="755"/>
    </row>
    <row r="632" ht="26.25" customHeight="1">
      <c r="A632" s="769"/>
      <c r="B632" s="770"/>
      <c r="C632" s="771"/>
      <c r="D632" s="705"/>
      <c r="E632" s="705"/>
      <c r="F632" s="707"/>
      <c r="G632" s="772"/>
      <c r="H632" s="772"/>
      <c r="I632" s="773"/>
      <c r="J632" s="510"/>
      <c r="K632" s="510"/>
      <c r="L632" s="510"/>
      <c r="M632" s="773"/>
      <c r="N632" s="510"/>
      <c r="O632" s="773"/>
      <c r="P632" s="773"/>
      <c r="Q632" s="705"/>
      <c r="R632" s="754"/>
      <c r="S632" s="789"/>
      <c r="T632" s="705"/>
      <c r="U632" s="755"/>
    </row>
    <row r="633" ht="26.25" customHeight="1">
      <c r="A633" s="769"/>
      <c r="B633" s="770"/>
      <c r="C633" s="771"/>
      <c r="D633" s="705"/>
      <c r="E633" s="705"/>
      <c r="F633" s="707"/>
      <c r="G633" s="772"/>
      <c r="H633" s="772"/>
      <c r="I633" s="773"/>
      <c r="J633" s="510"/>
      <c r="K633" s="510"/>
      <c r="L633" s="510"/>
      <c r="M633" s="773"/>
      <c r="N633" s="510"/>
      <c r="O633" s="773"/>
      <c r="P633" s="773"/>
      <c r="Q633" s="705"/>
      <c r="R633" s="754"/>
      <c r="S633" s="789"/>
      <c r="T633" s="705"/>
      <c r="U633" s="755"/>
    </row>
    <row r="634" ht="26.25" customHeight="1">
      <c r="A634" s="769"/>
      <c r="B634" s="770"/>
      <c r="C634" s="771"/>
      <c r="D634" s="705"/>
      <c r="E634" s="705"/>
      <c r="F634" s="707"/>
      <c r="G634" s="772"/>
      <c r="H634" s="772"/>
      <c r="I634" s="773"/>
      <c r="J634" s="510"/>
      <c r="K634" s="510"/>
      <c r="L634" s="510"/>
      <c r="M634" s="773"/>
      <c r="N634" s="510"/>
      <c r="O634" s="773"/>
      <c r="P634" s="773"/>
      <c r="Q634" s="705"/>
      <c r="R634" s="754"/>
      <c r="S634" s="789"/>
      <c r="T634" s="705"/>
      <c r="U634" s="755"/>
    </row>
    <row r="635" ht="26.25" customHeight="1">
      <c r="A635" s="769"/>
      <c r="B635" s="770"/>
      <c r="C635" s="771"/>
      <c r="D635" s="705"/>
      <c r="E635" s="705"/>
      <c r="F635" s="707"/>
      <c r="G635" s="772"/>
      <c r="H635" s="772"/>
      <c r="I635" s="773"/>
      <c r="J635" s="510"/>
      <c r="K635" s="510"/>
      <c r="L635" s="510"/>
      <c r="M635" s="773"/>
      <c r="N635" s="510"/>
      <c r="O635" s="773"/>
      <c r="P635" s="773"/>
      <c r="Q635" s="705"/>
      <c r="R635" s="754"/>
      <c r="S635" s="789"/>
      <c r="T635" s="705"/>
      <c r="U635" s="755"/>
    </row>
    <row r="636" ht="26.25" customHeight="1">
      <c r="A636" s="769"/>
      <c r="B636" s="770"/>
      <c r="C636" s="771"/>
      <c r="D636" s="705"/>
      <c r="E636" s="705"/>
      <c r="F636" s="707"/>
      <c r="G636" s="772"/>
      <c r="H636" s="772"/>
      <c r="I636" s="773"/>
      <c r="J636" s="510"/>
      <c r="K636" s="510"/>
      <c r="L636" s="510"/>
      <c r="M636" s="773"/>
      <c r="N636" s="510"/>
      <c r="O636" s="773"/>
      <c r="P636" s="773"/>
      <c r="Q636" s="705"/>
      <c r="R636" s="754"/>
      <c r="S636" s="789"/>
      <c r="T636" s="705"/>
      <c r="U636" s="755"/>
    </row>
    <row r="637" ht="26.25" customHeight="1">
      <c r="A637" s="769"/>
      <c r="B637" s="770"/>
      <c r="C637" s="771"/>
      <c r="D637" s="705"/>
      <c r="E637" s="705"/>
      <c r="F637" s="707"/>
      <c r="G637" s="772"/>
      <c r="H637" s="772"/>
      <c r="I637" s="773"/>
      <c r="J637" s="510"/>
      <c r="K637" s="510"/>
      <c r="L637" s="510"/>
      <c r="M637" s="773"/>
      <c r="N637" s="510"/>
      <c r="O637" s="773"/>
      <c r="P637" s="773"/>
      <c r="Q637" s="705"/>
      <c r="R637" s="754"/>
      <c r="S637" s="789"/>
      <c r="T637" s="705"/>
      <c r="U637" s="755"/>
    </row>
    <row r="638" ht="26.25" customHeight="1">
      <c r="A638" s="769"/>
      <c r="B638" s="770"/>
      <c r="C638" s="771"/>
      <c r="D638" s="705"/>
      <c r="E638" s="705"/>
      <c r="F638" s="707"/>
      <c r="G638" s="772"/>
      <c r="H638" s="772"/>
      <c r="I638" s="773"/>
      <c r="J638" s="510"/>
      <c r="K638" s="510"/>
      <c r="L638" s="510"/>
      <c r="M638" s="773"/>
      <c r="N638" s="510"/>
      <c r="O638" s="773"/>
      <c r="P638" s="773"/>
      <c r="Q638" s="705"/>
      <c r="R638" s="754"/>
      <c r="S638" s="789"/>
      <c r="T638" s="705"/>
      <c r="U638" s="755"/>
    </row>
    <row r="639" ht="26.25" customHeight="1">
      <c r="A639" s="769"/>
      <c r="B639" s="770"/>
      <c r="C639" s="771"/>
      <c r="D639" s="705"/>
      <c r="E639" s="705"/>
      <c r="F639" s="707"/>
      <c r="G639" s="772"/>
      <c r="H639" s="772"/>
      <c r="I639" s="773"/>
      <c r="J639" s="510"/>
      <c r="K639" s="510"/>
      <c r="L639" s="510"/>
      <c r="M639" s="773"/>
      <c r="N639" s="510"/>
      <c r="O639" s="773"/>
      <c r="P639" s="773"/>
      <c r="Q639" s="705"/>
      <c r="R639" s="754"/>
      <c r="S639" s="789"/>
      <c r="T639" s="705"/>
      <c r="U639" s="755"/>
    </row>
    <row r="640" ht="26.25" customHeight="1">
      <c r="A640" s="769"/>
      <c r="B640" s="770"/>
      <c r="C640" s="771"/>
      <c r="D640" s="705"/>
      <c r="E640" s="705"/>
      <c r="F640" s="707"/>
      <c r="G640" s="772"/>
      <c r="H640" s="772"/>
      <c r="I640" s="773"/>
      <c r="J640" s="510"/>
      <c r="K640" s="510"/>
      <c r="L640" s="510"/>
      <c r="M640" s="773"/>
      <c r="N640" s="510"/>
      <c r="O640" s="773"/>
      <c r="P640" s="773"/>
      <c r="Q640" s="705"/>
      <c r="R640" s="754"/>
      <c r="S640" s="789"/>
      <c r="T640" s="705"/>
      <c r="U640" s="755"/>
    </row>
    <row r="641" ht="26.25" customHeight="1">
      <c r="A641" s="769"/>
      <c r="B641" s="770"/>
      <c r="C641" s="771"/>
      <c r="D641" s="705"/>
      <c r="E641" s="705"/>
      <c r="F641" s="707"/>
      <c r="G641" s="772"/>
      <c r="H641" s="772"/>
      <c r="I641" s="773"/>
      <c r="J641" s="510"/>
      <c r="K641" s="510"/>
      <c r="L641" s="510"/>
      <c r="M641" s="773"/>
      <c r="N641" s="510"/>
      <c r="O641" s="773"/>
      <c r="P641" s="773"/>
      <c r="Q641" s="705"/>
      <c r="R641" s="754"/>
      <c r="S641" s="789"/>
      <c r="T641" s="705"/>
      <c r="U641" s="755"/>
    </row>
    <row r="642" ht="26.25" customHeight="1">
      <c r="A642" s="769"/>
      <c r="B642" s="770"/>
      <c r="C642" s="771"/>
      <c r="D642" s="705"/>
      <c r="E642" s="705"/>
      <c r="F642" s="707"/>
      <c r="G642" s="772"/>
      <c r="H642" s="772"/>
      <c r="I642" s="773"/>
      <c r="J642" s="510"/>
      <c r="K642" s="510"/>
      <c r="L642" s="510"/>
      <c r="M642" s="773"/>
      <c r="N642" s="510"/>
      <c r="O642" s="773"/>
      <c r="P642" s="773"/>
      <c r="Q642" s="705"/>
      <c r="R642" s="754"/>
      <c r="S642" s="789"/>
      <c r="T642" s="705"/>
      <c r="U642" s="755"/>
    </row>
    <row r="643" ht="26.25" customHeight="1">
      <c r="A643" s="769"/>
      <c r="B643" s="770"/>
      <c r="C643" s="771"/>
      <c r="D643" s="705"/>
      <c r="E643" s="705"/>
      <c r="F643" s="707"/>
      <c r="G643" s="772"/>
      <c r="H643" s="772"/>
      <c r="I643" s="773"/>
      <c r="J643" s="510"/>
      <c r="K643" s="510"/>
      <c r="L643" s="510"/>
      <c r="M643" s="773"/>
      <c r="N643" s="510"/>
      <c r="O643" s="773"/>
      <c r="P643" s="773"/>
      <c r="Q643" s="705"/>
      <c r="R643" s="754"/>
      <c r="S643" s="789"/>
      <c r="T643" s="705"/>
      <c r="U643" s="755"/>
    </row>
    <row r="644" ht="26.25" customHeight="1">
      <c r="A644" s="769"/>
      <c r="B644" s="770"/>
      <c r="C644" s="771"/>
      <c r="D644" s="705"/>
      <c r="E644" s="705"/>
      <c r="F644" s="707"/>
      <c r="G644" s="772"/>
      <c r="H644" s="772"/>
      <c r="I644" s="773"/>
      <c r="J644" s="510"/>
      <c r="K644" s="510"/>
      <c r="L644" s="510"/>
      <c r="M644" s="773"/>
      <c r="N644" s="510"/>
      <c r="O644" s="773"/>
      <c r="P644" s="773"/>
      <c r="Q644" s="705"/>
      <c r="R644" s="754"/>
      <c r="S644" s="789"/>
      <c r="T644" s="705"/>
      <c r="U644" s="755"/>
    </row>
    <row r="645" ht="26.25" customHeight="1">
      <c r="A645" s="769"/>
      <c r="B645" s="770"/>
      <c r="C645" s="771"/>
      <c r="D645" s="705"/>
      <c r="E645" s="705"/>
      <c r="F645" s="707"/>
      <c r="G645" s="772"/>
      <c r="H645" s="772"/>
      <c r="I645" s="773"/>
      <c r="J645" s="510"/>
      <c r="K645" s="510"/>
      <c r="L645" s="510"/>
      <c r="M645" s="773"/>
      <c r="N645" s="510"/>
      <c r="O645" s="773"/>
      <c r="P645" s="773"/>
      <c r="Q645" s="705"/>
      <c r="R645" s="754"/>
      <c r="S645" s="789"/>
      <c r="T645" s="705"/>
      <c r="U645" s="755"/>
    </row>
    <row r="646" ht="26.25" customHeight="1">
      <c r="A646" s="769"/>
      <c r="B646" s="770"/>
      <c r="C646" s="771"/>
      <c r="D646" s="705"/>
      <c r="E646" s="705"/>
      <c r="F646" s="707"/>
      <c r="G646" s="772"/>
      <c r="H646" s="772"/>
      <c r="I646" s="773"/>
      <c r="J646" s="510"/>
      <c r="K646" s="510"/>
      <c r="L646" s="510"/>
      <c r="M646" s="773"/>
      <c r="N646" s="510"/>
      <c r="O646" s="773"/>
      <c r="P646" s="773"/>
      <c r="Q646" s="705"/>
      <c r="R646" s="754"/>
      <c r="S646" s="789"/>
      <c r="T646" s="705"/>
      <c r="U646" s="755"/>
    </row>
    <row r="647" ht="26.25" customHeight="1">
      <c r="A647" s="769"/>
      <c r="B647" s="770"/>
      <c r="C647" s="771"/>
      <c r="D647" s="705"/>
      <c r="E647" s="705"/>
      <c r="F647" s="707"/>
      <c r="G647" s="772"/>
      <c r="H647" s="772"/>
      <c r="I647" s="773"/>
      <c r="J647" s="510"/>
      <c r="K647" s="510"/>
      <c r="L647" s="510"/>
      <c r="M647" s="773"/>
      <c r="N647" s="510"/>
      <c r="O647" s="773"/>
      <c r="P647" s="773"/>
      <c r="Q647" s="705"/>
      <c r="R647" s="754"/>
      <c r="S647" s="789"/>
      <c r="T647" s="705"/>
      <c r="U647" s="755"/>
    </row>
    <row r="648" ht="26.25" customHeight="1">
      <c r="A648" s="769"/>
      <c r="B648" s="770"/>
      <c r="C648" s="771"/>
      <c r="D648" s="705"/>
      <c r="E648" s="705"/>
      <c r="F648" s="707"/>
      <c r="G648" s="772"/>
      <c r="H648" s="772"/>
      <c r="I648" s="773"/>
      <c r="J648" s="510"/>
      <c r="K648" s="510"/>
      <c r="L648" s="510"/>
      <c r="M648" s="773"/>
      <c r="N648" s="510"/>
      <c r="O648" s="773"/>
      <c r="P648" s="773"/>
      <c r="Q648" s="705"/>
      <c r="R648" s="754"/>
      <c r="S648" s="789"/>
      <c r="T648" s="705"/>
      <c r="U648" s="755"/>
    </row>
    <row r="649" ht="26.25" customHeight="1">
      <c r="A649" s="769"/>
      <c r="B649" s="770"/>
      <c r="C649" s="771"/>
      <c r="D649" s="705"/>
      <c r="E649" s="705"/>
      <c r="F649" s="707"/>
      <c r="G649" s="772"/>
      <c r="H649" s="772"/>
      <c r="I649" s="773"/>
      <c r="J649" s="510"/>
      <c r="K649" s="510"/>
      <c r="L649" s="510"/>
      <c r="M649" s="773"/>
      <c r="N649" s="510"/>
      <c r="O649" s="773"/>
      <c r="P649" s="773"/>
      <c r="Q649" s="705"/>
      <c r="R649" s="754"/>
      <c r="S649" s="789"/>
      <c r="T649" s="705"/>
      <c r="U649" s="755"/>
    </row>
    <row r="650" ht="26.25" customHeight="1">
      <c r="A650" s="769"/>
      <c r="B650" s="770"/>
      <c r="C650" s="771"/>
      <c r="D650" s="705"/>
      <c r="E650" s="705"/>
      <c r="F650" s="707"/>
      <c r="G650" s="772"/>
      <c r="H650" s="772"/>
      <c r="I650" s="773"/>
      <c r="J650" s="510"/>
      <c r="K650" s="510"/>
      <c r="L650" s="510"/>
      <c r="M650" s="773"/>
      <c r="N650" s="510"/>
      <c r="O650" s="773"/>
      <c r="P650" s="773"/>
      <c r="Q650" s="705"/>
      <c r="R650" s="754"/>
      <c r="S650" s="789"/>
      <c r="T650" s="705"/>
      <c r="U650" s="755"/>
    </row>
    <row r="651" ht="26.25" customHeight="1">
      <c r="A651" s="769"/>
      <c r="B651" s="770"/>
      <c r="C651" s="771"/>
      <c r="D651" s="705"/>
      <c r="E651" s="705"/>
      <c r="F651" s="707"/>
      <c r="G651" s="772"/>
      <c r="H651" s="772"/>
      <c r="I651" s="773"/>
      <c r="J651" s="510"/>
      <c r="K651" s="510"/>
      <c r="L651" s="510"/>
      <c r="M651" s="773"/>
      <c r="N651" s="510"/>
      <c r="O651" s="773"/>
      <c r="P651" s="773"/>
      <c r="Q651" s="705"/>
      <c r="R651" s="754"/>
      <c r="S651" s="789"/>
      <c r="T651" s="705"/>
      <c r="U651" s="755"/>
    </row>
    <row r="652" ht="26.25" customHeight="1">
      <c r="A652" s="769"/>
      <c r="B652" s="770"/>
      <c r="C652" s="771"/>
      <c r="D652" s="705"/>
      <c r="E652" s="705"/>
      <c r="F652" s="707"/>
      <c r="G652" s="772"/>
      <c r="H652" s="772"/>
      <c r="I652" s="773"/>
      <c r="J652" s="510"/>
      <c r="K652" s="510"/>
      <c r="L652" s="510"/>
      <c r="M652" s="773"/>
      <c r="N652" s="510"/>
      <c r="O652" s="773"/>
      <c r="P652" s="773"/>
      <c r="Q652" s="705"/>
      <c r="R652" s="754"/>
      <c r="S652" s="789"/>
      <c r="T652" s="705"/>
      <c r="U652" s="755"/>
    </row>
    <row r="653" ht="26.25" customHeight="1">
      <c r="A653" s="769"/>
      <c r="B653" s="770"/>
      <c r="C653" s="771"/>
      <c r="D653" s="705"/>
      <c r="E653" s="705"/>
      <c r="F653" s="707"/>
      <c r="G653" s="772"/>
      <c r="H653" s="772"/>
      <c r="I653" s="773"/>
      <c r="J653" s="510"/>
      <c r="K653" s="510"/>
      <c r="L653" s="510"/>
      <c r="M653" s="773"/>
      <c r="N653" s="510"/>
      <c r="O653" s="773"/>
      <c r="P653" s="773"/>
      <c r="Q653" s="705"/>
      <c r="R653" s="754"/>
      <c r="S653" s="789"/>
      <c r="T653" s="705"/>
      <c r="U653" s="755"/>
    </row>
    <row r="654" ht="26.25" customHeight="1">
      <c r="A654" s="769"/>
      <c r="B654" s="770"/>
      <c r="C654" s="771"/>
      <c r="D654" s="705"/>
      <c r="E654" s="705"/>
      <c r="F654" s="707"/>
      <c r="G654" s="772"/>
      <c r="H654" s="772"/>
      <c r="I654" s="773"/>
      <c r="J654" s="510"/>
      <c r="K654" s="510"/>
      <c r="L654" s="510"/>
      <c r="M654" s="773"/>
      <c r="N654" s="510"/>
      <c r="O654" s="773"/>
      <c r="P654" s="773"/>
      <c r="Q654" s="705"/>
      <c r="R654" s="754"/>
      <c r="S654" s="789"/>
      <c r="T654" s="705"/>
      <c r="U654" s="755"/>
    </row>
    <row r="655" ht="26.25" customHeight="1">
      <c r="A655" s="769"/>
      <c r="B655" s="770"/>
      <c r="C655" s="771"/>
      <c r="D655" s="705"/>
      <c r="E655" s="705"/>
      <c r="F655" s="707"/>
      <c r="G655" s="772"/>
      <c r="H655" s="772"/>
      <c r="I655" s="773"/>
      <c r="J655" s="510"/>
      <c r="K655" s="510"/>
      <c r="L655" s="510"/>
      <c r="M655" s="773"/>
      <c r="N655" s="510"/>
      <c r="O655" s="773"/>
      <c r="P655" s="773"/>
      <c r="Q655" s="705"/>
      <c r="R655" s="754"/>
      <c r="S655" s="789"/>
      <c r="T655" s="705"/>
      <c r="U655" s="755"/>
    </row>
    <row r="656" ht="26.25" customHeight="1">
      <c r="A656" s="769"/>
      <c r="B656" s="770"/>
      <c r="C656" s="771"/>
      <c r="D656" s="705"/>
      <c r="E656" s="705"/>
      <c r="F656" s="707"/>
      <c r="G656" s="772"/>
      <c r="H656" s="772"/>
      <c r="I656" s="773"/>
      <c r="J656" s="510"/>
      <c r="K656" s="510"/>
      <c r="L656" s="510"/>
      <c r="M656" s="773"/>
      <c r="N656" s="510"/>
      <c r="O656" s="773"/>
      <c r="P656" s="773"/>
      <c r="Q656" s="705"/>
      <c r="R656" s="754"/>
      <c r="S656" s="789"/>
      <c r="T656" s="705"/>
      <c r="U656" s="755"/>
    </row>
    <row r="657" ht="26.25" customHeight="1">
      <c r="A657" s="769"/>
      <c r="B657" s="770"/>
      <c r="C657" s="771"/>
      <c r="D657" s="705"/>
      <c r="E657" s="705"/>
      <c r="F657" s="707"/>
      <c r="G657" s="772"/>
      <c r="H657" s="772"/>
      <c r="I657" s="773"/>
      <c r="J657" s="510"/>
      <c r="K657" s="510"/>
      <c r="L657" s="510"/>
      <c r="M657" s="773"/>
      <c r="N657" s="510"/>
      <c r="O657" s="773"/>
      <c r="P657" s="773"/>
      <c r="Q657" s="705"/>
      <c r="R657" s="754"/>
      <c r="S657" s="789"/>
      <c r="T657" s="705"/>
      <c r="U657" s="755"/>
    </row>
    <row r="658" ht="26.25" customHeight="1">
      <c r="A658" s="769"/>
      <c r="B658" s="770"/>
      <c r="C658" s="771"/>
      <c r="D658" s="705"/>
      <c r="E658" s="705"/>
      <c r="F658" s="707"/>
      <c r="G658" s="772"/>
      <c r="H658" s="772"/>
      <c r="I658" s="773"/>
      <c r="J658" s="510"/>
      <c r="K658" s="510"/>
      <c r="L658" s="510"/>
      <c r="M658" s="773"/>
      <c r="N658" s="510"/>
      <c r="O658" s="773"/>
      <c r="P658" s="773"/>
      <c r="Q658" s="705"/>
      <c r="R658" s="754"/>
      <c r="S658" s="789"/>
      <c r="T658" s="705"/>
      <c r="U658" s="755"/>
    </row>
    <row r="659" ht="26.25" customHeight="1">
      <c r="A659" s="769"/>
      <c r="B659" s="770"/>
      <c r="C659" s="771"/>
      <c r="D659" s="705"/>
      <c r="E659" s="705"/>
      <c r="F659" s="707"/>
      <c r="G659" s="772"/>
      <c r="H659" s="772"/>
      <c r="I659" s="773"/>
      <c r="J659" s="510"/>
      <c r="K659" s="510"/>
      <c r="L659" s="510"/>
      <c r="M659" s="773"/>
      <c r="N659" s="510"/>
      <c r="O659" s="773"/>
      <c r="P659" s="773"/>
      <c r="Q659" s="705"/>
      <c r="R659" s="754"/>
      <c r="S659" s="789"/>
      <c r="T659" s="705"/>
      <c r="U659" s="755"/>
    </row>
    <row r="660" ht="26.25" customHeight="1">
      <c r="A660" s="769"/>
      <c r="B660" s="770"/>
      <c r="C660" s="771"/>
      <c r="D660" s="705"/>
      <c r="E660" s="705"/>
      <c r="F660" s="707"/>
      <c r="G660" s="772"/>
      <c r="H660" s="772"/>
      <c r="I660" s="773"/>
      <c r="J660" s="510"/>
      <c r="K660" s="510"/>
      <c r="L660" s="510"/>
      <c r="M660" s="773"/>
      <c r="N660" s="510"/>
      <c r="O660" s="773"/>
      <c r="P660" s="773"/>
      <c r="Q660" s="705"/>
      <c r="R660" s="754"/>
      <c r="S660" s="789"/>
      <c r="T660" s="705"/>
      <c r="U660" s="755"/>
    </row>
    <row r="661" ht="26.25" customHeight="1">
      <c r="A661" s="769"/>
      <c r="B661" s="770"/>
      <c r="C661" s="771"/>
      <c r="D661" s="705"/>
      <c r="E661" s="705"/>
      <c r="F661" s="707"/>
      <c r="G661" s="772"/>
      <c r="H661" s="772"/>
      <c r="I661" s="773"/>
      <c r="J661" s="510"/>
      <c r="K661" s="510"/>
      <c r="L661" s="510"/>
      <c r="M661" s="773"/>
      <c r="N661" s="510"/>
      <c r="O661" s="773"/>
      <c r="P661" s="773"/>
      <c r="Q661" s="705"/>
      <c r="R661" s="754"/>
      <c r="S661" s="789"/>
      <c r="T661" s="705"/>
      <c r="U661" s="755"/>
    </row>
    <row r="662" ht="26.25" customHeight="1">
      <c r="A662" s="769"/>
      <c r="B662" s="770"/>
      <c r="C662" s="771"/>
      <c r="D662" s="705"/>
      <c r="E662" s="705"/>
      <c r="F662" s="707"/>
      <c r="G662" s="772"/>
      <c r="H662" s="772"/>
      <c r="I662" s="773"/>
      <c r="J662" s="510"/>
      <c r="K662" s="510"/>
      <c r="L662" s="510"/>
      <c r="M662" s="773"/>
      <c r="N662" s="510"/>
      <c r="O662" s="773"/>
      <c r="P662" s="773"/>
      <c r="Q662" s="705"/>
      <c r="R662" s="754"/>
      <c r="S662" s="789"/>
      <c r="T662" s="705"/>
      <c r="U662" s="755"/>
    </row>
    <row r="663" ht="26.25" customHeight="1">
      <c r="A663" s="769"/>
      <c r="B663" s="770"/>
      <c r="C663" s="771"/>
      <c r="D663" s="705"/>
      <c r="E663" s="705"/>
      <c r="F663" s="707"/>
      <c r="G663" s="772"/>
      <c r="H663" s="772"/>
      <c r="I663" s="773"/>
      <c r="J663" s="510"/>
      <c r="K663" s="510"/>
      <c r="L663" s="510"/>
      <c r="M663" s="773"/>
      <c r="N663" s="510"/>
      <c r="O663" s="773"/>
      <c r="P663" s="773"/>
      <c r="Q663" s="705"/>
      <c r="R663" s="754"/>
      <c r="S663" s="789"/>
      <c r="T663" s="705"/>
      <c r="U663" s="755"/>
    </row>
    <row r="664" ht="26.25" customHeight="1">
      <c r="A664" s="769"/>
      <c r="B664" s="770"/>
      <c r="C664" s="771"/>
      <c r="D664" s="705"/>
      <c r="E664" s="705"/>
      <c r="F664" s="707"/>
      <c r="G664" s="772"/>
      <c r="H664" s="772"/>
      <c r="I664" s="773"/>
      <c r="J664" s="510"/>
      <c r="K664" s="510"/>
      <c r="L664" s="510"/>
      <c r="M664" s="773"/>
      <c r="N664" s="510"/>
      <c r="O664" s="773"/>
      <c r="P664" s="773"/>
      <c r="Q664" s="705"/>
      <c r="R664" s="754"/>
      <c r="S664" s="789"/>
      <c r="T664" s="705"/>
      <c r="U664" s="755"/>
    </row>
    <row r="665" ht="26.25" customHeight="1">
      <c r="A665" s="769"/>
      <c r="B665" s="770"/>
      <c r="C665" s="771"/>
      <c r="D665" s="705"/>
      <c r="E665" s="705"/>
      <c r="F665" s="707"/>
      <c r="G665" s="772"/>
      <c r="H665" s="772"/>
      <c r="I665" s="773"/>
      <c r="J665" s="510"/>
      <c r="K665" s="510"/>
      <c r="L665" s="510"/>
      <c r="M665" s="773"/>
      <c r="N665" s="510"/>
      <c r="O665" s="773"/>
      <c r="P665" s="773"/>
      <c r="Q665" s="705"/>
      <c r="R665" s="754"/>
      <c r="S665" s="789"/>
      <c r="T665" s="705"/>
      <c r="U665" s="755"/>
    </row>
    <row r="666" ht="26.25" customHeight="1">
      <c r="A666" s="769"/>
      <c r="B666" s="770"/>
      <c r="C666" s="771"/>
      <c r="D666" s="705"/>
      <c r="E666" s="705"/>
      <c r="F666" s="707"/>
      <c r="G666" s="772"/>
      <c r="H666" s="772"/>
      <c r="I666" s="773"/>
      <c r="J666" s="510"/>
      <c r="K666" s="510"/>
      <c r="L666" s="510"/>
      <c r="M666" s="773"/>
      <c r="N666" s="510"/>
      <c r="O666" s="773"/>
      <c r="P666" s="773"/>
      <c r="Q666" s="705"/>
      <c r="R666" s="754"/>
      <c r="S666" s="789"/>
      <c r="T666" s="705"/>
      <c r="U666" s="755"/>
    </row>
    <row r="667" ht="26.25" customHeight="1">
      <c r="A667" s="769"/>
      <c r="B667" s="770"/>
      <c r="C667" s="771"/>
      <c r="D667" s="705"/>
      <c r="E667" s="705"/>
      <c r="F667" s="707"/>
      <c r="G667" s="772"/>
      <c r="H667" s="772"/>
      <c r="I667" s="773"/>
      <c r="J667" s="510"/>
      <c r="K667" s="510"/>
      <c r="L667" s="510"/>
      <c r="M667" s="773"/>
      <c r="N667" s="510"/>
      <c r="O667" s="773"/>
      <c r="P667" s="773"/>
      <c r="Q667" s="705"/>
      <c r="R667" s="754"/>
      <c r="S667" s="789"/>
      <c r="T667" s="705"/>
      <c r="U667" s="755"/>
    </row>
    <row r="668" ht="26.25" customHeight="1">
      <c r="A668" s="769"/>
      <c r="B668" s="770"/>
      <c r="C668" s="771"/>
      <c r="D668" s="705"/>
      <c r="E668" s="705"/>
      <c r="F668" s="707"/>
      <c r="G668" s="772"/>
      <c r="H668" s="772"/>
      <c r="I668" s="773"/>
      <c r="J668" s="510"/>
      <c r="K668" s="510"/>
      <c r="L668" s="510"/>
      <c r="M668" s="773"/>
      <c r="N668" s="510"/>
      <c r="O668" s="773"/>
      <c r="P668" s="773"/>
      <c r="Q668" s="705"/>
      <c r="R668" s="754"/>
      <c r="S668" s="789"/>
      <c r="T668" s="705"/>
      <c r="U668" s="755"/>
    </row>
    <row r="669" ht="26.25" customHeight="1">
      <c r="A669" s="769"/>
      <c r="B669" s="770"/>
      <c r="C669" s="771"/>
      <c r="D669" s="705"/>
      <c r="E669" s="705"/>
      <c r="F669" s="707"/>
      <c r="G669" s="772"/>
      <c r="H669" s="772"/>
      <c r="I669" s="773"/>
      <c r="J669" s="510"/>
      <c r="K669" s="510"/>
      <c r="L669" s="510"/>
      <c r="M669" s="773"/>
      <c r="N669" s="510"/>
      <c r="O669" s="773"/>
      <c r="P669" s="773"/>
      <c r="Q669" s="705"/>
      <c r="R669" s="754"/>
      <c r="S669" s="789"/>
      <c r="T669" s="705"/>
      <c r="U669" s="755"/>
    </row>
    <row r="670" ht="26.25" customHeight="1">
      <c r="A670" s="769"/>
      <c r="B670" s="770"/>
      <c r="C670" s="771"/>
      <c r="D670" s="705"/>
      <c r="E670" s="705"/>
      <c r="F670" s="707"/>
      <c r="G670" s="772"/>
      <c r="H670" s="772"/>
      <c r="I670" s="773"/>
      <c r="J670" s="510"/>
      <c r="K670" s="510"/>
      <c r="L670" s="510"/>
      <c r="M670" s="773"/>
      <c r="N670" s="510"/>
      <c r="O670" s="773"/>
      <c r="P670" s="773"/>
      <c r="Q670" s="705"/>
      <c r="R670" s="754"/>
      <c r="S670" s="789"/>
      <c r="T670" s="705"/>
      <c r="U670" s="755"/>
    </row>
    <row r="671" ht="26.25" customHeight="1">
      <c r="A671" s="769"/>
      <c r="B671" s="770"/>
      <c r="C671" s="771"/>
      <c r="D671" s="705"/>
      <c r="E671" s="705"/>
      <c r="F671" s="707"/>
      <c r="G671" s="772"/>
      <c r="H671" s="772"/>
      <c r="I671" s="773"/>
      <c r="J671" s="510"/>
      <c r="K671" s="510"/>
      <c r="L671" s="510"/>
      <c r="M671" s="773"/>
      <c r="N671" s="510"/>
      <c r="O671" s="773"/>
      <c r="P671" s="773"/>
      <c r="Q671" s="705"/>
      <c r="R671" s="754"/>
      <c r="S671" s="789"/>
      <c r="T671" s="705"/>
      <c r="U671" s="755"/>
    </row>
    <row r="672" ht="26.25" customHeight="1">
      <c r="A672" s="769"/>
      <c r="B672" s="770"/>
      <c r="C672" s="771"/>
      <c r="D672" s="705"/>
      <c r="E672" s="705"/>
      <c r="F672" s="707"/>
      <c r="G672" s="772"/>
      <c r="H672" s="772"/>
      <c r="I672" s="773"/>
      <c r="J672" s="510"/>
      <c r="K672" s="510"/>
      <c r="L672" s="510"/>
      <c r="M672" s="773"/>
      <c r="N672" s="510"/>
      <c r="O672" s="773"/>
      <c r="P672" s="773"/>
      <c r="Q672" s="705"/>
      <c r="R672" s="754"/>
      <c r="S672" s="789"/>
      <c r="T672" s="705"/>
      <c r="U672" s="755"/>
    </row>
    <row r="673" ht="26.25" customHeight="1">
      <c r="A673" s="769"/>
      <c r="B673" s="770"/>
      <c r="C673" s="771"/>
      <c r="D673" s="705"/>
      <c r="E673" s="705"/>
      <c r="F673" s="707"/>
      <c r="G673" s="772"/>
      <c r="H673" s="772"/>
      <c r="I673" s="773"/>
      <c r="J673" s="510"/>
      <c r="K673" s="510"/>
      <c r="L673" s="510"/>
      <c r="M673" s="773"/>
      <c r="N673" s="510"/>
      <c r="O673" s="773"/>
      <c r="P673" s="773"/>
      <c r="Q673" s="705"/>
      <c r="R673" s="754"/>
      <c r="S673" s="789"/>
      <c r="T673" s="705"/>
      <c r="U673" s="755"/>
    </row>
    <row r="674" ht="26.25" customHeight="1">
      <c r="A674" s="769"/>
      <c r="B674" s="770"/>
      <c r="C674" s="771"/>
      <c r="D674" s="705"/>
      <c r="E674" s="705"/>
      <c r="F674" s="707"/>
      <c r="G674" s="772"/>
      <c r="H674" s="772"/>
      <c r="I674" s="773"/>
      <c r="J674" s="510"/>
      <c r="K674" s="510"/>
      <c r="L674" s="510"/>
      <c r="M674" s="773"/>
      <c r="N674" s="510"/>
      <c r="O674" s="773"/>
      <c r="P674" s="773"/>
      <c r="Q674" s="705"/>
      <c r="R674" s="754"/>
      <c r="S674" s="789"/>
      <c r="T674" s="705"/>
      <c r="U674" s="755"/>
    </row>
    <row r="675" ht="26.25" customHeight="1">
      <c r="A675" s="769"/>
      <c r="B675" s="770"/>
      <c r="C675" s="771"/>
      <c r="D675" s="705"/>
      <c r="E675" s="705"/>
      <c r="F675" s="707"/>
      <c r="G675" s="772"/>
      <c r="H675" s="772"/>
      <c r="I675" s="773"/>
      <c r="J675" s="510"/>
      <c r="K675" s="510"/>
      <c r="L675" s="510"/>
      <c r="M675" s="773"/>
      <c r="N675" s="510"/>
      <c r="O675" s="773"/>
      <c r="P675" s="773"/>
      <c r="Q675" s="705"/>
      <c r="R675" s="754"/>
      <c r="S675" s="789"/>
      <c r="T675" s="705"/>
      <c r="U675" s="755"/>
    </row>
    <row r="676" ht="26.25" customHeight="1">
      <c r="A676" s="769"/>
      <c r="B676" s="770"/>
      <c r="C676" s="771"/>
      <c r="D676" s="705"/>
      <c r="E676" s="705"/>
      <c r="F676" s="707"/>
      <c r="G676" s="772"/>
      <c r="H676" s="772"/>
      <c r="I676" s="773"/>
      <c r="J676" s="510"/>
      <c r="K676" s="510"/>
      <c r="L676" s="510"/>
      <c r="M676" s="773"/>
      <c r="N676" s="510"/>
      <c r="O676" s="773"/>
      <c r="P676" s="773"/>
      <c r="Q676" s="705"/>
      <c r="R676" s="754"/>
      <c r="S676" s="789"/>
      <c r="T676" s="705"/>
      <c r="U676" s="755"/>
    </row>
    <row r="677" ht="26.25" customHeight="1">
      <c r="A677" s="769"/>
      <c r="B677" s="770"/>
      <c r="C677" s="771"/>
      <c r="D677" s="705"/>
      <c r="E677" s="705"/>
      <c r="F677" s="707"/>
      <c r="G677" s="772"/>
      <c r="H677" s="772"/>
      <c r="I677" s="773"/>
      <c r="J677" s="510"/>
      <c r="K677" s="510"/>
      <c r="L677" s="510"/>
      <c r="M677" s="773"/>
      <c r="N677" s="510"/>
      <c r="O677" s="773"/>
      <c r="P677" s="773"/>
      <c r="Q677" s="705"/>
      <c r="R677" s="754"/>
      <c r="S677" s="789"/>
      <c r="T677" s="705"/>
      <c r="U677" s="755"/>
    </row>
    <row r="678" ht="26.25" customHeight="1">
      <c r="A678" s="769"/>
      <c r="B678" s="770"/>
      <c r="C678" s="771"/>
      <c r="D678" s="705"/>
      <c r="E678" s="705"/>
      <c r="F678" s="707"/>
      <c r="G678" s="772"/>
      <c r="H678" s="772"/>
      <c r="I678" s="773"/>
      <c r="J678" s="510"/>
      <c r="K678" s="510"/>
      <c r="L678" s="510"/>
      <c r="M678" s="773"/>
      <c r="N678" s="510"/>
      <c r="O678" s="773"/>
      <c r="P678" s="773"/>
      <c r="Q678" s="705"/>
      <c r="R678" s="754"/>
      <c r="S678" s="789"/>
      <c r="T678" s="705"/>
      <c r="U678" s="755"/>
    </row>
    <row r="679" ht="26.25" customHeight="1">
      <c r="A679" s="769"/>
      <c r="B679" s="770"/>
      <c r="C679" s="771"/>
      <c r="D679" s="705"/>
      <c r="E679" s="705"/>
      <c r="F679" s="707"/>
      <c r="G679" s="772"/>
      <c r="H679" s="772"/>
      <c r="I679" s="773"/>
      <c r="J679" s="510"/>
      <c r="K679" s="510"/>
      <c r="L679" s="510"/>
      <c r="M679" s="773"/>
      <c r="N679" s="510"/>
      <c r="O679" s="773"/>
      <c r="P679" s="773"/>
      <c r="Q679" s="705"/>
      <c r="R679" s="754"/>
      <c r="S679" s="789"/>
      <c r="T679" s="705"/>
      <c r="U679" s="755"/>
    </row>
    <row r="680" ht="26.25" customHeight="1">
      <c r="A680" s="769"/>
      <c r="B680" s="770"/>
      <c r="C680" s="771"/>
      <c r="D680" s="705"/>
      <c r="E680" s="705"/>
      <c r="F680" s="707"/>
      <c r="G680" s="772"/>
      <c r="H680" s="772"/>
      <c r="I680" s="773"/>
      <c r="J680" s="510"/>
      <c r="K680" s="510"/>
      <c r="L680" s="510"/>
      <c r="M680" s="773"/>
      <c r="N680" s="510"/>
      <c r="O680" s="773"/>
      <c r="P680" s="773"/>
      <c r="Q680" s="705"/>
      <c r="R680" s="754"/>
      <c r="S680" s="789"/>
      <c r="T680" s="705"/>
      <c r="U680" s="755"/>
    </row>
    <row r="681" ht="26.25" customHeight="1">
      <c r="A681" s="769"/>
      <c r="B681" s="770"/>
      <c r="C681" s="771"/>
      <c r="D681" s="705"/>
      <c r="E681" s="705"/>
      <c r="F681" s="707"/>
      <c r="G681" s="772"/>
      <c r="H681" s="772"/>
      <c r="I681" s="773"/>
      <c r="J681" s="510"/>
      <c r="K681" s="510"/>
      <c r="L681" s="510"/>
      <c r="M681" s="773"/>
      <c r="N681" s="510"/>
      <c r="O681" s="773"/>
      <c r="P681" s="773"/>
      <c r="Q681" s="705"/>
      <c r="R681" s="754"/>
      <c r="S681" s="789"/>
      <c r="T681" s="705"/>
      <c r="U681" s="755"/>
    </row>
    <row r="682" ht="26.25" customHeight="1">
      <c r="A682" s="769"/>
      <c r="B682" s="770"/>
      <c r="C682" s="771"/>
      <c r="D682" s="705"/>
      <c r="E682" s="705"/>
      <c r="F682" s="707"/>
      <c r="G682" s="772"/>
      <c r="H682" s="772"/>
      <c r="I682" s="773"/>
      <c r="J682" s="510"/>
      <c r="K682" s="510"/>
      <c r="L682" s="510"/>
      <c r="M682" s="773"/>
      <c r="N682" s="510"/>
      <c r="O682" s="773"/>
      <c r="P682" s="773"/>
      <c r="Q682" s="705"/>
      <c r="R682" s="754"/>
      <c r="S682" s="789"/>
      <c r="T682" s="705"/>
      <c r="U682" s="755"/>
    </row>
    <row r="683" ht="26.25" customHeight="1">
      <c r="A683" s="769"/>
      <c r="B683" s="770"/>
      <c r="C683" s="771"/>
      <c r="D683" s="705"/>
      <c r="E683" s="705"/>
      <c r="F683" s="707"/>
      <c r="G683" s="772"/>
      <c r="H683" s="772"/>
      <c r="I683" s="773"/>
      <c r="J683" s="510"/>
      <c r="K683" s="510"/>
      <c r="L683" s="510"/>
      <c r="M683" s="773"/>
      <c r="N683" s="510"/>
      <c r="O683" s="773"/>
      <c r="P683" s="773"/>
      <c r="Q683" s="705"/>
      <c r="R683" s="754"/>
      <c r="S683" s="789"/>
      <c r="T683" s="705"/>
      <c r="U683" s="755"/>
    </row>
    <row r="684" ht="26.25" customHeight="1">
      <c r="A684" s="769"/>
      <c r="B684" s="770"/>
      <c r="C684" s="771"/>
      <c r="D684" s="705"/>
      <c r="E684" s="705"/>
      <c r="F684" s="707"/>
      <c r="G684" s="772"/>
      <c r="H684" s="772"/>
      <c r="I684" s="773"/>
      <c r="J684" s="510"/>
      <c r="K684" s="510"/>
      <c r="L684" s="510"/>
      <c r="M684" s="773"/>
      <c r="N684" s="510"/>
      <c r="O684" s="773"/>
      <c r="P684" s="773"/>
      <c r="Q684" s="705"/>
      <c r="R684" s="754"/>
      <c r="S684" s="789"/>
      <c r="T684" s="705"/>
      <c r="U684" s="755"/>
    </row>
    <row r="685" ht="26.25" customHeight="1">
      <c r="A685" s="769"/>
      <c r="B685" s="770"/>
      <c r="C685" s="771"/>
      <c r="D685" s="705"/>
      <c r="E685" s="705"/>
      <c r="F685" s="707"/>
      <c r="G685" s="772"/>
      <c r="H685" s="772"/>
      <c r="I685" s="773"/>
      <c r="J685" s="510"/>
      <c r="K685" s="510"/>
      <c r="L685" s="510"/>
      <c r="M685" s="773"/>
      <c r="N685" s="510"/>
      <c r="O685" s="773"/>
      <c r="P685" s="773"/>
      <c r="Q685" s="705"/>
      <c r="R685" s="754"/>
      <c r="S685" s="789"/>
      <c r="T685" s="705"/>
      <c r="U685" s="755"/>
    </row>
    <row r="686" ht="26.25" customHeight="1">
      <c r="A686" s="769"/>
      <c r="B686" s="770"/>
      <c r="C686" s="771"/>
      <c r="D686" s="705"/>
      <c r="E686" s="705"/>
      <c r="F686" s="707"/>
      <c r="G686" s="772"/>
      <c r="H686" s="772"/>
      <c r="I686" s="773"/>
      <c r="J686" s="510"/>
      <c r="K686" s="510"/>
      <c r="L686" s="510"/>
      <c r="M686" s="773"/>
      <c r="N686" s="510"/>
      <c r="O686" s="773"/>
      <c r="P686" s="773"/>
      <c r="Q686" s="705"/>
      <c r="R686" s="754"/>
      <c r="S686" s="789"/>
      <c r="T686" s="705"/>
      <c r="U686" s="755"/>
    </row>
    <row r="687" ht="26.25" customHeight="1">
      <c r="A687" s="769"/>
      <c r="B687" s="770"/>
      <c r="C687" s="771"/>
      <c r="D687" s="705"/>
      <c r="E687" s="705"/>
      <c r="F687" s="707"/>
      <c r="G687" s="772"/>
      <c r="H687" s="772"/>
      <c r="I687" s="773"/>
      <c r="J687" s="510"/>
      <c r="K687" s="510"/>
      <c r="L687" s="510"/>
      <c r="M687" s="773"/>
      <c r="N687" s="510"/>
      <c r="O687" s="773"/>
      <c r="P687" s="773"/>
      <c r="Q687" s="705"/>
      <c r="R687" s="754"/>
      <c r="S687" s="789"/>
      <c r="T687" s="705"/>
      <c r="U687" s="755"/>
    </row>
    <row r="688" ht="26.25" customHeight="1">
      <c r="A688" s="769"/>
      <c r="B688" s="770"/>
      <c r="C688" s="771"/>
      <c r="D688" s="705"/>
      <c r="E688" s="705"/>
      <c r="F688" s="707"/>
      <c r="G688" s="772"/>
      <c r="H688" s="772"/>
      <c r="I688" s="773"/>
      <c r="J688" s="510"/>
      <c r="K688" s="510"/>
      <c r="L688" s="510"/>
      <c r="M688" s="773"/>
      <c r="N688" s="510"/>
      <c r="O688" s="773"/>
      <c r="P688" s="773"/>
      <c r="Q688" s="705"/>
      <c r="R688" s="754"/>
      <c r="S688" s="789"/>
      <c r="T688" s="705"/>
      <c r="U688" s="755"/>
    </row>
    <row r="689" ht="26.25" customHeight="1">
      <c r="A689" s="769"/>
      <c r="B689" s="770"/>
      <c r="C689" s="771"/>
      <c r="D689" s="705"/>
      <c r="E689" s="705"/>
      <c r="F689" s="707"/>
      <c r="G689" s="772"/>
      <c r="H689" s="772"/>
      <c r="I689" s="773"/>
      <c r="J689" s="510"/>
      <c r="K689" s="510"/>
      <c r="L689" s="510"/>
      <c r="M689" s="773"/>
      <c r="N689" s="510"/>
      <c r="O689" s="773"/>
      <c r="P689" s="773"/>
      <c r="Q689" s="705"/>
      <c r="R689" s="754"/>
      <c r="S689" s="789"/>
      <c r="T689" s="705"/>
      <c r="U689" s="755"/>
    </row>
    <row r="690" ht="26.25" customHeight="1">
      <c r="A690" s="769"/>
      <c r="B690" s="770"/>
      <c r="C690" s="771"/>
      <c r="D690" s="705"/>
      <c r="E690" s="705"/>
      <c r="F690" s="707"/>
      <c r="G690" s="772"/>
      <c r="H690" s="772"/>
      <c r="I690" s="773"/>
      <c r="J690" s="510"/>
      <c r="K690" s="510"/>
      <c r="L690" s="510"/>
      <c r="M690" s="773"/>
      <c r="N690" s="510"/>
      <c r="O690" s="773"/>
      <c r="P690" s="773"/>
      <c r="Q690" s="705"/>
      <c r="R690" s="754"/>
      <c r="S690" s="789"/>
      <c r="T690" s="705"/>
      <c r="U690" s="755"/>
    </row>
    <row r="691" ht="26.25" customHeight="1">
      <c r="A691" s="769"/>
      <c r="B691" s="770"/>
      <c r="C691" s="771"/>
      <c r="D691" s="705"/>
      <c r="E691" s="705"/>
      <c r="F691" s="707"/>
      <c r="G691" s="772"/>
      <c r="H691" s="772"/>
      <c r="I691" s="773"/>
      <c r="J691" s="510"/>
      <c r="K691" s="510"/>
      <c r="L691" s="510"/>
      <c r="M691" s="773"/>
      <c r="N691" s="510"/>
      <c r="O691" s="773"/>
      <c r="P691" s="773"/>
      <c r="Q691" s="705"/>
      <c r="R691" s="754"/>
      <c r="S691" s="789"/>
      <c r="T691" s="705"/>
      <c r="U691" s="755"/>
    </row>
    <row r="692" ht="26.25" customHeight="1">
      <c r="A692" s="769"/>
      <c r="B692" s="770"/>
      <c r="C692" s="771"/>
      <c r="D692" s="705"/>
      <c r="E692" s="705"/>
      <c r="F692" s="707"/>
      <c r="G692" s="772"/>
      <c r="H692" s="772"/>
      <c r="I692" s="773"/>
      <c r="J692" s="510"/>
      <c r="K692" s="510"/>
      <c r="L692" s="510"/>
      <c r="M692" s="773"/>
      <c r="N692" s="510"/>
      <c r="O692" s="773"/>
      <c r="P692" s="773"/>
      <c r="Q692" s="705"/>
      <c r="R692" s="754"/>
      <c r="S692" s="789"/>
      <c r="T692" s="705"/>
      <c r="U692" s="755"/>
    </row>
    <row r="693" ht="26.25" customHeight="1">
      <c r="A693" s="769"/>
      <c r="B693" s="770"/>
      <c r="C693" s="771"/>
      <c r="D693" s="705"/>
      <c r="E693" s="705"/>
      <c r="F693" s="707"/>
      <c r="G693" s="772"/>
      <c r="H693" s="772"/>
      <c r="I693" s="773"/>
      <c r="J693" s="510"/>
      <c r="K693" s="510"/>
      <c r="L693" s="510"/>
      <c r="M693" s="773"/>
      <c r="N693" s="510"/>
      <c r="O693" s="773"/>
      <c r="P693" s="773"/>
      <c r="Q693" s="705"/>
      <c r="R693" s="754"/>
      <c r="S693" s="789"/>
      <c r="T693" s="705"/>
      <c r="U693" s="755"/>
    </row>
    <row r="694" ht="26.25" customHeight="1">
      <c r="A694" s="769"/>
      <c r="B694" s="770"/>
      <c r="C694" s="771"/>
      <c r="D694" s="705"/>
      <c r="E694" s="705"/>
      <c r="F694" s="707"/>
      <c r="G694" s="772"/>
      <c r="H694" s="772"/>
      <c r="I694" s="773"/>
      <c r="J694" s="510"/>
      <c r="K694" s="510"/>
      <c r="L694" s="510"/>
      <c r="M694" s="773"/>
      <c r="N694" s="510"/>
      <c r="O694" s="773"/>
      <c r="P694" s="773"/>
      <c r="Q694" s="705"/>
      <c r="R694" s="754"/>
      <c r="S694" s="789"/>
      <c r="T694" s="705"/>
      <c r="U694" s="755"/>
    </row>
    <row r="695" ht="26.25" customHeight="1">
      <c r="A695" s="769"/>
      <c r="B695" s="770"/>
      <c r="C695" s="771"/>
      <c r="D695" s="705"/>
      <c r="E695" s="705"/>
      <c r="F695" s="707"/>
      <c r="G695" s="772"/>
      <c r="H695" s="772"/>
      <c r="I695" s="773"/>
      <c r="J695" s="510"/>
      <c r="K695" s="510"/>
      <c r="L695" s="510"/>
      <c r="M695" s="773"/>
      <c r="N695" s="510"/>
      <c r="O695" s="773"/>
      <c r="P695" s="773"/>
      <c r="Q695" s="705"/>
      <c r="R695" s="754"/>
      <c r="S695" s="789"/>
      <c r="T695" s="705"/>
      <c r="U695" s="755"/>
    </row>
    <row r="696" ht="26.25" customHeight="1">
      <c r="A696" s="769"/>
      <c r="B696" s="770"/>
      <c r="C696" s="771"/>
      <c r="D696" s="705"/>
      <c r="E696" s="705"/>
      <c r="F696" s="707"/>
      <c r="G696" s="772"/>
      <c r="H696" s="772"/>
      <c r="I696" s="773"/>
      <c r="J696" s="510"/>
      <c r="K696" s="510"/>
      <c r="L696" s="510"/>
      <c r="M696" s="773"/>
      <c r="N696" s="510"/>
      <c r="O696" s="773"/>
      <c r="P696" s="773"/>
      <c r="Q696" s="705"/>
      <c r="R696" s="754"/>
      <c r="S696" s="789"/>
      <c r="T696" s="705"/>
      <c r="U696" s="755"/>
    </row>
    <row r="697" ht="26.25" customHeight="1">
      <c r="A697" s="769"/>
      <c r="B697" s="770"/>
      <c r="C697" s="771"/>
      <c r="D697" s="705"/>
      <c r="E697" s="705"/>
      <c r="F697" s="707"/>
      <c r="G697" s="772"/>
      <c r="H697" s="772"/>
      <c r="I697" s="773"/>
      <c r="J697" s="510"/>
      <c r="K697" s="510"/>
      <c r="L697" s="510"/>
      <c r="M697" s="773"/>
      <c r="N697" s="510"/>
      <c r="O697" s="773"/>
      <c r="P697" s="773"/>
      <c r="Q697" s="705"/>
      <c r="R697" s="754"/>
      <c r="S697" s="789"/>
      <c r="T697" s="705"/>
      <c r="U697" s="755"/>
    </row>
    <row r="698" ht="26.25" customHeight="1">
      <c r="A698" s="769"/>
      <c r="B698" s="770"/>
      <c r="C698" s="771"/>
      <c r="D698" s="705"/>
      <c r="E698" s="705"/>
      <c r="F698" s="707"/>
      <c r="G698" s="772"/>
      <c r="H698" s="772"/>
      <c r="I698" s="773"/>
      <c r="J698" s="510"/>
      <c r="K698" s="510"/>
      <c r="L698" s="510"/>
      <c r="M698" s="773"/>
      <c r="N698" s="510"/>
      <c r="O698" s="773"/>
      <c r="P698" s="773"/>
      <c r="Q698" s="705"/>
      <c r="R698" s="754"/>
      <c r="S698" s="789"/>
      <c r="T698" s="705"/>
      <c r="U698" s="755"/>
    </row>
    <row r="699" ht="26.25" customHeight="1">
      <c r="A699" s="769"/>
      <c r="B699" s="770"/>
      <c r="C699" s="771"/>
      <c r="D699" s="705"/>
      <c r="E699" s="705"/>
      <c r="F699" s="707"/>
      <c r="G699" s="772"/>
      <c r="H699" s="772"/>
      <c r="I699" s="773"/>
      <c r="J699" s="510"/>
      <c r="K699" s="510"/>
      <c r="L699" s="510"/>
      <c r="M699" s="773"/>
      <c r="N699" s="510"/>
      <c r="O699" s="773"/>
      <c r="P699" s="773"/>
      <c r="Q699" s="705"/>
      <c r="R699" s="754"/>
      <c r="S699" s="789"/>
      <c r="T699" s="705"/>
      <c r="U699" s="755"/>
    </row>
    <row r="700" ht="26.25" customHeight="1">
      <c r="A700" s="769"/>
      <c r="B700" s="770"/>
      <c r="C700" s="771"/>
      <c r="D700" s="705"/>
      <c r="E700" s="705"/>
      <c r="F700" s="707"/>
      <c r="G700" s="772"/>
      <c r="H700" s="772"/>
      <c r="I700" s="773"/>
      <c r="J700" s="510"/>
      <c r="K700" s="510"/>
      <c r="L700" s="510"/>
      <c r="M700" s="773"/>
      <c r="N700" s="510"/>
      <c r="O700" s="773"/>
      <c r="P700" s="773"/>
      <c r="Q700" s="705"/>
      <c r="R700" s="754"/>
      <c r="S700" s="789"/>
      <c r="T700" s="705"/>
      <c r="U700" s="755"/>
    </row>
    <row r="701" ht="26.25" customHeight="1">
      <c r="A701" s="769"/>
      <c r="B701" s="770"/>
      <c r="C701" s="771"/>
      <c r="D701" s="705"/>
      <c r="E701" s="705"/>
      <c r="F701" s="707"/>
      <c r="G701" s="772"/>
      <c r="H701" s="772"/>
      <c r="I701" s="773"/>
      <c r="J701" s="510"/>
      <c r="K701" s="510"/>
      <c r="L701" s="510"/>
      <c r="M701" s="773"/>
      <c r="N701" s="510"/>
      <c r="O701" s="773"/>
      <c r="P701" s="773"/>
      <c r="Q701" s="705"/>
      <c r="R701" s="754"/>
      <c r="S701" s="789"/>
      <c r="T701" s="705"/>
      <c r="U701" s="755"/>
    </row>
    <row r="702" ht="26.25" customHeight="1">
      <c r="A702" s="769"/>
      <c r="B702" s="770"/>
      <c r="C702" s="771"/>
      <c r="D702" s="705"/>
      <c r="E702" s="705"/>
      <c r="F702" s="707"/>
      <c r="G702" s="772"/>
      <c r="H702" s="772"/>
      <c r="I702" s="773"/>
      <c r="J702" s="510"/>
      <c r="K702" s="510"/>
      <c r="L702" s="510"/>
      <c r="M702" s="773"/>
      <c r="N702" s="510"/>
      <c r="O702" s="773"/>
      <c r="P702" s="773"/>
      <c r="Q702" s="705"/>
      <c r="R702" s="754"/>
      <c r="S702" s="789"/>
      <c r="T702" s="705"/>
      <c r="U702" s="755"/>
    </row>
    <row r="703" ht="26.25" customHeight="1">
      <c r="A703" s="769"/>
      <c r="B703" s="770"/>
      <c r="C703" s="771"/>
      <c r="D703" s="705"/>
      <c r="E703" s="705"/>
      <c r="F703" s="707"/>
      <c r="G703" s="772"/>
      <c r="H703" s="772"/>
      <c r="I703" s="773"/>
      <c r="J703" s="510"/>
      <c r="K703" s="510"/>
      <c r="L703" s="510"/>
      <c r="M703" s="773"/>
      <c r="N703" s="510"/>
      <c r="O703" s="773"/>
      <c r="P703" s="773"/>
      <c r="Q703" s="705"/>
      <c r="R703" s="754"/>
      <c r="S703" s="789"/>
      <c r="T703" s="705"/>
      <c r="U703" s="755"/>
    </row>
    <row r="704" ht="26.25" customHeight="1">
      <c r="A704" s="769"/>
      <c r="B704" s="770"/>
      <c r="C704" s="771"/>
      <c r="D704" s="705"/>
      <c r="E704" s="705"/>
      <c r="F704" s="707"/>
      <c r="G704" s="772"/>
      <c r="H704" s="772"/>
      <c r="I704" s="773"/>
      <c r="J704" s="510"/>
      <c r="K704" s="510"/>
      <c r="L704" s="510"/>
      <c r="M704" s="773"/>
      <c r="N704" s="510"/>
      <c r="O704" s="773"/>
      <c r="P704" s="773"/>
      <c r="Q704" s="705"/>
      <c r="R704" s="754"/>
      <c r="S704" s="789"/>
      <c r="T704" s="705"/>
      <c r="U704" s="755"/>
    </row>
    <row r="705" ht="26.25" customHeight="1">
      <c r="A705" s="769"/>
      <c r="B705" s="770"/>
      <c r="C705" s="771"/>
      <c r="D705" s="705"/>
      <c r="E705" s="705"/>
      <c r="F705" s="707"/>
      <c r="G705" s="772"/>
      <c r="H705" s="772"/>
      <c r="I705" s="773"/>
      <c r="J705" s="510"/>
      <c r="K705" s="510"/>
      <c r="L705" s="510"/>
      <c r="M705" s="773"/>
      <c r="N705" s="510"/>
      <c r="O705" s="773"/>
      <c r="P705" s="773"/>
      <c r="Q705" s="705"/>
      <c r="R705" s="754"/>
      <c r="S705" s="789"/>
      <c r="T705" s="705"/>
      <c r="U705" s="755"/>
    </row>
    <row r="706" ht="26.25" customHeight="1">
      <c r="A706" s="769"/>
      <c r="B706" s="770"/>
      <c r="C706" s="771"/>
      <c r="D706" s="705"/>
      <c r="E706" s="705"/>
      <c r="F706" s="707"/>
      <c r="G706" s="772"/>
      <c r="H706" s="772"/>
      <c r="I706" s="773"/>
      <c r="J706" s="510"/>
      <c r="K706" s="510"/>
      <c r="L706" s="510"/>
      <c r="M706" s="773"/>
      <c r="N706" s="510"/>
      <c r="O706" s="773"/>
      <c r="P706" s="773"/>
      <c r="Q706" s="705"/>
      <c r="R706" s="754"/>
      <c r="S706" s="789"/>
      <c r="T706" s="705"/>
      <c r="U706" s="755"/>
    </row>
    <row r="707" ht="26.25" customHeight="1">
      <c r="A707" s="769"/>
      <c r="B707" s="770"/>
      <c r="C707" s="771"/>
      <c r="D707" s="705"/>
      <c r="E707" s="705"/>
      <c r="F707" s="707"/>
      <c r="G707" s="772"/>
      <c r="H707" s="772"/>
      <c r="I707" s="773"/>
      <c r="J707" s="510"/>
      <c r="K707" s="510"/>
      <c r="L707" s="510"/>
      <c r="M707" s="773"/>
      <c r="N707" s="510"/>
      <c r="O707" s="773"/>
      <c r="P707" s="773"/>
      <c r="Q707" s="705"/>
      <c r="R707" s="754"/>
      <c r="S707" s="789"/>
      <c r="T707" s="705"/>
      <c r="U707" s="755"/>
    </row>
    <row r="708" ht="26.25" customHeight="1">
      <c r="A708" s="769"/>
      <c r="B708" s="770"/>
      <c r="C708" s="771"/>
      <c r="D708" s="705"/>
      <c r="E708" s="705"/>
      <c r="F708" s="707"/>
      <c r="G708" s="772"/>
      <c r="H708" s="772"/>
      <c r="I708" s="773"/>
      <c r="J708" s="510"/>
      <c r="K708" s="510"/>
      <c r="L708" s="510"/>
      <c r="M708" s="773"/>
      <c r="N708" s="510"/>
      <c r="O708" s="773"/>
      <c r="P708" s="773"/>
      <c r="Q708" s="705"/>
      <c r="R708" s="754"/>
      <c r="S708" s="789"/>
      <c r="T708" s="705"/>
      <c r="U708" s="755"/>
    </row>
    <row r="709" ht="26.25" customHeight="1">
      <c r="A709" s="769"/>
      <c r="B709" s="770"/>
      <c r="C709" s="771"/>
      <c r="D709" s="705"/>
      <c r="E709" s="705"/>
      <c r="F709" s="707"/>
      <c r="G709" s="772"/>
      <c r="H709" s="772"/>
      <c r="I709" s="773"/>
      <c r="J709" s="510"/>
      <c r="K709" s="510"/>
      <c r="L709" s="510"/>
      <c r="M709" s="773"/>
      <c r="N709" s="510"/>
      <c r="O709" s="773"/>
      <c r="P709" s="773"/>
      <c r="Q709" s="705"/>
      <c r="R709" s="754"/>
      <c r="S709" s="789"/>
      <c r="T709" s="705"/>
      <c r="U709" s="755"/>
    </row>
    <row r="710" ht="26.25" customHeight="1">
      <c r="A710" s="769"/>
      <c r="B710" s="770"/>
      <c r="C710" s="771"/>
      <c r="D710" s="705"/>
      <c r="E710" s="705"/>
      <c r="F710" s="707"/>
      <c r="G710" s="772"/>
      <c r="H710" s="772"/>
      <c r="I710" s="773"/>
      <c r="J710" s="510"/>
      <c r="K710" s="510"/>
      <c r="L710" s="510"/>
      <c r="M710" s="773"/>
      <c r="N710" s="510"/>
      <c r="O710" s="773"/>
      <c r="P710" s="773"/>
      <c r="Q710" s="705"/>
      <c r="R710" s="754"/>
      <c r="S710" s="789"/>
      <c r="T710" s="705"/>
      <c r="U710" s="755"/>
    </row>
    <row r="711" ht="26.25" customHeight="1">
      <c r="A711" s="769"/>
      <c r="B711" s="770"/>
      <c r="C711" s="771"/>
      <c r="D711" s="705"/>
      <c r="E711" s="705"/>
      <c r="F711" s="707"/>
      <c r="G711" s="772"/>
      <c r="H711" s="772"/>
      <c r="I711" s="773"/>
      <c r="J711" s="510"/>
      <c r="K711" s="510"/>
      <c r="L711" s="510"/>
      <c r="M711" s="773"/>
      <c r="N711" s="510"/>
      <c r="O711" s="773"/>
      <c r="P711" s="773"/>
      <c r="Q711" s="705"/>
      <c r="R711" s="754"/>
      <c r="S711" s="789"/>
      <c r="T711" s="705"/>
      <c r="U711" s="755"/>
    </row>
    <row r="712" ht="26.25" customHeight="1">
      <c r="A712" s="769"/>
      <c r="B712" s="770"/>
      <c r="C712" s="771"/>
      <c r="D712" s="705"/>
      <c r="E712" s="705"/>
      <c r="F712" s="707"/>
      <c r="G712" s="772"/>
      <c r="H712" s="772"/>
      <c r="I712" s="773"/>
      <c r="J712" s="510"/>
      <c r="K712" s="510"/>
      <c r="L712" s="510"/>
      <c r="M712" s="773"/>
      <c r="N712" s="510"/>
      <c r="O712" s="773"/>
      <c r="P712" s="773"/>
      <c r="Q712" s="705"/>
      <c r="R712" s="754"/>
      <c r="S712" s="789"/>
      <c r="T712" s="705"/>
      <c r="U712" s="755"/>
    </row>
    <row r="713" ht="26.25" customHeight="1">
      <c r="A713" s="769"/>
      <c r="B713" s="770"/>
      <c r="C713" s="771"/>
      <c r="D713" s="705"/>
      <c r="E713" s="705"/>
      <c r="F713" s="707"/>
      <c r="G713" s="772"/>
      <c r="H713" s="772"/>
      <c r="I713" s="773"/>
      <c r="J713" s="510"/>
      <c r="K713" s="510"/>
      <c r="L713" s="510"/>
      <c r="M713" s="773"/>
      <c r="N713" s="510"/>
      <c r="O713" s="773"/>
      <c r="P713" s="773"/>
      <c r="Q713" s="705"/>
      <c r="R713" s="754"/>
      <c r="S713" s="789"/>
      <c r="T713" s="705"/>
      <c r="U713" s="755"/>
    </row>
    <row r="714" ht="26.25" customHeight="1">
      <c r="A714" s="769"/>
      <c r="B714" s="770"/>
      <c r="C714" s="771"/>
      <c r="D714" s="705"/>
      <c r="E714" s="705"/>
      <c r="F714" s="707"/>
      <c r="G714" s="772"/>
      <c r="H714" s="772"/>
      <c r="I714" s="773"/>
      <c r="J714" s="510"/>
      <c r="K714" s="510"/>
      <c r="L714" s="510"/>
      <c r="M714" s="773"/>
      <c r="N714" s="510"/>
      <c r="O714" s="773"/>
      <c r="P714" s="773"/>
      <c r="Q714" s="705"/>
      <c r="R714" s="754"/>
      <c r="S714" s="789"/>
      <c r="T714" s="705"/>
      <c r="U714" s="755"/>
    </row>
    <row r="715" ht="26.25" customHeight="1">
      <c r="A715" s="769"/>
      <c r="B715" s="770"/>
      <c r="C715" s="771"/>
      <c r="D715" s="705"/>
      <c r="E715" s="705"/>
      <c r="F715" s="707"/>
      <c r="G715" s="772"/>
      <c r="H715" s="772"/>
      <c r="I715" s="773"/>
      <c r="J715" s="510"/>
      <c r="K715" s="510"/>
      <c r="L715" s="510"/>
      <c r="M715" s="773"/>
      <c r="N715" s="510"/>
      <c r="O715" s="773"/>
      <c r="P715" s="773"/>
      <c r="Q715" s="705"/>
      <c r="R715" s="754"/>
      <c r="S715" s="789"/>
      <c r="T715" s="705"/>
      <c r="U715" s="755"/>
    </row>
    <row r="716" ht="26.25" customHeight="1">
      <c r="A716" s="769"/>
      <c r="B716" s="770"/>
      <c r="C716" s="771"/>
      <c r="D716" s="705"/>
      <c r="E716" s="705"/>
      <c r="F716" s="707"/>
      <c r="G716" s="772"/>
      <c r="H716" s="772"/>
      <c r="I716" s="773"/>
      <c r="J716" s="510"/>
      <c r="K716" s="510"/>
      <c r="L716" s="510"/>
      <c r="M716" s="773"/>
      <c r="N716" s="510"/>
      <c r="O716" s="773"/>
      <c r="P716" s="773"/>
      <c r="Q716" s="705"/>
      <c r="R716" s="754"/>
      <c r="S716" s="789"/>
      <c r="T716" s="705"/>
      <c r="U716" s="755"/>
    </row>
    <row r="717" ht="26.25" customHeight="1">
      <c r="A717" s="769"/>
      <c r="B717" s="770"/>
      <c r="C717" s="771"/>
      <c r="D717" s="705"/>
      <c r="E717" s="705"/>
      <c r="F717" s="707"/>
      <c r="G717" s="772"/>
      <c r="H717" s="772"/>
      <c r="I717" s="773"/>
      <c r="J717" s="510"/>
      <c r="K717" s="510"/>
      <c r="L717" s="510"/>
      <c r="M717" s="773"/>
      <c r="N717" s="510"/>
      <c r="O717" s="773"/>
      <c r="P717" s="773"/>
      <c r="Q717" s="705"/>
      <c r="R717" s="754"/>
      <c r="S717" s="789"/>
      <c r="T717" s="705"/>
      <c r="U717" s="755"/>
    </row>
    <row r="718" ht="26.25" customHeight="1">
      <c r="A718" s="769"/>
      <c r="B718" s="770"/>
      <c r="C718" s="771"/>
      <c r="D718" s="705"/>
      <c r="E718" s="705"/>
      <c r="F718" s="707"/>
      <c r="G718" s="772"/>
      <c r="H718" s="772"/>
      <c r="I718" s="773"/>
      <c r="J718" s="510"/>
      <c r="K718" s="510"/>
      <c r="L718" s="510"/>
      <c r="M718" s="773"/>
      <c r="N718" s="510"/>
      <c r="O718" s="773"/>
      <c r="P718" s="773"/>
      <c r="Q718" s="705"/>
      <c r="R718" s="754"/>
      <c r="S718" s="789"/>
      <c r="T718" s="705"/>
      <c r="U718" s="755"/>
    </row>
    <row r="719" ht="26.25" customHeight="1">
      <c r="A719" s="769"/>
      <c r="B719" s="770"/>
      <c r="C719" s="771"/>
      <c r="D719" s="705"/>
      <c r="E719" s="705"/>
      <c r="F719" s="707"/>
      <c r="G719" s="772"/>
      <c r="H719" s="772"/>
      <c r="I719" s="773"/>
      <c r="J719" s="510"/>
      <c r="K719" s="510"/>
      <c r="L719" s="510"/>
      <c r="M719" s="773"/>
      <c r="N719" s="510"/>
      <c r="O719" s="773"/>
      <c r="P719" s="773"/>
      <c r="Q719" s="705"/>
      <c r="R719" s="754"/>
      <c r="S719" s="789"/>
      <c r="T719" s="705"/>
      <c r="U719" s="755"/>
    </row>
    <row r="720" ht="26.25" customHeight="1">
      <c r="A720" s="769"/>
      <c r="B720" s="770"/>
      <c r="C720" s="771"/>
      <c r="D720" s="705"/>
      <c r="E720" s="705"/>
      <c r="F720" s="707"/>
      <c r="G720" s="772"/>
      <c r="H720" s="772"/>
      <c r="I720" s="773"/>
      <c r="J720" s="510"/>
      <c r="K720" s="510"/>
      <c r="L720" s="510"/>
      <c r="M720" s="773"/>
      <c r="N720" s="510"/>
      <c r="O720" s="773"/>
      <c r="P720" s="773"/>
      <c r="Q720" s="705"/>
      <c r="R720" s="754"/>
      <c r="S720" s="789"/>
      <c r="T720" s="705"/>
      <c r="U720" s="755"/>
    </row>
    <row r="721" ht="26.25" customHeight="1">
      <c r="A721" s="769"/>
      <c r="B721" s="770"/>
      <c r="C721" s="771"/>
      <c r="D721" s="705"/>
      <c r="E721" s="705"/>
      <c r="F721" s="707"/>
      <c r="G721" s="772"/>
      <c r="H721" s="772"/>
      <c r="I721" s="773"/>
      <c r="J721" s="510"/>
      <c r="K721" s="510"/>
      <c r="L721" s="510"/>
      <c r="M721" s="773"/>
      <c r="N721" s="510"/>
      <c r="O721" s="773"/>
      <c r="P721" s="773"/>
      <c r="Q721" s="705"/>
      <c r="R721" s="754"/>
      <c r="S721" s="789"/>
      <c r="T721" s="705"/>
      <c r="U721" s="755"/>
    </row>
    <row r="722" ht="26.25" customHeight="1">
      <c r="A722" s="769"/>
      <c r="B722" s="770"/>
      <c r="C722" s="771"/>
      <c r="D722" s="705"/>
      <c r="E722" s="705"/>
      <c r="F722" s="707"/>
      <c r="G722" s="772"/>
      <c r="H722" s="772"/>
      <c r="I722" s="773"/>
      <c r="J722" s="510"/>
      <c r="K722" s="510"/>
      <c r="L722" s="510"/>
      <c r="M722" s="773"/>
      <c r="N722" s="510"/>
      <c r="O722" s="773"/>
      <c r="P722" s="773"/>
      <c r="Q722" s="705"/>
      <c r="R722" s="754"/>
      <c r="S722" s="789"/>
      <c r="T722" s="705"/>
      <c r="U722" s="755"/>
    </row>
    <row r="723" ht="26.25" customHeight="1">
      <c r="A723" s="769"/>
      <c r="B723" s="770"/>
      <c r="C723" s="771"/>
      <c r="D723" s="705"/>
      <c r="E723" s="705"/>
      <c r="F723" s="707"/>
      <c r="G723" s="772"/>
      <c r="H723" s="772"/>
      <c r="I723" s="773"/>
      <c r="J723" s="510"/>
      <c r="K723" s="510"/>
      <c r="L723" s="510"/>
      <c r="M723" s="773"/>
      <c r="N723" s="510"/>
      <c r="O723" s="773"/>
      <c r="P723" s="773"/>
      <c r="Q723" s="705"/>
      <c r="R723" s="754"/>
      <c r="S723" s="789"/>
      <c r="T723" s="705"/>
      <c r="U723" s="755"/>
    </row>
    <row r="724" ht="26.25" customHeight="1">
      <c r="A724" s="769"/>
      <c r="B724" s="770"/>
      <c r="C724" s="771"/>
      <c r="D724" s="705"/>
      <c r="E724" s="705"/>
      <c r="F724" s="707"/>
      <c r="G724" s="772"/>
      <c r="H724" s="772"/>
      <c r="I724" s="773"/>
      <c r="J724" s="510"/>
      <c r="K724" s="510"/>
      <c r="L724" s="510"/>
      <c r="M724" s="773"/>
      <c r="N724" s="510"/>
      <c r="O724" s="773"/>
      <c r="P724" s="773"/>
      <c r="Q724" s="705"/>
      <c r="R724" s="754"/>
      <c r="S724" s="789"/>
      <c r="T724" s="705"/>
      <c r="U724" s="755"/>
    </row>
    <row r="725" ht="26.25" customHeight="1">
      <c r="A725" s="769"/>
      <c r="B725" s="770"/>
      <c r="C725" s="771"/>
      <c r="D725" s="705"/>
      <c r="E725" s="705"/>
      <c r="F725" s="707"/>
      <c r="G725" s="772"/>
      <c r="H725" s="772"/>
      <c r="I725" s="773"/>
      <c r="J725" s="510"/>
      <c r="K725" s="510"/>
      <c r="L725" s="510"/>
      <c r="M725" s="773"/>
      <c r="N725" s="510"/>
      <c r="O725" s="773"/>
      <c r="P725" s="773"/>
      <c r="Q725" s="705"/>
      <c r="R725" s="754"/>
      <c r="S725" s="789"/>
      <c r="T725" s="705"/>
      <c r="U725" s="755"/>
    </row>
    <row r="726" ht="26.25" customHeight="1">
      <c r="A726" s="769"/>
      <c r="B726" s="770"/>
      <c r="C726" s="771"/>
      <c r="D726" s="705"/>
      <c r="E726" s="705"/>
      <c r="F726" s="707"/>
      <c r="G726" s="772"/>
      <c r="H726" s="772"/>
      <c r="I726" s="773"/>
      <c r="J726" s="510"/>
      <c r="K726" s="510"/>
      <c r="L726" s="510"/>
      <c r="M726" s="773"/>
      <c r="N726" s="510"/>
      <c r="O726" s="773"/>
      <c r="P726" s="773"/>
      <c r="Q726" s="705"/>
      <c r="R726" s="754"/>
      <c r="S726" s="789"/>
      <c r="T726" s="705"/>
      <c r="U726" s="755"/>
    </row>
    <row r="727" ht="26.25" customHeight="1">
      <c r="A727" s="769"/>
      <c r="B727" s="770"/>
      <c r="C727" s="771"/>
      <c r="D727" s="705"/>
      <c r="E727" s="705"/>
      <c r="F727" s="707"/>
      <c r="G727" s="772"/>
      <c r="H727" s="772"/>
      <c r="I727" s="773"/>
      <c r="J727" s="510"/>
      <c r="K727" s="510"/>
      <c r="L727" s="510"/>
      <c r="M727" s="773"/>
      <c r="N727" s="510"/>
      <c r="O727" s="773"/>
      <c r="P727" s="773"/>
      <c r="Q727" s="705"/>
      <c r="R727" s="754"/>
      <c r="S727" s="789"/>
      <c r="T727" s="705"/>
      <c r="U727" s="755"/>
    </row>
    <row r="728" ht="26.25" customHeight="1">
      <c r="A728" s="769"/>
      <c r="B728" s="770"/>
      <c r="C728" s="771"/>
      <c r="D728" s="705"/>
      <c r="E728" s="705"/>
      <c r="F728" s="707"/>
      <c r="G728" s="772"/>
      <c r="H728" s="772"/>
      <c r="I728" s="773"/>
      <c r="J728" s="510"/>
      <c r="K728" s="510"/>
      <c r="L728" s="510"/>
      <c r="M728" s="773"/>
      <c r="N728" s="510"/>
      <c r="O728" s="773"/>
      <c r="P728" s="773"/>
      <c r="Q728" s="705"/>
      <c r="R728" s="754"/>
      <c r="S728" s="789"/>
      <c r="T728" s="705"/>
      <c r="U728" s="755"/>
    </row>
    <row r="729" ht="26.25" customHeight="1">
      <c r="A729" s="769"/>
      <c r="B729" s="770"/>
      <c r="C729" s="771"/>
      <c r="D729" s="705"/>
      <c r="E729" s="705"/>
      <c r="F729" s="707"/>
      <c r="G729" s="772"/>
      <c r="H729" s="772"/>
      <c r="I729" s="773"/>
      <c r="J729" s="510"/>
      <c r="K729" s="510"/>
      <c r="L729" s="510"/>
      <c r="M729" s="773"/>
      <c r="N729" s="510"/>
      <c r="O729" s="773"/>
      <c r="P729" s="773"/>
      <c r="Q729" s="705"/>
      <c r="R729" s="754"/>
      <c r="S729" s="789"/>
      <c r="T729" s="705"/>
      <c r="U729" s="755"/>
    </row>
    <row r="730" ht="26.25" customHeight="1">
      <c r="A730" s="769"/>
      <c r="B730" s="770"/>
      <c r="C730" s="771"/>
      <c r="D730" s="705"/>
      <c r="E730" s="705"/>
      <c r="F730" s="707"/>
      <c r="G730" s="772"/>
      <c r="H730" s="772"/>
      <c r="I730" s="773"/>
      <c r="J730" s="510"/>
      <c r="K730" s="510"/>
      <c r="L730" s="510"/>
      <c r="M730" s="773"/>
      <c r="N730" s="510"/>
      <c r="O730" s="773"/>
      <c r="P730" s="773"/>
      <c r="Q730" s="705"/>
      <c r="R730" s="754"/>
      <c r="S730" s="789"/>
      <c r="T730" s="705"/>
      <c r="U730" s="755"/>
    </row>
    <row r="731" ht="26.25" customHeight="1">
      <c r="A731" s="769"/>
      <c r="B731" s="770"/>
      <c r="C731" s="771"/>
      <c r="D731" s="705"/>
      <c r="E731" s="705"/>
      <c r="F731" s="707"/>
      <c r="G731" s="772"/>
      <c r="H731" s="772"/>
      <c r="I731" s="773"/>
      <c r="J731" s="510"/>
      <c r="K731" s="510"/>
      <c r="L731" s="510"/>
      <c r="M731" s="773"/>
      <c r="N731" s="510"/>
      <c r="O731" s="773"/>
      <c r="P731" s="773"/>
      <c r="Q731" s="705"/>
      <c r="R731" s="754"/>
      <c r="S731" s="789"/>
      <c r="T731" s="705"/>
      <c r="U731" s="755"/>
    </row>
    <row r="732" ht="26.25" customHeight="1">
      <c r="A732" s="769"/>
      <c r="B732" s="770"/>
      <c r="C732" s="771"/>
      <c r="D732" s="705"/>
      <c r="E732" s="705"/>
      <c r="F732" s="707"/>
      <c r="G732" s="772"/>
      <c r="H732" s="772"/>
      <c r="I732" s="773"/>
      <c r="J732" s="510"/>
      <c r="K732" s="510"/>
      <c r="L732" s="510"/>
      <c r="M732" s="773"/>
      <c r="N732" s="510"/>
      <c r="O732" s="773"/>
      <c r="P732" s="773"/>
      <c r="Q732" s="705"/>
      <c r="R732" s="754"/>
      <c r="S732" s="789"/>
      <c r="T732" s="705"/>
      <c r="U732" s="755"/>
    </row>
    <row r="733" ht="26.25" customHeight="1">
      <c r="A733" s="769"/>
      <c r="B733" s="770"/>
      <c r="C733" s="771"/>
      <c r="D733" s="705"/>
      <c r="E733" s="705"/>
      <c r="F733" s="707"/>
      <c r="G733" s="772"/>
      <c r="H733" s="772"/>
      <c r="I733" s="773"/>
      <c r="J733" s="510"/>
      <c r="K733" s="510"/>
      <c r="L733" s="510"/>
      <c r="M733" s="773"/>
      <c r="N733" s="510"/>
      <c r="O733" s="773"/>
      <c r="P733" s="773"/>
      <c r="Q733" s="705"/>
      <c r="R733" s="754"/>
      <c r="S733" s="789"/>
      <c r="T733" s="705"/>
      <c r="U733" s="755"/>
    </row>
    <row r="734" ht="26.25" customHeight="1">
      <c r="A734" s="769"/>
      <c r="B734" s="770"/>
      <c r="C734" s="771"/>
      <c r="D734" s="705"/>
      <c r="E734" s="705"/>
      <c r="F734" s="707"/>
      <c r="G734" s="772"/>
      <c r="H734" s="772"/>
      <c r="I734" s="773"/>
      <c r="J734" s="510"/>
      <c r="K734" s="510"/>
      <c r="L734" s="510"/>
      <c r="M734" s="773"/>
      <c r="N734" s="510"/>
      <c r="O734" s="773"/>
      <c r="P734" s="773"/>
      <c r="Q734" s="705"/>
      <c r="R734" s="754"/>
      <c r="S734" s="789"/>
      <c r="T734" s="705"/>
      <c r="U734" s="755"/>
    </row>
    <row r="735" ht="26.25" customHeight="1">
      <c r="A735" s="769"/>
      <c r="B735" s="770"/>
      <c r="C735" s="771"/>
      <c r="D735" s="705"/>
      <c r="E735" s="705"/>
      <c r="F735" s="707"/>
      <c r="G735" s="772"/>
      <c r="H735" s="772"/>
      <c r="I735" s="773"/>
      <c r="J735" s="510"/>
      <c r="K735" s="510"/>
      <c r="L735" s="510"/>
      <c r="M735" s="773"/>
      <c r="N735" s="510"/>
      <c r="O735" s="773"/>
      <c r="P735" s="773"/>
      <c r="Q735" s="705"/>
      <c r="R735" s="754"/>
      <c r="S735" s="789"/>
      <c r="T735" s="705"/>
      <c r="U735" s="755"/>
    </row>
    <row r="736" ht="26.25" customHeight="1">
      <c r="A736" s="769"/>
      <c r="B736" s="770"/>
      <c r="C736" s="771"/>
      <c r="D736" s="705"/>
      <c r="E736" s="705"/>
      <c r="F736" s="707"/>
      <c r="G736" s="772"/>
      <c r="H736" s="772"/>
      <c r="I736" s="773"/>
      <c r="J736" s="510"/>
      <c r="K736" s="510"/>
      <c r="L736" s="510"/>
      <c r="M736" s="773"/>
      <c r="N736" s="510"/>
      <c r="O736" s="773"/>
      <c r="P736" s="773"/>
      <c r="Q736" s="705"/>
      <c r="R736" s="754"/>
      <c r="S736" s="789"/>
      <c r="T736" s="705"/>
      <c r="U736" s="755"/>
    </row>
    <row r="737" ht="26.25" customHeight="1">
      <c r="A737" s="769"/>
      <c r="B737" s="770"/>
      <c r="C737" s="771"/>
      <c r="D737" s="705"/>
      <c r="E737" s="705"/>
      <c r="F737" s="707"/>
      <c r="G737" s="772"/>
      <c r="H737" s="772"/>
      <c r="I737" s="773"/>
      <c r="J737" s="510"/>
      <c r="K737" s="510"/>
      <c r="L737" s="510"/>
      <c r="M737" s="773"/>
      <c r="N737" s="510"/>
      <c r="O737" s="773"/>
      <c r="P737" s="773"/>
      <c r="Q737" s="705"/>
      <c r="R737" s="754"/>
      <c r="S737" s="789"/>
      <c r="T737" s="705"/>
      <c r="U737" s="755"/>
    </row>
    <row r="738" ht="26.25" customHeight="1">
      <c r="A738" s="769"/>
      <c r="B738" s="770"/>
      <c r="C738" s="771"/>
      <c r="D738" s="705"/>
      <c r="E738" s="705"/>
      <c r="F738" s="707"/>
      <c r="G738" s="772"/>
      <c r="H738" s="772"/>
      <c r="I738" s="773"/>
      <c r="J738" s="510"/>
      <c r="K738" s="510"/>
      <c r="L738" s="510"/>
      <c r="M738" s="773"/>
      <c r="N738" s="510"/>
      <c r="O738" s="773"/>
      <c r="P738" s="773"/>
      <c r="Q738" s="705"/>
      <c r="R738" s="754"/>
      <c r="S738" s="789"/>
      <c r="T738" s="705"/>
      <c r="U738" s="755"/>
    </row>
    <row r="739" ht="26.25" customHeight="1">
      <c r="A739" s="769"/>
      <c r="B739" s="770"/>
      <c r="C739" s="771"/>
      <c r="D739" s="705"/>
      <c r="E739" s="705"/>
      <c r="F739" s="707"/>
      <c r="G739" s="772"/>
      <c r="H739" s="772"/>
      <c r="I739" s="773"/>
      <c r="J739" s="510"/>
      <c r="K739" s="510"/>
      <c r="L739" s="510"/>
      <c r="M739" s="773"/>
      <c r="N739" s="510"/>
      <c r="O739" s="773"/>
      <c r="P739" s="773"/>
      <c r="Q739" s="705"/>
      <c r="R739" s="754"/>
      <c r="S739" s="789"/>
      <c r="T739" s="705"/>
      <c r="U739" s="755"/>
    </row>
    <row r="740" ht="26.25" customHeight="1">
      <c r="A740" s="769"/>
      <c r="B740" s="770"/>
      <c r="C740" s="771"/>
      <c r="D740" s="705"/>
      <c r="E740" s="705"/>
      <c r="F740" s="707"/>
      <c r="G740" s="772"/>
      <c r="H740" s="772"/>
      <c r="I740" s="773"/>
      <c r="J740" s="510"/>
      <c r="K740" s="510"/>
      <c r="L740" s="510"/>
      <c r="M740" s="773"/>
      <c r="N740" s="510"/>
      <c r="O740" s="773"/>
      <c r="P740" s="773"/>
      <c r="Q740" s="705"/>
      <c r="R740" s="754"/>
      <c r="S740" s="789"/>
      <c r="T740" s="705"/>
      <c r="U740" s="755"/>
    </row>
    <row r="741" ht="26.25" customHeight="1">
      <c r="A741" s="769"/>
      <c r="B741" s="770"/>
      <c r="C741" s="771"/>
      <c r="D741" s="705"/>
      <c r="E741" s="705"/>
      <c r="F741" s="707"/>
      <c r="G741" s="772"/>
      <c r="H741" s="772"/>
      <c r="I741" s="773"/>
      <c r="J741" s="510"/>
      <c r="K741" s="510"/>
      <c r="L741" s="510"/>
      <c r="M741" s="773"/>
      <c r="N741" s="510"/>
      <c r="O741" s="773"/>
      <c r="P741" s="773"/>
      <c r="Q741" s="705"/>
      <c r="R741" s="754"/>
      <c r="S741" s="789"/>
      <c r="T741" s="705"/>
      <c r="U741" s="755"/>
    </row>
    <row r="742" ht="26.25" customHeight="1">
      <c r="A742" s="769"/>
      <c r="B742" s="770"/>
      <c r="C742" s="771"/>
      <c r="D742" s="705"/>
      <c r="E742" s="705"/>
      <c r="F742" s="707"/>
      <c r="G742" s="772"/>
      <c r="H742" s="772"/>
      <c r="I742" s="773"/>
      <c r="J742" s="510"/>
      <c r="K742" s="510"/>
      <c r="L742" s="510"/>
      <c r="M742" s="773"/>
      <c r="N742" s="510"/>
      <c r="O742" s="773"/>
      <c r="P742" s="773"/>
      <c r="Q742" s="705"/>
      <c r="R742" s="754"/>
      <c r="S742" s="789"/>
      <c r="T742" s="705"/>
      <c r="U742" s="755"/>
    </row>
    <row r="743" ht="26.25" customHeight="1">
      <c r="A743" s="769"/>
      <c r="B743" s="770"/>
      <c r="C743" s="771"/>
      <c r="D743" s="705"/>
      <c r="E743" s="705"/>
      <c r="F743" s="707"/>
      <c r="G743" s="772"/>
      <c r="H743" s="772"/>
      <c r="I743" s="773"/>
      <c r="J743" s="510"/>
      <c r="K743" s="510"/>
      <c r="L743" s="510"/>
      <c r="M743" s="773"/>
      <c r="N743" s="510"/>
      <c r="O743" s="773"/>
      <c r="P743" s="773"/>
      <c r="Q743" s="705"/>
      <c r="R743" s="754"/>
      <c r="S743" s="789"/>
      <c r="T743" s="705"/>
      <c r="U743" s="755"/>
    </row>
    <row r="744" ht="26.25" customHeight="1">
      <c r="A744" s="769"/>
      <c r="B744" s="770"/>
      <c r="C744" s="771"/>
      <c r="D744" s="705"/>
      <c r="E744" s="705"/>
      <c r="F744" s="707"/>
      <c r="G744" s="772"/>
      <c r="H744" s="772"/>
      <c r="I744" s="773"/>
      <c r="J744" s="510"/>
      <c r="K744" s="510"/>
      <c r="L744" s="510"/>
      <c r="M744" s="773"/>
      <c r="N744" s="510"/>
      <c r="O744" s="773"/>
      <c r="P744" s="773"/>
      <c r="Q744" s="705"/>
      <c r="R744" s="754"/>
      <c r="S744" s="789"/>
      <c r="T744" s="705"/>
      <c r="U744" s="755"/>
    </row>
    <row r="745" ht="26.25" customHeight="1">
      <c r="A745" s="769"/>
      <c r="B745" s="770"/>
      <c r="C745" s="771"/>
      <c r="D745" s="705"/>
      <c r="E745" s="705"/>
      <c r="F745" s="707"/>
      <c r="G745" s="772"/>
      <c r="H745" s="772"/>
      <c r="I745" s="773"/>
      <c r="J745" s="510"/>
      <c r="K745" s="510"/>
      <c r="L745" s="510"/>
      <c r="M745" s="773"/>
      <c r="N745" s="510"/>
      <c r="O745" s="773"/>
      <c r="P745" s="773"/>
      <c r="Q745" s="705"/>
      <c r="R745" s="754"/>
      <c r="S745" s="789"/>
      <c r="T745" s="705"/>
      <c r="U745" s="755"/>
    </row>
    <row r="746" ht="26.25" customHeight="1">
      <c r="A746" s="769"/>
      <c r="B746" s="770"/>
      <c r="C746" s="771"/>
      <c r="D746" s="705"/>
      <c r="E746" s="705"/>
      <c r="F746" s="707"/>
      <c r="G746" s="772"/>
      <c r="H746" s="772"/>
      <c r="I746" s="773"/>
      <c r="J746" s="510"/>
      <c r="K746" s="510"/>
      <c r="L746" s="510"/>
      <c r="M746" s="773"/>
      <c r="N746" s="510"/>
      <c r="O746" s="773"/>
      <c r="P746" s="773"/>
      <c r="Q746" s="705"/>
      <c r="R746" s="754"/>
      <c r="S746" s="789"/>
      <c r="T746" s="705"/>
      <c r="U746" s="755"/>
    </row>
    <row r="747" ht="26.25" customHeight="1">
      <c r="A747" s="769"/>
      <c r="B747" s="770"/>
      <c r="C747" s="771"/>
      <c r="D747" s="705"/>
      <c r="E747" s="705"/>
      <c r="F747" s="707"/>
      <c r="G747" s="772"/>
      <c r="H747" s="772"/>
      <c r="I747" s="773"/>
      <c r="J747" s="510"/>
      <c r="K747" s="510"/>
      <c r="L747" s="510"/>
      <c r="M747" s="773"/>
      <c r="N747" s="510"/>
      <c r="O747" s="773"/>
      <c r="P747" s="773"/>
      <c r="Q747" s="705"/>
      <c r="R747" s="754"/>
      <c r="S747" s="789"/>
      <c r="T747" s="705"/>
      <c r="U747" s="755"/>
    </row>
    <row r="748" ht="26.25" customHeight="1">
      <c r="A748" s="769"/>
      <c r="B748" s="770"/>
      <c r="C748" s="771"/>
      <c r="D748" s="705"/>
      <c r="E748" s="705"/>
      <c r="F748" s="707"/>
      <c r="G748" s="772"/>
      <c r="H748" s="772"/>
      <c r="I748" s="773"/>
      <c r="J748" s="510"/>
      <c r="K748" s="510"/>
      <c r="L748" s="510"/>
      <c r="M748" s="773"/>
      <c r="N748" s="510"/>
      <c r="O748" s="773"/>
      <c r="P748" s="773"/>
      <c r="Q748" s="705"/>
      <c r="R748" s="754"/>
      <c r="S748" s="789"/>
      <c r="T748" s="705"/>
      <c r="U748" s="755"/>
    </row>
    <row r="749" ht="26.25" customHeight="1">
      <c r="A749" s="769"/>
      <c r="B749" s="770"/>
      <c r="C749" s="771"/>
      <c r="D749" s="705"/>
      <c r="E749" s="705"/>
      <c r="F749" s="707"/>
      <c r="G749" s="772"/>
      <c r="H749" s="772"/>
      <c r="I749" s="773"/>
      <c r="J749" s="510"/>
      <c r="K749" s="510"/>
      <c r="L749" s="510"/>
      <c r="M749" s="773"/>
      <c r="N749" s="510"/>
      <c r="O749" s="773"/>
      <c r="P749" s="773"/>
      <c r="Q749" s="705"/>
      <c r="R749" s="754"/>
      <c r="S749" s="789"/>
      <c r="T749" s="705"/>
      <c r="U749" s="755"/>
    </row>
    <row r="750" ht="26.25" customHeight="1">
      <c r="A750" s="769"/>
      <c r="B750" s="770"/>
      <c r="C750" s="771"/>
      <c r="D750" s="705"/>
      <c r="E750" s="705"/>
      <c r="F750" s="707"/>
      <c r="G750" s="772"/>
      <c r="H750" s="772"/>
      <c r="I750" s="773"/>
      <c r="J750" s="510"/>
      <c r="K750" s="510"/>
      <c r="L750" s="510"/>
      <c r="M750" s="773"/>
      <c r="N750" s="510"/>
      <c r="O750" s="773"/>
      <c r="P750" s="773"/>
      <c r="Q750" s="705"/>
      <c r="R750" s="754"/>
      <c r="S750" s="789"/>
      <c r="T750" s="705"/>
      <c r="U750" s="755"/>
    </row>
    <row r="751" ht="26.25" customHeight="1">
      <c r="A751" s="769"/>
      <c r="B751" s="770"/>
      <c r="C751" s="771"/>
      <c r="D751" s="705"/>
      <c r="E751" s="705"/>
      <c r="F751" s="707"/>
      <c r="G751" s="772"/>
      <c r="H751" s="772"/>
      <c r="I751" s="773"/>
      <c r="J751" s="510"/>
      <c r="K751" s="510"/>
      <c r="L751" s="510"/>
      <c r="M751" s="773"/>
      <c r="N751" s="510"/>
      <c r="O751" s="773"/>
      <c r="P751" s="773"/>
      <c r="Q751" s="705"/>
      <c r="R751" s="754"/>
      <c r="S751" s="789"/>
      <c r="T751" s="705"/>
      <c r="U751" s="755"/>
    </row>
    <row r="752" ht="26.25" customHeight="1">
      <c r="A752" s="769"/>
      <c r="B752" s="770"/>
      <c r="C752" s="771"/>
      <c r="D752" s="705"/>
      <c r="E752" s="705"/>
      <c r="F752" s="707"/>
      <c r="G752" s="772"/>
      <c r="H752" s="772"/>
      <c r="I752" s="773"/>
      <c r="J752" s="510"/>
      <c r="K752" s="510"/>
      <c r="L752" s="510"/>
      <c r="M752" s="773"/>
      <c r="N752" s="510"/>
      <c r="O752" s="773"/>
      <c r="P752" s="773"/>
      <c r="Q752" s="705"/>
      <c r="R752" s="754"/>
      <c r="S752" s="789"/>
      <c r="T752" s="705"/>
      <c r="U752" s="755"/>
    </row>
    <row r="753" ht="26.25" customHeight="1">
      <c r="A753" s="769"/>
      <c r="B753" s="770"/>
      <c r="C753" s="771"/>
      <c r="D753" s="705"/>
      <c r="E753" s="705"/>
      <c r="F753" s="707"/>
      <c r="G753" s="772"/>
      <c r="H753" s="772"/>
      <c r="I753" s="773"/>
      <c r="J753" s="510"/>
      <c r="K753" s="510"/>
      <c r="L753" s="510"/>
      <c r="M753" s="773"/>
      <c r="N753" s="510"/>
      <c r="O753" s="773"/>
      <c r="P753" s="773"/>
      <c r="Q753" s="705"/>
      <c r="R753" s="754"/>
      <c r="S753" s="789"/>
      <c r="T753" s="705"/>
      <c r="U753" s="755"/>
    </row>
    <row r="754" ht="26.25" customHeight="1">
      <c r="A754" s="769"/>
      <c r="B754" s="770"/>
      <c r="C754" s="771"/>
      <c r="D754" s="705"/>
      <c r="E754" s="705"/>
      <c r="F754" s="707"/>
      <c r="G754" s="772"/>
      <c r="H754" s="772"/>
      <c r="I754" s="773"/>
      <c r="J754" s="510"/>
      <c r="K754" s="510"/>
      <c r="L754" s="510"/>
      <c r="M754" s="773"/>
      <c r="N754" s="510"/>
      <c r="O754" s="773"/>
      <c r="P754" s="773"/>
      <c r="Q754" s="705"/>
      <c r="R754" s="754"/>
      <c r="S754" s="789"/>
      <c r="T754" s="705"/>
      <c r="U754" s="755"/>
    </row>
    <row r="755" ht="26.25" customHeight="1">
      <c r="A755" s="769"/>
      <c r="B755" s="770"/>
      <c r="C755" s="771"/>
      <c r="D755" s="705"/>
      <c r="E755" s="705"/>
      <c r="F755" s="707"/>
      <c r="G755" s="772"/>
      <c r="H755" s="772"/>
      <c r="I755" s="773"/>
      <c r="J755" s="510"/>
      <c r="K755" s="510"/>
      <c r="L755" s="510"/>
      <c r="M755" s="773"/>
      <c r="N755" s="510"/>
      <c r="O755" s="773"/>
      <c r="P755" s="773"/>
      <c r="Q755" s="705"/>
      <c r="R755" s="754"/>
      <c r="S755" s="789"/>
      <c r="T755" s="705"/>
      <c r="U755" s="755"/>
    </row>
    <row r="756" ht="26.25" customHeight="1">
      <c r="A756" s="769"/>
      <c r="B756" s="770"/>
      <c r="C756" s="771"/>
      <c r="D756" s="705"/>
      <c r="E756" s="705"/>
      <c r="F756" s="707"/>
      <c r="G756" s="772"/>
      <c r="H756" s="772"/>
      <c r="I756" s="773"/>
      <c r="J756" s="510"/>
      <c r="K756" s="510"/>
      <c r="L756" s="510"/>
      <c r="M756" s="773"/>
      <c r="N756" s="510"/>
      <c r="O756" s="773"/>
      <c r="P756" s="773"/>
      <c r="Q756" s="705"/>
      <c r="R756" s="754"/>
      <c r="S756" s="789"/>
      <c r="T756" s="705"/>
      <c r="U756" s="755"/>
    </row>
    <row r="757" ht="26.25" customHeight="1">
      <c r="A757" s="769"/>
      <c r="B757" s="770"/>
      <c r="C757" s="771"/>
      <c r="D757" s="705"/>
      <c r="E757" s="705"/>
      <c r="F757" s="707"/>
      <c r="G757" s="772"/>
      <c r="H757" s="772"/>
      <c r="I757" s="773"/>
      <c r="J757" s="510"/>
      <c r="K757" s="510"/>
      <c r="L757" s="510"/>
      <c r="M757" s="773"/>
      <c r="N757" s="510"/>
      <c r="O757" s="773"/>
      <c r="P757" s="773"/>
      <c r="Q757" s="705"/>
      <c r="R757" s="754"/>
      <c r="S757" s="789"/>
      <c r="T757" s="705"/>
      <c r="U757" s="755"/>
    </row>
    <row r="758" ht="26.25" customHeight="1">
      <c r="A758" s="769"/>
      <c r="B758" s="770"/>
      <c r="C758" s="771"/>
      <c r="D758" s="705"/>
      <c r="E758" s="705"/>
      <c r="F758" s="707"/>
      <c r="G758" s="772"/>
      <c r="H758" s="772"/>
      <c r="I758" s="773"/>
      <c r="J758" s="510"/>
      <c r="K758" s="510"/>
      <c r="L758" s="510"/>
      <c r="M758" s="773"/>
      <c r="N758" s="510"/>
      <c r="O758" s="773"/>
      <c r="P758" s="773"/>
      <c r="Q758" s="705"/>
      <c r="R758" s="754"/>
      <c r="S758" s="789"/>
      <c r="T758" s="705"/>
      <c r="U758" s="755"/>
    </row>
    <row r="759" ht="26.25" customHeight="1">
      <c r="A759" s="769"/>
      <c r="B759" s="770"/>
      <c r="C759" s="771"/>
      <c r="D759" s="705"/>
      <c r="E759" s="705"/>
      <c r="F759" s="707"/>
      <c r="G759" s="772"/>
      <c r="H759" s="772"/>
      <c r="I759" s="773"/>
      <c r="J759" s="510"/>
      <c r="K759" s="510"/>
      <c r="L759" s="510"/>
      <c r="M759" s="773"/>
      <c r="N759" s="510"/>
      <c r="O759" s="773"/>
      <c r="P759" s="773"/>
      <c r="Q759" s="705"/>
      <c r="R759" s="754"/>
      <c r="S759" s="789"/>
      <c r="T759" s="705"/>
      <c r="U759" s="755"/>
    </row>
    <row r="760" ht="26.25" customHeight="1">
      <c r="A760" s="769"/>
      <c r="B760" s="770"/>
      <c r="C760" s="771"/>
      <c r="D760" s="705"/>
      <c r="E760" s="705"/>
      <c r="F760" s="707"/>
      <c r="G760" s="772"/>
      <c r="H760" s="772"/>
      <c r="I760" s="773"/>
      <c r="J760" s="510"/>
      <c r="K760" s="510"/>
      <c r="L760" s="510"/>
      <c r="M760" s="773"/>
      <c r="N760" s="510"/>
      <c r="O760" s="773"/>
      <c r="P760" s="773"/>
      <c r="Q760" s="705"/>
      <c r="R760" s="754"/>
      <c r="S760" s="789"/>
      <c r="T760" s="705"/>
      <c r="U760" s="755"/>
    </row>
    <row r="761" ht="26.25" customHeight="1">
      <c r="A761" s="769"/>
      <c r="B761" s="770"/>
      <c r="C761" s="771"/>
      <c r="D761" s="705"/>
      <c r="E761" s="705"/>
      <c r="F761" s="707"/>
      <c r="G761" s="772"/>
      <c r="H761" s="772"/>
      <c r="I761" s="773"/>
      <c r="J761" s="510"/>
      <c r="K761" s="510"/>
      <c r="L761" s="510"/>
      <c r="M761" s="773"/>
      <c r="N761" s="510"/>
      <c r="O761" s="773"/>
      <c r="P761" s="773"/>
      <c r="Q761" s="705"/>
      <c r="R761" s="754"/>
      <c r="S761" s="789"/>
      <c r="T761" s="705"/>
      <c r="U761" s="755"/>
    </row>
    <row r="762" ht="26.25" customHeight="1">
      <c r="A762" s="769"/>
      <c r="B762" s="770"/>
      <c r="C762" s="771"/>
      <c r="D762" s="705"/>
      <c r="E762" s="705"/>
      <c r="F762" s="707"/>
      <c r="G762" s="772"/>
      <c r="H762" s="772"/>
      <c r="I762" s="773"/>
      <c r="J762" s="510"/>
      <c r="K762" s="510"/>
      <c r="L762" s="510"/>
      <c r="M762" s="773"/>
      <c r="N762" s="510"/>
      <c r="O762" s="773"/>
      <c r="P762" s="773"/>
      <c r="Q762" s="705"/>
      <c r="R762" s="754"/>
      <c r="S762" s="789"/>
      <c r="T762" s="705"/>
      <c r="U762" s="755"/>
    </row>
    <row r="763" ht="26.25" customHeight="1">
      <c r="A763" s="769"/>
      <c r="B763" s="770"/>
      <c r="C763" s="771"/>
      <c r="D763" s="705"/>
      <c r="E763" s="705"/>
      <c r="F763" s="707"/>
      <c r="G763" s="772"/>
      <c r="H763" s="772"/>
      <c r="I763" s="773"/>
      <c r="J763" s="510"/>
      <c r="K763" s="510"/>
      <c r="L763" s="510"/>
      <c r="M763" s="773"/>
      <c r="N763" s="510"/>
      <c r="O763" s="773"/>
      <c r="P763" s="773"/>
      <c r="Q763" s="705"/>
      <c r="R763" s="754"/>
      <c r="S763" s="789"/>
      <c r="T763" s="705"/>
      <c r="U763" s="755"/>
    </row>
    <row r="764" ht="26.25" customHeight="1">
      <c r="A764" s="769"/>
      <c r="B764" s="770"/>
      <c r="C764" s="771"/>
      <c r="D764" s="705"/>
      <c r="E764" s="705"/>
      <c r="F764" s="707"/>
      <c r="G764" s="772"/>
      <c r="H764" s="772"/>
      <c r="I764" s="773"/>
      <c r="J764" s="510"/>
      <c r="K764" s="510"/>
      <c r="L764" s="510"/>
      <c r="M764" s="773"/>
      <c r="N764" s="510"/>
      <c r="O764" s="773"/>
      <c r="P764" s="773"/>
      <c r="Q764" s="705"/>
      <c r="R764" s="754"/>
      <c r="S764" s="789"/>
      <c r="T764" s="705"/>
      <c r="U764" s="755"/>
    </row>
    <row r="765" ht="26.25" customHeight="1">
      <c r="A765" s="769"/>
      <c r="B765" s="770"/>
      <c r="C765" s="771"/>
      <c r="D765" s="705"/>
      <c r="E765" s="705"/>
      <c r="F765" s="707"/>
      <c r="G765" s="772"/>
      <c r="H765" s="772"/>
      <c r="I765" s="773"/>
      <c r="J765" s="510"/>
      <c r="K765" s="510"/>
      <c r="L765" s="510"/>
      <c r="M765" s="773"/>
      <c r="N765" s="510"/>
      <c r="O765" s="773"/>
      <c r="P765" s="773"/>
      <c r="Q765" s="705"/>
      <c r="R765" s="754"/>
      <c r="S765" s="789"/>
      <c r="T765" s="705"/>
      <c r="U765" s="755"/>
    </row>
    <row r="766" ht="26.25" customHeight="1">
      <c r="A766" s="769"/>
      <c r="B766" s="770"/>
      <c r="C766" s="771"/>
      <c r="D766" s="705"/>
      <c r="E766" s="705"/>
      <c r="F766" s="707"/>
      <c r="G766" s="772"/>
      <c r="H766" s="772"/>
      <c r="I766" s="773"/>
      <c r="J766" s="510"/>
      <c r="K766" s="510"/>
      <c r="L766" s="510"/>
      <c r="M766" s="773"/>
      <c r="N766" s="510"/>
      <c r="O766" s="773"/>
      <c r="P766" s="773"/>
      <c r="Q766" s="705"/>
      <c r="R766" s="754"/>
      <c r="S766" s="789"/>
      <c r="T766" s="705"/>
      <c r="U766" s="755"/>
    </row>
    <row r="767" ht="26.25" customHeight="1">
      <c r="A767" s="769"/>
      <c r="B767" s="770"/>
      <c r="C767" s="771"/>
      <c r="D767" s="705"/>
      <c r="E767" s="705"/>
      <c r="F767" s="707"/>
      <c r="G767" s="772"/>
      <c r="H767" s="772"/>
      <c r="I767" s="773"/>
      <c r="J767" s="510"/>
      <c r="K767" s="510"/>
      <c r="L767" s="510"/>
      <c r="M767" s="773"/>
      <c r="N767" s="510"/>
      <c r="O767" s="773"/>
      <c r="P767" s="773"/>
      <c r="Q767" s="705"/>
      <c r="R767" s="754"/>
      <c r="S767" s="789"/>
      <c r="T767" s="705"/>
      <c r="U767" s="755"/>
    </row>
    <row r="768" ht="26.25" customHeight="1">
      <c r="A768" s="769"/>
      <c r="B768" s="770"/>
      <c r="C768" s="771"/>
      <c r="D768" s="705"/>
      <c r="E768" s="705"/>
      <c r="F768" s="707"/>
      <c r="G768" s="772"/>
      <c r="H768" s="772"/>
      <c r="I768" s="773"/>
      <c r="J768" s="510"/>
      <c r="K768" s="510"/>
      <c r="L768" s="510"/>
      <c r="M768" s="773"/>
      <c r="N768" s="510"/>
      <c r="O768" s="773"/>
      <c r="P768" s="773"/>
      <c r="Q768" s="705"/>
      <c r="R768" s="754"/>
      <c r="S768" s="789"/>
      <c r="T768" s="705"/>
      <c r="U768" s="755"/>
    </row>
    <row r="769" ht="26.25" customHeight="1">
      <c r="A769" s="769"/>
      <c r="B769" s="770"/>
      <c r="C769" s="771"/>
      <c r="D769" s="705"/>
      <c r="E769" s="705"/>
      <c r="F769" s="707"/>
      <c r="G769" s="772"/>
      <c r="H769" s="772"/>
      <c r="I769" s="773"/>
      <c r="J769" s="510"/>
      <c r="K769" s="510"/>
      <c r="L769" s="510"/>
      <c r="M769" s="773"/>
      <c r="N769" s="510"/>
      <c r="O769" s="773"/>
      <c r="P769" s="773"/>
      <c r="Q769" s="705"/>
      <c r="R769" s="754"/>
      <c r="S769" s="789"/>
      <c r="T769" s="705"/>
      <c r="U769" s="755"/>
    </row>
    <row r="770" ht="26.25" customHeight="1">
      <c r="A770" s="769"/>
      <c r="B770" s="770"/>
      <c r="C770" s="771"/>
      <c r="D770" s="705"/>
      <c r="E770" s="705"/>
      <c r="F770" s="707"/>
      <c r="G770" s="772"/>
      <c r="H770" s="772"/>
      <c r="I770" s="773"/>
      <c r="J770" s="510"/>
      <c r="K770" s="510"/>
      <c r="L770" s="510"/>
      <c r="M770" s="773"/>
      <c r="N770" s="510"/>
      <c r="O770" s="773"/>
      <c r="P770" s="773"/>
      <c r="Q770" s="705"/>
      <c r="R770" s="754"/>
      <c r="S770" s="789"/>
      <c r="T770" s="705"/>
      <c r="U770" s="755"/>
    </row>
    <row r="771" ht="26.25" customHeight="1">
      <c r="A771" s="769"/>
      <c r="B771" s="770"/>
      <c r="C771" s="771"/>
      <c r="D771" s="705"/>
      <c r="E771" s="705"/>
      <c r="F771" s="707"/>
      <c r="G771" s="772"/>
      <c r="H771" s="772"/>
      <c r="I771" s="773"/>
      <c r="J771" s="510"/>
      <c r="K771" s="510"/>
      <c r="L771" s="510"/>
      <c r="M771" s="773"/>
      <c r="N771" s="510"/>
      <c r="O771" s="773"/>
      <c r="P771" s="773"/>
      <c r="Q771" s="705"/>
      <c r="R771" s="754"/>
      <c r="S771" s="789"/>
      <c r="T771" s="705"/>
      <c r="U771" s="755"/>
    </row>
    <row r="772" ht="26.25" customHeight="1">
      <c r="A772" s="769"/>
      <c r="B772" s="770"/>
      <c r="C772" s="771"/>
      <c r="D772" s="705"/>
      <c r="E772" s="705"/>
      <c r="F772" s="707"/>
      <c r="G772" s="772"/>
      <c r="H772" s="772"/>
      <c r="I772" s="773"/>
      <c r="J772" s="510"/>
      <c r="K772" s="510"/>
      <c r="L772" s="510"/>
      <c r="M772" s="773"/>
      <c r="N772" s="510"/>
      <c r="O772" s="773"/>
      <c r="P772" s="773"/>
      <c r="Q772" s="705"/>
      <c r="R772" s="754"/>
      <c r="S772" s="789"/>
      <c r="T772" s="705"/>
      <c r="U772" s="755"/>
    </row>
    <row r="773" ht="26.25" customHeight="1">
      <c r="A773" s="769"/>
      <c r="B773" s="770"/>
      <c r="C773" s="771"/>
      <c r="D773" s="705"/>
      <c r="E773" s="705"/>
      <c r="F773" s="707"/>
      <c r="G773" s="772"/>
      <c r="H773" s="772"/>
      <c r="I773" s="773"/>
      <c r="J773" s="510"/>
      <c r="K773" s="510"/>
      <c r="L773" s="510"/>
      <c r="M773" s="773"/>
      <c r="N773" s="510"/>
      <c r="O773" s="773"/>
      <c r="P773" s="773"/>
      <c r="Q773" s="705"/>
      <c r="R773" s="754"/>
      <c r="S773" s="789"/>
      <c r="T773" s="705"/>
      <c r="U773" s="755"/>
    </row>
    <row r="774" ht="26.25" customHeight="1">
      <c r="A774" s="769"/>
      <c r="B774" s="770"/>
      <c r="C774" s="771"/>
      <c r="D774" s="705"/>
      <c r="E774" s="705"/>
      <c r="F774" s="707"/>
      <c r="G774" s="772"/>
      <c r="H774" s="772"/>
      <c r="I774" s="773"/>
      <c r="J774" s="510"/>
      <c r="K774" s="510"/>
      <c r="L774" s="510"/>
      <c r="M774" s="773"/>
      <c r="N774" s="510"/>
      <c r="O774" s="773"/>
      <c r="P774" s="773"/>
      <c r="Q774" s="705"/>
      <c r="R774" s="754"/>
      <c r="S774" s="789"/>
      <c r="T774" s="705"/>
      <c r="U774" s="755"/>
    </row>
    <row r="775" ht="26.25" customHeight="1">
      <c r="A775" s="769"/>
      <c r="B775" s="770"/>
      <c r="C775" s="771"/>
      <c r="D775" s="705"/>
      <c r="E775" s="705"/>
      <c r="F775" s="707"/>
      <c r="G775" s="772"/>
      <c r="H775" s="772"/>
      <c r="I775" s="773"/>
      <c r="J775" s="510"/>
      <c r="K775" s="510"/>
      <c r="L775" s="510"/>
      <c r="M775" s="773"/>
      <c r="N775" s="510"/>
      <c r="O775" s="773"/>
      <c r="P775" s="773"/>
      <c r="Q775" s="705"/>
      <c r="R775" s="754"/>
      <c r="S775" s="789"/>
      <c r="T775" s="705"/>
      <c r="U775" s="755"/>
    </row>
    <row r="776" ht="26.25" customHeight="1">
      <c r="A776" s="769"/>
      <c r="B776" s="770"/>
      <c r="C776" s="771"/>
      <c r="D776" s="705"/>
      <c r="E776" s="705"/>
      <c r="F776" s="707"/>
      <c r="G776" s="772"/>
      <c r="H776" s="772"/>
      <c r="I776" s="773"/>
      <c r="J776" s="510"/>
      <c r="K776" s="510"/>
      <c r="L776" s="510"/>
      <c r="M776" s="773"/>
      <c r="N776" s="510"/>
      <c r="O776" s="773"/>
      <c r="P776" s="773"/>
      <c r="Q776" s="705"/>
      <c r="R776" s="754"/>
      <c r="S776" s="789"/>
      <c r="T776" s="705"/>
      <c r="U776" s="755"/>
    </row>
    <row r="777" ht="26.25" customHeight="1">
      <c r="A777" s="769"/>
      <c r="B777" s="770"/>
      <c r="C777" s="771"/>
      <c r="D777" s="705"/>
      <c r="E777" s="705"/>
      <c r="F777" s="707"/>
      <c r="G777" s="772"/>
      <c r="H777" s="772"/>
      <c r="I777" s="773"/>
      <c r="J777" s="510"/>
      <c r="K777" s="510"/>
      <c r="L777" s="510"/>
      <c r="M777" s="773"/>
      <c r="N777" s="510"/>
      <c r="O777" s="773"/>
      <c r="P777" s="773"/>
      <c r="Q777" s="705"/>
      <c r="R777" s="754"/>
      <c r="S777" s="789"/>
      <c r="T777" s="705"/>
      <c r="U777" s="755"/>
    </row>
    <row r="778" ht="26.25" customHeight="1">
      <c r="A778" s="769"/>
      <c r="B778" s="770"/>
      <c r="C778" s="771"/>
      <c r="D778" s="705"/>
      <c r="E778" s="705"/>
      <c r="F778" s="707"/>
      <c r="G778" s="772"/>
      <c r="H778" s="772"/>
      <c r="I778" s="773"/>
      <c r="J778" s="510"/>
      <c r="K778" s="510"/>
      <c r="L778" s="510"/>
      <c r="M778" s="773"/>
      <c r="N778" s="510"/>
      <c r="O778" s="773"/>
      <c r="P778" s="773"/>
      <c r="Q778" s="705"/>
      <c r="R778" s="754"/>
      <c r="S778" s="789"/>
      <c r="T778" s="705"/>
      <c r="U778" s="755"/>
    </row>
    <row r="779" ht="26.25" customHeight="1">
      <c r="A779" s="769"/>
      <c r="B779" s="770"/>
      <c r="C779" s="771"/>
      <c r="D779" s="705"/>
      <c r="E779" s="705"/>
      <c r="F779" s="707"/>
      <c r="G779" s="772"/>
      <c r="H779" s="772"/>
      <c r="I779" s="773"/>
      <c r="J779" s="510"/>
      <c r="K779" s="510"/>
      <c r="L779" s="510"/>
      <c r="M779" s="773"/>
      <c r="N779" s="510"/>
      <c r="O779" s="773"/>
      <c r="P779" s="773"/>
      <c r="Q779" s="705"/>
      <c r="R779" s="754"/>
      <c r="S779" s="789"/>
      <c r="T779" s="705"/>
      <c r="U779" s="755"/>
    </row>
    <row r="780" ht="26.25" customHeight="1">
      <c r="A780" s="769"/>
      <c r="B780" s="770"/>
      <c r="C780" s="771"/>
      <c r="D780" s="705"/>
      <c r="E780" s="705"/>
      <c r="F780" s="707"/>
      <c r="G780" s="772"/>
      <c r="H780" s="772"/>
      <c r="I780" s="773"/>
      <c r="J780" s="510"/>
      <c r="K780" s="510"/>
      <c r="L780" s="510"/>
      <c r="M780" s="773"/>
      <c r="N780" s="510"/>
      <c r="O780" s="773"/>
      <c r="P780" s="773"/>
      <c r="Q780" s="705"/>
      <c r="R780" s="754"/>
      <c r="S780" s="789"/>
      <c r="T780" s="705"/>
      <c r="U780" s="755"/>
    </row>
    <row r="781" ht="26.25" customHeight="1">
      <c r="A781" s="769"/>
      <c r="B781" s="770"/>
      <c r="C781" s="771"/>
      <c r="D781" s="705"/>
      <c r="E781" s="705"/>
      <c r="F781" s="707"/>
      <c r="G781" s="772"/>
      <c r="H781" s="772"/>
      <c r="I781" s="773"/>
      <c r="J781" s="510"/>
      <c r="K781" s="510"/>
      <c r="L781" s="510"/>
      <c r="M781" s="773"/>
      <c r="N781" s="510"/>
      <c r="O781" s="773"/>
      <c r="P781" s="773"/>
      <c r="Q781" s="705"/>
      <c r="R781" s="754"/>
      <c r="S781" s="789"/>
      <c r="T781" s="705"/>
      <c r="U781" s="755"/>
    </row>
    <row r="782" ht="26.25" customHeight="1">
      <c r="A782" s="769"/>
      <c r="B782" s="770"/>
      <c r="C782" s="771"/>
      <c r="D782" s="705"/>
      <c r="E782" s="705"/>
      <c r="F782" s="707"/>
      <c r="G782" s="772"/>
      <c r="H782" s="772"/>
      <c r="I782" s="773"/>
      <c r="J782" s="510"/>
      <c r="K782" s="510"/>
      <c r="L782" s="510"/>
      <c r="M782" s="773"/>
      <c r="N782" s="510"/>
      <c r="O782" s="773"/>
      <c r="P782" s="773"/>
      <c r="Q782" s="705"/>
      <c r="R782" s="754"/>
      <c r="S782" s="789"/>
      <c r="T782" s="705"/>
      <c r="U782" s="755"/>
    </row>
    <row r="783" ht="26.25" customHeight="1">
      <c r="A783" s="769"/>
      <c r="B783" s="770"/>
      <c r="C783" s="771"/>
      <c r="D783" s="705"/>
      <c r="E783" s="705"/>
      <c r="F783" s="707"/>
      <c r="G783" s="772"/>
      <c r="H783" s="772"/>
      <c r="I783" s="773"/>
      <c r="J783" s="510"/>
      <c r="K783" s="510"/>
      <c r="L783" s="510"/>
      <c r="M783" s="773"/>
      <c r="N783" s="510"/>
      <c r="O783" s="773"/>
      <c r="P783" s="773"/>
      <c r="Q783" s="705"/>
      <c r="R783" s="754"/>
      <c r="S783" s="789"/>
      <c r="T783" s="705"/>
      <c r="U783" s="755"/>
    </row>
    <row r="784" ht="26.25" customHeight="1">
      <c r="A784" s="769"/>
      <c r="B784" s="770"/>
      <c r="C784" s="771"/>
      <c r="D784" s="705"/>
      <c r="E784" s="705"/>
      <c r="F784" s="707"/>
      <c r="G784" s="772"/>
      <c r="H784" s="772"/>
      <c r="I784" s="773"/>
      <c r="J784" s="510"/>
      <c r="K784" s="510"/>
      <c r="L784" s="510"/>
      <c r="M784" s="773"/>
      <c r="N784" s="510"/>
      <c r="O784" s="773"/>
      <c r="P784" s="773"/>
      <c r="Q784" s="705"/>
      <c r="R784" s="754"/>
      <c r="S784" s="789"/>
      <c r="T784" s="705"/>
      <c r="U784" s="755"/>
    </row>
    <row r="785" ht="26.25" customHeight="1">
      <c r="A785" s="769"/>
      <c r="B785" s="770"/>
      <c r="C785" s="771"/>
      <c r="D785" s="705"/>
      <c r="E785" s="705"/>
      <c r="F785" s="707"/>
      <c r="G785" s="772"/>
      <c r="H785" s="772"/>
      <c r="I785" s="773"/>
      <c r="J785" s="510"/>
      <c r="K785" s="510"/>
      <c r="L785" s="510"/>
      <c r="M785" s="773"/>
      <c r="N785" s="510"/>
      <c r="O785" s="773"/>
      <c r="P785" s="773"/>
      <c r="Q785" s="705"/>
      <c r="R785" s="754"/>
      <c r="S785" s="789"/>
      <c r="T785" s="705"/>
      <c r="U785" s="755"/>
    </row>
    <row r="786" ht="26.25" customHeight="1">
      <c r="A786" s="769"/>
      <c r="B786" s="770"/>
      <c r="C786" s="771"/>
      <c r="D786" s="705"/>
      <c r="E786" s="705"/>
      <c r="F786" s="707"/>
      <c r="G786" s="772"/>
      <c r="H786" s="772"/>
      <c r="I786" s="773"/>
      <c r="J786" s="510"/>
      <c r="K786" s="510"/>
      <c r="L786" s="510"/>
      <c r="M786" s="773"/>
      <c r="N786" s="510"/>
      <c r="O786" s="773"/>
      <c r="P786" s="773"/>
      <c r="Q786" s="705"/>
      <c r="R786" s="754"/>
      <c r="S786" s="789"/>
      <c r="T786" s="705"/>
      <c r="U786" s="755"/>
    </row>
    <row r="787" ht="26.25" customHeight="1">
      <c r="A787" s="769"/>
      <c r="B787" s="770"/>
      <c r="C787" s="771"/>
      <c r="D787" s="705"/>
      <c r="E787" s="705"/>
      <c r="F787" s="707"/>
      <c r="G787" s="772"/>
      <c r="H787" s="772"/>
      <c r="I787" s="773"/>
      <c r="J787" s="510"/>
      <c r="K787" s="510"/>
      <c r="L787" s="510"/>
      <c r="M787" s="773"/>
      <c r="N787" s="510"/>
      <c r="O787" s="773"/>
      <c r="P787" s="773"/>
      <c r="Q787" s="705"/>
      <c r="R787" s="754"/>
      <c r="S787" s="789"/>
      <c r="T787" s="705"/>
      <c r="U787" s="755"/>
    </row>
    <row r="788" ht="26.25" customHeight="1">
      <c r="A788" s="769"/>
      <c r="B788" s="770"/>
      <c r="C788" s="771"/>
      <c r="D788" s="705"/>
      <c r="E788" s="705"/>
      <c r="F788" s="707"/>
      <c r="G788" s="772"/>
      <c r="H788" s="772"/>
      <c r="I788" s="773"/>
      <c r="J788" s="510"/>
      <c r="K788" s="510"/>
      <c r="L788" s="510"/>
      <c r="M788" s="773"/>
      <c r="N788" s="510"/>
      <c r="O788" s="773"/>
      <c r="P788" s="773"/>
      <c r="Q788" s="705"/>
      <c r="R788" s="754"/>
      <c r="S788" s="789"/>
      <c r="T788" s="705"/>
      <c r="U788" s="755"/>
    </row>
    <row r="789" ht="26.25" customHeight="1">
      <c r="A789" s="769"/>
      <c r="B789" s="770"/>
      <c r="C789" s="771"/>
      <c r="D789" s="705"/>
      <c r="E789" s="705"/>
      <c r="F789" s="707"/>
      <c r="G789" s="772"/>
      <c r="H789" s="772"/>
      <c r="I789" s="773"/>
      <c r="J789" s="510"/>
      <c r="K789" s="510"/>
      <c r="L789" s="510"/>
      <c r="M789" s="773"/>
      <c r="N789" s="510"/>
      <c r="O789" s="773"/>
      <c r="P789" s="773"/>
      <c r="Q789" s="705"/>
      <c r="R789" s="754"/>
      <c r="S789" s="789"/>
      <c r="T789" s="705"/>
      <c r="U789" s="755"/>
    </row>
    <row r="790" ht="26.25" customHeight="1">
      <c r="A790" s="769"/>
      <c r="B790" s="770"/>
      <c r="C790" s="771"/>
      <c r="D790" s="705"/>
      <c r="E790" s="705"/>
      <c r="F790" s="707"/>
      <c r="G790" s="772"/>
      <c r="H790" s="772"/>
      <c r="I790" s="773"/>
      <c r="J790" s="510"/>
      <c r="K790" s="510"/>
      <c r="L790" s="510"/>
      <c r="M790" s="773"/>
      <c r="N790" s="510"/>
      <c r="O790" s="773"/>
      <c r="P790" s="773"/>
      <c r="Q790" s="705"/>
      <c r="R790" s="754"/>
      <c r="S790" s="789"/>
      <c r="T790" s="705"/>
      <c r="U790" s="755"/>
    </row>
    <row r="791" ht="26.25" customHeight="1">
      <c r="A791" s="769"/>
      <c r="B791" s="770"/>
      <c r="C791" s="771"/>
      <c r="D791" s="705"/>
      <c r="E791" s="705"/>
      <c r="F791" s="707"/>
      <c r="G791" s="772"/>
      <c r="H791" s="772"/>
      <c r="I791" s="773"/>
      <c r="J791" s="510"/>
      <c r="K791" s="510"/>
      <c r="L791" s="510"/>
      <c r="M791" s="773"/>
      <c r="N791" s="510"/>
      <c r="O791" s="773"/>
      <c r="P791" s="773"/>
      <c r="Q791" s="705"/>
      <c r="R791" s="754"/>
      <c r="S791" s="789"/>
      <c r="T791" s="705"/>
      <c r="U791" s="755"/>
    </row>
    <row r="792" ht="26.25" customHeight="1">
      <c r="A792" s="769"/>
      <c r="B792" s="770"/>
      <c r="C792" s="771"/>
      <c r="D792" s="705"/>
      <c r="E792" s="705"/>
      <c r="F792" s="707"/>
      <c r="G792" s="772"/>
      <c r="H792" s="772"/>
      <c r="I792" s="773"/>
      <c r="J792" s="510"/>
      <c r="K792" s="510"/>
      <c r="L792" s="510"/>
      <c r="M792" s="773"/>
      <c r="N792" s="510"/>
      <c r="O792" s="773"/>
      <c r="P792" s="773"/>
      <c r="Q792" s="705"/>
      <c r="R792" s="754"/>
      <c r="S792" s="789"/>
      <c r="T792" s="705"/>
      <c r="U792" s="755"/>
    </row>
    <row r="793" ht="26.25" customHeight="1">
      <c r="A793" s="769"/>
      <c r="B793" s="770"/>
      <c r="C793" s="771"/>
      <c r="D793" s="705"/>
      <c r="E793" s="705"/>
      <c r="F793" s="707"/>
      <c r="G793" s="772"/>
      <c r="H793" s="772"/>
      <c r="I793" s="773"/>
      <c r="J793" s="510"/>
      <c r="K793" s="510"/>
      <c r="L793" s="510"/>
      <c r="M793" s="773"/>
      <c r="N793" s="510"/>
      <c r="O793" s="773"/>
      <c r="P793" s="773"/>
      <c r="Q793" s="705"/>
      <c r="R793" s="754"/>
      <c r="S793" s="789"/>
      <c r="T793" s="705"/>
      <c r="U793" s="755"/>
    </row>
    <row r="794" ht="26.25" customHeight="1">
      <c r="A794" s="769"/>
      <c r="B794" s="770"/>
      <c r="C794" s="771"/>
      <c r="D794" s="705"/>
      <c r="E794" s="705"/>
      <c r="F794" s="707"/>
      <c r="G794" s="772"/>
      <c r="H794" s="772"/>
      <c r="I794" s="773"/>
      <c r="J794" s="510"/>
      <c r="K794" s="510"/>
      <c r="L794" s="510"/>
      <c r="M794" s="773"/>
      <c r="N794" s="510"/>
      <c r="O794" s="773"/>
      <c r="P794" s="773"/>
      <c r="Q794" s="705"/>
      <c r="R794" s="754"/>
      <c r="S794" s="789"/>
      <c r="T794" s="705"/>
      <c r="U794" s="755"/>
    </row>
    <row r="795" ht="26.25" customHeight="1">
      <c r="A795" s="769"/>
      <c r="B795" s="770"/>
      <c r="C795" s="771"/>
      <c r="D795" s="705"/>
      <c r="E795" s="705"/>
      <c r="F795" s="707"/>
      <c r="G795" s="772"/>
      <c r="H795" s="772"/>
      <c r="I795" s="773"/>
      <c r="J795" s="510"/>
      <c r="K795" s="510"/>
      <c r="L795" s="510"/>
      <c r="M795" s="773"/>
      <c r="N795" s="510"/>
      <c r="O795" s="773"/>
      <c r="P795" s="773"/>
      <c r="Q795" s="705"/>
      <c r="R795" s="754"/>
      <c r="S795" s="789"/>
      <c r="T795" s="705"/>
      <c r="U795" s="755"/>
    </row>
    <row r="796" ht="26.25" customHeight="1">
      <c r="A796" s="769"/>
      <c r="B796" s="770"/>
      <c r="C796" s="771"/>
      <c r="D796" s="705"/>
      <c r="E796" s="705"/>
      <c r="F796" s="707"/>
      <c r="G796" s="772"/>
      <c r="H796" s="772"/>
      <c r="I796" s="773"/>
      <c r="J796" s="510"/>
      <c r="K796" s="510"/>
      <c r="L796" s="510"/>
      <c r="M796" s="773"/>
      <c r="N796" s="510"/>
      <c r="O796" s="773"/>
      <c r="P796" s="773"/>
      <c r="Q796" s="705"/>
      <c r="R796" s="754"/>
      <c r="S796" s="789"/>
      <c r="T796" s="705"/>
      <c r="U796" s="755"/>
    </row>
    <row r="797" ht="26.25" customHeight="1">
      <c r="A797" s="769"/>
      <c r="B797" s="770"/>
      <c r="C797" s="771"/>
      <c r="D797" s="705"/>
      <c r="E797" s="705"/>
      <c r="F797" s="707"/>
      <c r="G797" s="772"/>
      <c r="H797" s="772"/>
      <c r="I797" s="773"/>
      <c r="J797" s="510"/>
      <c r="K797" s="510"/>
      <c r="L797" s="510"/>
      <c r="M797" s="773"/>
      <c r="N797" s="510"/>
      <c r="O797" s="773"/>
      <c r="P797" s="773"/>
      <c r="Q797" s="705"/>
      <c r="R797" s="754"/>
      <c r="S797" s="789"/>
      <c r="T797" s="705"/>
      <c r="U797" s="755"/>
    </row>
    <row r="798" ht="26.25" customHeight="1">
      <c r="A798" s="769"/>
      <c r="B798" s="770"/>
      <c r="C798" s="771"/>
      <c r="D798" s="705"/>
      <c r="E798" s="705"/>
      <c r="F798" s="707"/>
      <c r="G798" s="772"/>
      <c r="H798" s="772"/>
      <c r="I798" s="773"/>
      <c r="J798" s="510"/>
      <c r="K798" s="510"/>
      <c r="L798" s="510"/>
      <c r="M798" s="773"/>
      <c r="N798" s="510"/>
      <c r="O798" s="773"/>
      <c r="P798" s="773"/>
      <c r="Q798" s="705"/>
      <c r="R798" s="754"/>
      <c r="S798" s="789"/>
      <c r="T798" s="705"/>
      <c r="U798" s="755"/>
    </row>
    <row r="799" ht="26.25" customHeight="1">
      <c r="A799" s="769"/>
      <c r="B799" s="770"/>
      <c r="C799" s="771"/>
      <c r="D799" s="705"/>
      <c r="E799" s="705"/>
      <c r="F799" s="707"/>
      <c r="G799" s="772"/>
      <c r="H799" s="772"/>
      <c r="I799" s="773"/>
      <c r="J799" s="510"/>
      <c r="K799" s="510"/>
      <c r="L799" s="510"/>
      <c r="M799" s="773"/>
      <c r="N799" s="510"/>
      <c r="O799" s="773"/>
      <c r="P799" s="773"/>
      <c r="Q799" s="705"/>
      <c r="R799" s="754"/>
      <c r="S799" s="789"/>
      <c r="T799" s="705"/>
      <c r="U799" s="755"/>
    </row>
    <row r="800" ht="26.25" customHeight="1">
      <c r="A800" s="769"/>
      <c r="B800" s="770"/>
      <c r="C800" s="771"/>
      <c r="D800" s="705"/>
      <c r="E800" s="705"/>
      <c r="F800" s="707"/>
      <c r="G800" s="772"/>
      <c r="H800" s="772"/>
      <c r="I800" s="773"/>
      <c r="J800" s="510"/>
      <c r="K800" s="510"/>
      <c r="L800" s="510"/>
      <c r="M800" s="773"/>
      <c r="N800" s="510"/>
      <c r="O800" s="773"/>
      <c r="P800" s="773"/>
      <c r="Q800" s="705"/>
      <c r="R800" s="754"/>
      <c r="S800" s="789"/>
      <c r="T800" s="705"/>
      <c r="U800" s="755"/>
    </row>
    <row r="801" ht="26.25" customHeight="1">
      <c r="A801" s="769"/>
      <c r="B801" s="770"/>
      <c r="C801" s="771"/>
      <c r="D801" s="705"/>
      <c r="E801" s="705"/>
      <c r="F801" s="707"/>
      <c r="G801" s="772"/>
      <c r="H801" s="772"/>
      <c r="I801" s="773"/>
      <c r="J801" s="510"/>
      <c r="K801" s="510"/>
      <c r="L801" s="510"/>
      <c r="M801" s="773"/>
      <c r="N801" s="510"/>
      <c r="O801" s="773"/>
      <c r="P801" s="773"/>
      <c r="Q801" s="705"/>
      <c r="R801" s="754"/>
      <c r="S801" s="789"/>
      <c r="T801" s="705"/>
      <c r="U801" s="755"/>
    </row>
    <row r="802" ht="26.25" customHeight="1">
      <c r="A802" s="769"/>
      <c r="B802" s="770"/>
      <c r="C802" s="771"/>
      <c r="D802" s="705"/>
      <c r="E802" s="705"/>
      <c r="F802" s="707"/>
      <c r="G802" s="772"/>
      <c r="H802" s="772"/>
      <c r="I802" s="773"/>
      <c r="J802" s="510"/>
      <c r="K802" s="510"/>
      <c r="L802" s="510"/>
      <c r="M802" s="773"/>
      <c r="N802" s="510"/>
      <c r="O802" s="773"/>
      <c r="P802" s="773"/>
      <c r="Q802" s="705"/>
      <c r="R802" s="754"/>
      <c r="S802" s="789"/>
      <c r="T802" s="705"/>
      <c r="U802" s="755"/>
    </row>
    <row r="803" ht="26.25" customHeight="1">
      <c r="A803" s="769"/>
      <c r="B803" s="770"/>
      <c r="C803" s="771"/>
      <c r="D803" s="705"/>
      <c r="E803" s="705"/>
      <c r="F803" s="707"/>
      <c r="G803" s="772"/>
      <c r="H803" s="772"/>
      <c r="I803" s="773"/>
      <c r="J803" s="510"/>
      <c r="K803" s="510"/>
      <c r="L803" s="510"/>
      <c r="M803" s="773"/>
      <c r="N803" s="510"/>
      <c r="O803" s="773"/>
      <c r="P803" s="773"/>
      <c r="Q803" s="705"/>
      <c r="R803" s="754"/>
      <c r="S803" s="789"/>
      <c r="T803" s="705"/>
      <c r="U803" s="755"/>
    </row>
    <row r="804" ht="26.25" customHeight="1">
      <c r="A804" s="769"/>
      <c r="B804" s="770"/>
      <c r="C804" s="771"/>
      <c r="D804" s="705"/>
      <c r="E804" s="705"/>
      <c r="F804" s="707"/>
      <c r="G804" s="772"/>
      <c r="H804" s="772"/>
      <c r="I804" s="773"/>
      <c r="J804" s="510"/>
      <c r="K804" s="510"/>
      <c r="L804" s="510"/>
      <c r="M804" s="773"/>
      <c r="N804" s="510"/>
      <c r="O804" s="773"/>
      <c r="P804" s="773"/>
      <c r="Q804" s="705"/>
      <c r="R804" s="754"/>
      <c r="S804" s="789"/>
      <c r="T804" s="705"/>
      <c r="U804" s="755"/>
    </row>
    <row r="805" ht="26.25" customHeight="1">
      <c r="A805" s="769"/>
      <c r="B805" s="770"/>
      <c r="C805" s="771"/>
      <c r="D805" s="705"/>
      <c r="E805" s="705"/>
      <c r="F805" s="707"/>
      <c r="G805" s="772"/>
      <c r="H805" s="772"/>
      <c r="I805" s="773"/>
      <c r="J805" s="510"/>
      <c r="K805" s="510"/>
      <c r="L805" s="510"/>
      <c r="M805" s="773"/>
      <c r="N805" s="510"/>
      <c r="O805" s="773"/>
      <c r="P805" s="773"/>
      <c r="Q805" s="705"/>
      <c r="R805" s="754"/>
      <c r="S805" s="789"/>
      <c r="T805" s="705"/>
      <c r="U805" s="755"/>
    </row>
    <row r="806" ht="26.25" customHeight="1">
      <c r="A806" s="769"/>
      <c r="B806" s="770"/>
      <c r="C806" s="771"/>
      <c r="D806" s="705"/>
      <c r="E806" s="705"/>
      <c r="F806" s="707"/>
      <c r="G806" s="772"/>
      <c r="H806" s="772"/>
      <c r="I806" s="773"/>
      <c r="J806" s="510"/>
      <c r="K806" s="510"/>
      <c r="L806" s="510"/>
      <c r="M806" s="773"/>
      <c r="N806" s="510"/>
      <c r="O806" s="773"/>
      <c r="P806" s="773"/>
      <c r="Q806" s="705"/>
      <c r="R806" s="754"/>
      <c r="S806" s="789"/>
      <c r="T806" s="705"/>
      <c r="U806" s="755"/>
    </row>
    <row r="807" ht="26.25" customHeight="1">
      <c r="A807" s="769"/>
      <c r="B807" s="770"/>
      <c r="C807" s="771"/>
      <c r="D807" s="705"/>
      <c r="E807" s="705"/>
      <c r="F807" s="707"/>
      <c r="G807" s="772"/>
      <c r="H807" s="772"/>
      <c r="I807" s="773"/>
      <c r="J807" s="510"/>
      <c r="K807" s="510"/>
      <c r="L807" s="510"/>
      <c r="M807" s="773"/>
      <c r="N807" s="510"/>
      <c r="O807" s="773"/>
      <c r="P807" s="773"/>
      <c r="Q807" s="705"/>
      <c r="R807" s="754"/>
      <c r="S807" s="789"/>
      <c r="T807" s="705"/>
      <c r="U807" s="755"/>
    </row>
    <row r="808" ht="26.25" customHeight="1">
      <c r="A808" s="769"/>
      <c r="B808" s="770"/>
      <c r="C808" s="771"/>
      <c r="D808" s="705"/>
      <c r="E808" s="705"/>
      <c r="F808" s="707"/>
      <c r="G808" s="772"/>
      <c r="H808" s="772"/>
      <c r="I808" s="773"/>
      <c r="J808" s="510"/>
      <c r="K808" s="510"/>
      <c r="L808" s="510"/>
      <c r="M808" s="773"/>
      <c r="N808" s="510"/>
      <c r="O808" s="773"/>
      <c r="P808" s="773"/>
      <c r="Q808" s="705"/>
      <c r="R808" s="754"/>
      <c r="S808" s="789"/>
      <c r="T808" s="705"/>
      <c r="U808" s="755"/>
    </row>
    <row r="809" ht="26.25" customHeight="1">
      <c r="A809" s="769"/>
      <c r="B809" s="770"/>
      <c r="C809" s="771"/>
      <c r="D809" s="705"/>
      <c r="E809" s="705"/>
      <c r="F809" s="707"/>
      <c r="G809" s="772"/>
      <c r="H809" s="772"/>
      <c r="I809" s="773"/>
      <c r="J809" s="510"/>
      <c r="K809" s="510"/>
      <c r="L809" s="510"/>
      <c r="M809" s="773"/>
      <c r="N809" s="510"/>
      <c r="O809" s="773"/>
      <c r="P809" s="773"/>
      <c r="Q809" s="705"/>
      <c r="R809" s="754"/>
      <c r="S809" s="789"/>
      <c r="T809" s="705"/>
      <c r="U809" s="755"/>
    </row>
    <row r="810" ht="26.25" customHeight="1">
      <c r="A810" s="769"/>
      <c r="B810" s="770"/>
      <c r="C810" s="771"/>
      <c r="D810" s="705"/>
      <c r="E810" s="705"/>
      <c r="F810" s="707"/>
      <c r="G810" s="772"/>
      <c r="H810" s="772"/>
      <c r="I810" s="773"/>
      <c r="J810" s="510"/>
      <c r="K810" s="510"/>
      <c r="L810" s="510"/>
      <c r="M810" s="773"/>
      <c r="N810" s="510"/>
      <c r="O810" s="773"/>
      <c r="P810" s="773"/>
      <c r="Q810" s="705"/>
      <c r="R810" s="754"/>
      <c r="S810" s="789"/>
      <c r="T810" s="705"/>
      <c r="U810" s="755"/>
    </row>
    <row r="811" ht="26.25" customHeight="1">
      <c r="A811" s="769"/>
      <c r="B811" s="770"/>
      <c r="C811" s="771"/>
      <c r="D811" s="705"/>
      <c r="E811" s="705"/>
      <c r="F811" s="707"/>
      <c r="G811" s="772"/>
      <c r="H811" s="772"/>
      <c r="I811" s="773"/>
      <c r="J811" s="510"/>
      <c r="K811" s="510"/>
      <c r="L811" s="510"/>
      <c r="M811" s="773"/>
      <c r="N811" s="510"/>
      <c r="O811" s="773"/>
      <c r="P811" s="773"/>
      <c r="Q811" s="705"/>
      <c r="R811" s="754"/>
      <c r="S811" s="789"/>
      <c r="T811" s="705"/>
      <c r="U811" s="755"/>
    </row>
    <row r="812" ht="26.25" customHeight="1">
      <c r="A812" s="769"/>
      <c r="B812" s="770"/>
      <c r="C812" s="771"/>
      <c r="D812" s="705"/>
      <c r="E812" s="705"/>
      <c r="F812" s="707"/>
      <c r="G812" s="772"/>
      <c r="H812" s="772"/>
      <c r="I812" s="773"/>
      <c r="J812" s="510"/>
      <c r="K812" s="510"/>
      <c r="L812" s="510"/>
      <c r="M812" s="773"/>
      <c r="N812" s="510"/>
      <c r="O812" s="773"/>
      <c r="P812" s="773"/>
      <c r="Q812" s="705"/>
      <c r="R812" s="754"/>
      <c r="S812" s="789"/>
      <c r="T812" s="705"/>
      <c r="U812" s="755"/>
    </row>
    <row r="813" ht="26.25" customHeight="1">
      <c r="A813" s="769"/>
      <c r="B813" s="770"/>
      <c r="C813" s="771"/>
      <c r="D813" s="705"/>
      <c r="E813" s="705"/>
      <c r="F813" s="707"/>
      <c r="G813" s="772"/>
      <c r="H813" s="772"/>
      <c r="I813" s="773"/>
      <c r="J813" s="510"/>
      <c r="K813" s="510"/>
      <c r="L813" s="510"/>
      <c r="M813" s="773"/>
      <c r="N813" s="510"/>
      <c r="O813" s="773"/>
      <c r="P813" s="773"/>
      <c r="Q813" s="705"/>
      <c r="R813" s="754"/>
      <c r="S813" s="789"/>
      <c r="T813" s="705"/>
      <c r="U813" s="755"/>
    </row>
    <row r="814" ht="26.25" customHeight="1">
      <c r="A814" s="769"/>
      <c r="B814" s="770"/>
      <c r="C814" s="771"/>
      <c r="D814" s="705"/>
      <c r="E814" s="705"/>
      <c r="F814" s="707"/>
      <c r="G814" s="772"/>
      <c r="H814" s="772"/>
      <c r="I814" s="773"/>
      <c r="J814" s="510"/>
      <c r="K814" s="510"/>
      <c r="L814" s="510"/>
      <c r="M814" s="773"/>
      <c r="N814" s="510"/>
      <c r="O814" s="773"/>
      <c r="P814" s="773"/>
      <c r="Q814" s="705"/>
      <c r="R814" s="754"/>
      <c r="S814" s="789"/>
      <c r="T814" s="705"/>
      <c r="U814" s="755"/>
    </row>
    <row r="815" ht="26.25" customHeight="1">
      <c r="A815" s="769"/>
      <c r="B815" s="770"/>
      <c r="C815" s="771"/>
      <c r="D815" s="705"/>
      <c r="E815" s="705"/>
      <c r="F815" s="707"/>
      <c r="G815" s="772"/>
      <c r="H815" s="772"/>
      <c r="I815" s="773"/>
      <c r="J815" s="510"/>
      <c r="K815" s="510"/>
      <c r="L815" s="510"/>
      <c r="M815" s="773"/>
      <c r="N815" s="510"/>
      <c r="O815" s="773"/>
      <c r="P815" s="773"/>
      <c r="Q815" s="705"/>
      <c r="R815" s="754"/>
      <c r="S815" s="789"/>
      <c r="T815" s="705"/>
      <c r="U815" s="755"/>
    </row>
    <row r="816" ht="26.25" customHeight="1">
      <c r="A816" s="769"/>
      <c r="B816" s="770"/>
      <c r="C816" s="771"/>
      <c r="D816" s="705"/>
      <c r="E816" s="705"/>
      <c r="F816" s="707"/>
      <c r="G816" s="772"/>
      <c r="H816" s="772"/>
      <c r="I816" s="773"/>
      <c r="J816" s="510"/>
      <c r="K816" s="510"/>
      <c r="L816" s="510"/>
      <c r="M816" s="773"/>
      <c r="N816" s="510"/>
      <c r="O816" s="773"/>
      <c r="P816" s="773"/>
      <c r="Q816" s="705"/>
      <c r="R816" s="754"/>
      <c r="S816" s="789"/>
      <c r="T816" s="705"/>
      <c r="U816" s="755"/>
    </row>
    <row r="817" ht="26.25" customHeight="1">
      <c r="A817" s="769"/>
      <c r="B817" s="770"/>
      <c r="C817" s="771"/>
      <c r="D817" s="705"/>
      <c r="E817" s="705"/>
      <c r="F817" s="707"/>
      <c r="G817" s="772"/>
      <c r="H817" s="772"/>
      <c r="I817" s="773"/>
      <c r="J817" s="510"/>
      <c r="K817" s="510"/>
      <c r="L817" s="510"/>
      <c r="M817" s="773"/>
      <c r="N817" s="510"/>
      <c r="O817" s="773"/>
      <c r="P817" s="773"/>
      <c r="Q817" s="705"/>
      <c r="R817" s="754"/>
      <c r="S817" s="789"/>
      <c r="T817" s="705"/>
      <c r="U817" s="755"/>
    </row>
    <row r="818" ht="26.25" customHeight="1">
      <c r="A818" s="769"/>
      <c r="B818" s="770"/>
      <c r="C818" s="771"/>
      <c r="D818" s="705"/>
      <c r="E818" s="705"/>
      <c r="F818" s="707"/>
      <c r="G818" s="772"/>
      <c r="H818" s="772"/>
      <c r="I818" s="773"/>
      <c r="J818" s="510"/>
      <c r="K818" s="510"/>
      <c r="L818" s="510"/>
      <c r="M818" s="773"/>
      <c r="N818" s="510"/>
      <c r="O818" s="773"/>
      <c r="P818" s="773"/>
      <c r="Q818" s="705"/>
      <c r="R818" s="754"/>
      <c r="S818" s="789"/>
      <c r="T818" s="705"/>
      <c r="U818" s="755"/>
    </row>
    <row r="819" ht="26.25" customHeight="1">
      <c r="A819" s="769"/>
      <c r="B819" s="770"/>
      <c r="C819" s="771"/>
      <c r="D819" s="705"/>
      <c r="E819" s="705"/>
      <c r="F819" s="707"/>
      <c r="G819" s="772"/>
      <c r="H819" s="772"/>
      <c r="I819" s="773"/>
      <c r="J819" s="510"/>
      <c r="K819" s="510"/>
      <c r="L819" s="510"/>
      <c r="M819" s="773"/>
      <c r="N819" s="510"/>
      <c r="O819" s="773"/>
      <c r="P819" s="773"/>
      <c r="Q819" s="705"/>
      <c r="R819" s="754"/>
      <c r="S819" s="789"/>
      <c r="T819" s="705"/>
      <c r="U819" s="755"/>
    </row>
    <row r="820" ht="26.25" customHeight="1">
      <c r="A820" s="769"/>
      <c r="B820" s="770"/>
      <c r="C820" s="771"/>
      <c r="D820" s="705"/>
      <c r="E820" s="705"/>
      <c r="F820" s="707"/>
      <c r="G820" s="772"/>
      <c r="H820" s="772"/>
      <c r="I820" s="773"/>
      <c r="J820" s="510"/>
      <c r="K820" s="510"/>
      <c r="L820" s="510"/>
      <c r="M820" s="773"/>
      <c r="N820" s="510"/>
      <c r="O820" s="773"/>
      <c r="P820" s="773"/>
      <c r="Q820" s="705"/>
      <c r="R820" s="754"/>
      <c r="S820" s="789"/>
      <c r="T820" s="705"/>
      <c r="U820" s="755"/>
    </row>
    <row r="821" ht="26.25" customHeight="1">
      <c r="A821" s="769"/>
      <c r="B821" s="770"/>
      <c r="C821" s="771"/>
      <c r="D821" s="705"/>
      <c r="E821" s="705"/>
      <c r="F821" s="707"/>
      <c r="G821" s="772"/>
      <c r="H821" s="772"/>
      <c r="I821" s="773"/>
      <c r="J821" s="510"/>
      <c r="K821" s="510"/>
      <c r="L821" s="510"/>
      <c r="M821" s="773"/>
      <c r="N821" s="510"/>
      <c r="O821" s="773"/>
      <c r="P821" s="773"/>
      <c r="Q821" s="705"/>
      <c r="R821" s="754"/>
      <c r="S821" s="789"/>
      <c r="T821" s="705"/>
      <c r="U821" s="755"/>
    </row>
    <row r="822" ht="26.25" customHeight="1">
      <c r="A822" s="769"/>
      <c r="B822" s="770"/>
      <c r="C822" s="771"/>
      <c r="D822" s="705"/>
      <c r="E822" s="705"/>
      <c r="F822" s="707"/>
      <c r="G822" s="772"/>
      <c r="H822" s="772"/>
      <c r="I822" s="773"/>
      <c r="J822" s="510"/>
      <c r="K822" s="510"/>
      <c r="L822" s="510"/>
      <c r="M822" s="773"/>
      <c r="N822" s="510"/>
      <c r="O822" s="773"/>
      <c r="P822" s="773"/>
      <c r="Q822" s="705"/>
      <c r="R822" s="754"/>
      <c r="S822" s="789"/>
      <c r="T822" s="705"/>
      <c r="U822" s="755"/>
    </row>
    <row r="823" ht="26.25" customHeight="1">
      <c r="A823" s="769"/>
      <c r="B823" s="770"/>
      <c r="C823" s="771"/>
      <c r="D823" s="705"/>
      <c r="E823" s="705"/>
      <c r="F823" s="707"/>
      <c r="G823" s="772"/>
      <c r="H823" s="772"/>
      <c r="I823" s="773"/>
      <c r="J823" s="510"/>
      <c r="K823" s="510"/>
      <c r="L823" s="510"/>
      <c r="M823" s="773"/>
      <c r="N823" s="510"/>
      <c r="O823" s="773"/>
      <c r="P823" s="773"/>
      <c r="Q823" s="705"/>
      <c r="R823" s="754"/>
      <c r="S823" s="789"/>
      <c r="T823" s="705"/>
      <c r="U823" s="755"/>
    </row>
    <row r="824" ht="26.25" customHeight="1">
      <c r="A824" s="769"/>
      <c r="B824" s="770"/>
      <c r="C824" s="771"/>
      <c r="D824" s="705"/>
      <c r="E824" s="705"/>
      <c r="F824" s="707"/>
      <c r="G824" s="772"/>
      <c r="H824" s="772"/>
      <c r="I824" s="773"/>
      <c r="J824" s="510"/>
      <c r="K824" s="510"/>
      <c r="L824" s="510"/>
      <c r="M824" s="773"/>
      <c r="N824" s="510"/>
      <c r="O824" s="773"/>
      <c r="P824" s="773"/>
      <c r="Q824" s="705"/>
      <c r="R824" s="754"/>
      <c r="S824" s="789"/>
      <c r="T824" s="705"/>
      <c r="U824" s="755"/>
    </row>
    <row r="825" ht="26.25" customHeight="1">
      <c r="A825" s="769"/>
      <c r="B825" s="770"/>
      <c r="C825" s="771"/>
      <c r="D825" s="705"/>
      <c r="E825" s="705"/>
      <c r="F825" s="707"/>
      <c r="G825" s="772"/>
      <c r="H825" s="772"/>
      <c r="I825" s="773"/>
      <c r="J825" s="510"/>
      <c r="K825" s="510"/>
      <c r="L825" s="510"/>
      <c r="M825" s="773"/>
      <c r="N825" s="510"/>
      <c r="O825" s="773"/>
      <c r="P825" s="773"/>
      <c r="Q825" s="705"/>
      <c r="R825" s="754"/>
      <c r="S825" s="789"/>
      <c r="T825" s="705"/>
      <c r="U825" s="755"/>
    </row>
    <row r="826" ht="26.25" customHeight="1">
      <c r="A826" s="769"/>
      <c r="B826" s="770"/>
      <c r="C826" s="771"/>
      <c r="D826" s="705"/>
      <c r="E826" s="705"/>
      <c r="F826" s="707"/>
      <c r="G826" s="772"/>
      <c r="H826" s="772"/>
      <c r="I826" s="773"/>
      <c r="J826" s="510"/>
      <c r="K826" s="510"/>
      <c r="L826" s="510"/>
      <c r="M826" s="773"/>
      <c r="N826" s="510"/>
      <c r="O826" s="773"/>
      <c r="P826" s="773"/>
      <c r="Q826" s="705"/>
      <c r="R826" s="754"/>
      <c r="S826" s="789"/>
      <c r="T826" s="705"/>
      <c r="U826" s="755"/>
    </row>
    <row r="827" ht="26.25" customHeight="1">
      <c r="A827" s="769"/>
      <c r="B827" s="770"/>
      <c r="C827" s="771"/>
      <c r="D827" s="705"/>
      <c r="E827" s="705"/>
      <c r="F827" s="707"/>
      <c r="G827" s="772"/>
      <c r="H827" s="772"/>
      <c r="I827" s="773"/>
      <c r="J827" s="510"/>
      <c r="K827" s="510"/>
      <c r="L827" s="510"/>
      <c r="M827" s="773"/>
      <c r="N827" s="510"/>
      <c r="O827" s="773"/>
      <c r="P827" s="773"/>
      <c r="Q827" s="705"/>
      <c r="R827" s="754"/>
      <c r="S827" s="789"/>
      <c r="T827" s="705"/>
      <c r="U827" s="755"/>
    </row>
    <row r="828" ht="26.25" customHeight="1">
      <c r="A828" s="769"/>
      <c r="B828" s="770"/>
      <c r="C828" s="771"/>
      <c r="D828" s="705"/>
      <c r="E828" s="705"/>
      <c r="F828" s="707"/>
      <c r="G828" s="772"/>
      <c r="H828" s="772"/>
      <c r="I828" s="773"/>
      <c r="J828" s="510"/>
      <c r="K828" s="510"/>
      <c r="L828" s="510"/>
      <c r="M828" s="773"/>
      <c r="N828" s="510"/>
      <c r="O828" s="773"/>
      <c r="P828" s="773"/>
      <c r="Q828" s="705"/>
      <c r="R828" s="754"/>
      <c r="S828" s="789"/>
      <c r="T828" s="705"/>
      <c r="U828" s="755"/>
    </row>
    <row r="829" ht="26.25" customHeight="1">
      <c r="A829" s="769"/>
      <c r="B829" s="770"/>
      <c r="C829" s="771"/>
      <c r="D829" s="705"/>
      <c r="E829" s="705"/>
      <c r="F829" s="707"/>
      <c r="G829" s="772"/>
      <c r="H829" s="772"/>
      <c r="I829" s="773"/>
      <c r="J829" s="510"/>
      <c r="K829" s="510"/>
      <c r="L829" s="510"/>
      <c r="M829" s="773"/>
      <c r="N829" s="510"/>
      <c r="O829" s="773"/>
      <c r="P829" s="773"/>
      <c r="Q829" s="705"/>
      <c r="R829" s="754"/>
      <c r="S829" s="789"/>
      <c r="T829" s="705"/>
      <c r="U829" s="755"/>
    </row>
    <row r="830" ht="26.25" customHeight="1">
      <c r="A830" s="769"/>
      <c r="B830" s="770"/>
      <c r="C830" s="771"/>
      <c r="D830" s="705"/>
      <c r="E830" s="705"/>
      <c r="F830" s="707"/>
      <c r="G830" s="772"/>
      <c r="H830" s="772"/>
      <c r="I830" s="773"/>
      <c r="J830" s="510"/>
      <c r="K830" s="510"/>
      <c r="L830" s="510"/>
      <c r="M830" s="773"/>
      <c r="N830" s="510"/>
      <c r="O830" s="773"/>
      <c r="P830" s="773"/>
      <c r="Q830" s="705"/>
      <c r="R830" s="754"/>
      <c r="S830" s="789"/>
      <c r="T830" s="705"/>
      <c r="U830" s="755"/>
    </row>
    <row r="831" ht="26.25" customHeight="1">
      <c r="A831" s="769"/>
      <c r="B831" s="770"/>
      <c r="C831" s="771"/>
      <c r="D831" s="705"/>
      <c r="E831" s="705"/>
      <c r="F831" s="707"/>
      <c r="G831" s="772"/>
      <c r="H831" s="772"/>
      <c r="I831" s="773"/>
      <c r="J831" s="510"/>
      <c r="K831" s="510"/>
      <c r="L831" s="510"/>
      <c r="M831" s="773"/>
      <c r="N831" s="510"/>
      <c r="O831" s="773"/>
      <c r="P831" s="773"/>
      <c r="Q831" s="705"/>
      <c r="R831" s="754"/>
      <c r="S831" s="789"/>
      <c r="T831" s="705"/>
      <c r="U831" s="755"/>
    </row>
    <row r="832" ht="26.25" customHeight="1">
      <c r="A832" s="769"/>
      <c r="B832" s="770"/>
      <c r="C832" s="771"/>
      <c r="D832" s="705"/>
      <c r="E832" s="705"/>
      <c r="F832" s="707"/>
      <c r="G832" s="772"/>
      <c r="H832" s="772"/>
      <c r="I832" s="773"/>
      <c r="J832" s="510"/>
      <c r="K832" s="510"/>
      <c r="L832" s="510"/>
      <c r="M832" s="773"/>
      <c r="N832" s="510"/>
      <c r="O832" s="773"/>
      <c r="P832" s="773"/>
      <c r="Q832" s="705"/>
      <c r="R832" s="754"/>
      <c r="S832" s="789"/>
      <c r="T832" s="705"/>
      <c r="U832" s="755"/>
    </row>
    <row r="833" ht="26.25" customHeight="1">
      <c r="A833" s="769"/>
      <c r="B833" s="770"/>
      <c r="C833" s="771"/>
      <c r="D833" s="705"/>
      <c r="E833" s="705"/>
      <c r="F833" s="707"/>
      <c r="G833" s="772"/>
      <c r="H833" s="772"/>
      <c r="I833" s="773"/>
      <c r="J833" s="510"/>
      <c r="K833" s="510"/>
      <c r="L833" s="510"/>
      <c r="M833" s="773"/>
      <c r="N833" s="510"/>
      <c r="O833" s="773"/>
      <c r="P833" s="773"/>
      <c r="Q833" s="705"/>
      <c r="R833" s="754"/>
      <c r="S833" s="789"/>
      <c r="T833" s="705"/>
      <c r="U833" s="755"/>
    </row>
    <row r="834" ht="26.25" customHeight="1">
      <c r="A834" s="769"/>
      <c r="B834" s="770"/>
      <c r="C834" s="771"/>
      <c r="D834" s="705"/>
      <c r="E834" s="705"/>
      <c r="F834" s="707"/>
      <c r="G834" s="772"/>
      <c r="H834" s="772"/>
      <c r="I834" s="773"/>
      <c r="J834" s="510"/>
      <c r="K834" s="510"/>
      <c r="L834" s="510"/>
      <c r="M834" s="773"/>
      <c r="N834" s="510"/>
      <c r="O834" s="773"/>
      <c r="P834" s="773"/>
      <c r="Q834" s="705"/>
      <c r="R834" s="754"/>
      <c r="S834" s="789"/>
      <c r="T834" s="705"/>
      <c r="U834" s="755"/>
    </row>
    <row r="835" ht="26.25" customHeight="1">
      <c r="A835" s="769"/>
      <c r="B835" s="770"/>
      <c r="C835" s="771"/>
      <c r="D835" s="705"/>
      <c r="E835" s="705"/>
      <c r="F835" s="707"/>
      <c r="G835" s="772"/>
      <c r="H835" s="772"/>
      <c r="I835" s="773"/>
      <c r="J835" s="510"/>
      <c r="K835" s="510"/>
      <c r="L835" s="510"/>
      <c r="M835" s="773"/>
      <c r="N835" s="510"/>
      <c r="O835" s="773"/>
      <c r="P835" s="773"/>
      <c r="Q835" s="705"/>
      <c r="R835" s="754"/>
      <c r="S835" s="789"/>
      <c r="T835" s="705"/>
      <c r="U835" s="755"/>
    </row>
    <row r="836" ht="26.25" customHeight="1">
      <c r="A836" s="769"/>
      <c r="B836" s="770"/>
      <c r="C836" s="771"/>
      <c r="D836" s="705"/>
      <c r="E836" s="705"/>
      <c r="F836" s="707"/>
      <c r="G836" s="772"/>
      <c r="H836" s="772"/>
      <c r="I836" s="773"/>
      <c r="J836" s="510"/>
      <c r="K836" s="510"/>
      <c r="L836" s="510"/>
      <c r="M836" s="773"/>
      <c r="N836" s="510"/>
      <c r="O836" s="773"/>
      <c r="P836" s="773"/>
      <c r="Q836" s="705"/>
      <c r="R836" s="754"/>
      <c r="S836" s="789"/>
      <c r="T836" s="705"/>
      <c r="U836" s="755"/>
    </row>
    <row r="837" ht="26.25" customHeight="1">
      <c r="A837" s="769"/>
      <c r="B837" s="770"/>
      <c r="C837" s="771"/>
      <c r="D837" s="705"/>
      <c r="E837" s="705"/>
      <c r="F837" s="707"/>
      <c r="G837" s="772"/>
      <c r="H837" s="772"/>
      <c r="I837" s="773"/>
      <c r="J837" s="510"/>
      <c r="K837" s="510"/>
      <c r="L837" s="510"/>
      <c r="M837" s="773"/>
      <c r="N837" s="510"/>
      <c r="O837" s="773"/>
      <c r="P837" s="773"/>
      <c r="Q837" s="705"/>
      <c r="R837" s="754"/>
      <c r="S837" s="789"/>
      <c r="T837" s="705"/>
      <c r="U837" s="755"/>
    </row>
    <row r="838" ht="26.25" customHeight="1">
      <c r="A838" s="769"/>
      <c r="B838" s="770"/>
      <c r="C838" s="771"/>
      <c r="D838" s="705"/>
      <c r="E838" s="705"/>
      <c r="F838" s="707"/>
      <c r="G838" s="772"/>
      <c r="H838" s="772"/>
      <c r="I838" s="773"/>
      <c r="J838" s="510"/>
      <c r="K838" s="510"/>
      <c r="L838" s="510"/>
      <c r="M838" s="773"/>
      <c r="N838" s="510"/>
      <c r="O838" s="773"/>
      <c r="P838" s="773"/>
      <c r="Q838" s="705"/>
      <c r="R838" s="754"/>
      <c r="S838" s="789"/>
      <c r="T838" s="705"/>
      <c r="U838" s="755"/>
    </row>
    <row r="839" ht="26.25" customHeight="1">
      <c r="A839" s="769"/>
      <c r="B839" s="770"/>
      <c r="C839" s="771"/>
      <c r="D839" s="705"/>
      <c r="E839" s="705"/>
      <c r="F839" s="707"/>
      <c r="G839" s="772"/>
      <c r="H839" s="772"/>
      <c r="I839" s="773"/>
      <c r="J839" s="510"/>
      <c r="K839" s="510"/>
      <c r="L839" s="510"/>
      <c r="M839" s="773"/>
      <c r="N839" s="510"/>
      <c r="O839" s="773"/>
      <c r="P839" s="773"/>
      <c r="Q839" s="705"/>
      <c r="R839" s="754"/>
      <c r="S839" s="789"/>
      <c r="T839" s="705"/>
      <c r="U839" s="755"/>
    </row>
    <row r="840" ht="26.25" customHeight="1">
      <c r="A840" s="769"/>
      <c r="B840" s="770"/>
      <c r="C840" s="771"/>
      <c r="D840" s="705"/>
      <c r="E840" s="705"/>
      <c r="F840" s="707"/>
      <c r="G840" s="772"/>
      <c r="H840" s="772"/>
      <c r="I840" s="773"/>
      <c r="J840" s="510"/>
      <c r="K840" s="510"/>
      <c r="L840" s="510"/>
      <c r="M840" s="773"/>
      <c r="N840" s="510"/>
      <c r="O840" s="773"/>
      <c r="P840" s="773"/>
      <c r="Q840" s="705"/>
      <c r="R840" s="754"/>
      <c r="S840" s="789"/>
      <c r="T840" s="705"/>
      <c r="U840" s="755"/>
    </row>
    <row r="841" ht="26.25" customHeight="1">
      <c r="A841" s="769"/>
      <c r="B841" s="770"/>
      <c r="C841" s="771"/>
      <c r="D841" s="705"/>
      <c r="E841" s="705"/>
      <c r="F841" s="707"/>
      <c r="G841" s="772"/>
      <c r="H841" s="772"/>
      <c r="I841" s="773"/>
      <c r="J841" s="510"/>
      <c r="K841" s="510"/>
      <c r="L841" s="510"/>
      <c r="M841" s="773"/>
      <c r="N841" s="510"/>
      <c r="O841" s="773"/>
      <c r="P841" s="773"/>
      <c r="Q841" s="705"/>
      <c r="R841" s="754"/>
      <c r="S841" s="789"/>
      <c r="T841" s="705"/>
      <c r="U841" s="755"/>
    </row>
    <row r="842" ht="26.25" customHeight="1">
      <c r="A842" s="769"/>
      <c r="B842" s="770"/>
      <c r="C842" s="771"/>
      <c r="D842" s="705"/>
      <c r="E842" s="705"/>
      <c r="F842" s="707"/>
      <c r="G842" s="772"/>
      <c r="H842" s="772"/>
      <c r="I842" s="773"/>
      <c r="J842" s="510"/>
      <c r="K842" s="510"/>
      <c r="L842" s="510"/>
      <c r="M842" s="773"/>
      <c r="N842" s="510"/>
      <c r="O842" s="773"/>
      <c r="P842" s="773"/>
      <c r="Q842" s="705"/>
      <c r="R842" s="754"/>
      <c r="S842" s="789"/>
      <c r="T842" s="705"/>
      <c r="U842" s="755"/>
    </row>
    <row r="843" ht="26.25" customHeight="1">
      <c r="A843" s="769"/>
      <c r="B843" s="770"/>
      <c r="C843" s="771"/>
      <c r="D843" s="705"/>
      <c r="E843" s="705"/>
      <c r="F843" s="707"/>
      <c r="G843" s="772"/>
      <c r="H843" s="772"/>
      <c r="I843" s="773"/>
      <c r="J843" s="510"/>
      <c r="K843" s="510"/>
      <c r="L843" s="510"/>
      <c r="M843" s="773"/>
      <c r="N843" s="510"/>
      <c r="O843" s="773"/>
      <c r="P843" s="773"/>
      <c r="Q843" s="705"/>
      <c r="R843" s="754"/>
      <c r="S843" s="789"/>
      <c r="T843" s="705"/>
      <c r="U843" s="755"/>
    </row>
    <row r="844" ht="26.25" customHeight="1">
      <c r="A844" s="769"/>
      <c r="B844" s="770"/>
      <c r="C844" s="771"/>
      <c r="D844" s="705"/>
      <c r="E844" s="705"/>
      <c r="F844" s="707"/>
      <c r="G844" s="772"/>
      <c r="H844" s="772"/>
      <c r="I844" s="773"/>
      <c r="J844" s="510"/>
      <c r="K844" s="510"/>
      <c r="L844" s="510"/>
      <c r="M844" s="773"/>
      <c r="N844" s="510"/>
      <c r="O844" s="773"/>
      <c r="P844" s="773"/>
      <c r="Q844" s="705"/>
      <c r="R844" s="754"/>
      <c r="S844" s="789"/>
      <c r="T844" s="705"/>
      <c r="U844" s="755"/>
    </row>
    <row r="845" ht="26.25" customHeight="1">
      <c r="A845" s="769"/>
      <c r="B845" s="770"/>
      <c r="C845" s="771"/>
      <c r="D845" s="705"/>
      <c r="E845" s="705"/>
      <c r="F845" s="707"/>
      <c r="G845" s="772"/>
      <c r="H845" s="772"/>
      <c r="I845" s="773"/>
      <c r="J845" s="510"/>
      <c r="K845" s="510"/>
      <c r="L845" s="510"/>
      <c r="M845" s="773"/>
      <c r="N845" s="510"/>
      <c r="O845" s="773"/>
      <c r="P845" s="773"/>
      <c r="Q845" s="705"/>
      <c r="R845" s="754"/>
      <c r="S845" s="789"/>
      <c r="T845" s="705"/>
      <c r="U845" s="755"/>
    </row>
    <row r="846" ht="26.25" customHeight="1">
      <c r="A846" s="769"/>
      <c r="B846" s="770"/>
      <c r="C846" s="771"/>
      <c r="D846" s="705"/>
      <c r="E846" s="705"/>
      <c r="F846" s="707"/>
      <c r="G846" s="772"/>
      <c r="H846" s="772"/>
      <c r="I846" s="773"/>
      <c r="J846" s="510"/>
      <c r="K846" s="510"/>
      <c r="L846" s="510"/>
      <c r="M846" s="773"/>
      <c r="N846" s="510"/>
      <c r="O846" s="773"/>
      <c r="P846" s="773"/>
      <c r="Q846" s="705"/>
      <c r="R846" s="754"/>
      <c r="S846" s="789"/>
      <c r="T846" s="705"/>
      <c r="U846" s="755"/>
    </row>
    <row r="847" ht="26.25" customHeight="1">
      <c r="A847" s="769"/>
      <c r="B847" s="770"/>
      <c r="C847" s="771"/>
      <c r="D847" s="705"/>
      <c r="E847" s="705"/>
      <c r="F847" s="707"/>
      <c r="G847" s="772"/>
      <c r="H847" s="772"/>
      <c r="I847" s="773"/>
      <c r="J847" s="510"/>
      <c r="K847" s="510"/>
      <c r="L847" s="510"/>
      <c r="M847" s="773"/>
      <c r="N847" s="510"/>
      <c r="O847" s="773"/>
      <c r="P847" s="773"/>
      <c r="Q847" s="705"/>
      <c r="R847" s="754"/>
      <c r="S847" s="789"/>
      <c r="T847" s="705"/>
      <c r="U847" s="755"/>
    </row>
    <row r="848" ht="26.25" customHeight="1">
      <c r="A848" s="769"/>
      <c r="B848" s="770"/>
      <c r="C848" s="771"/>
      <c r="D848" s="705"/>
      <c r="E848" s="705"/>
      <c r="F848" s="707"/>
      <c r="G848" s="772"/>
      <c r="H848" s="772"/>
      <c r="I848" s="773"/>
      <c r="J848" s="510"/>
      <c r="K848" s="510"/>
      <c r="L848" s="510"/>
      <c r="M848" s="773"/>
      <c r="N848" s="510"/>
      <c r="O848" s="773"/>
      <c r="P848" s="773"/>
      <c r="Q848" s="705"/>
      <c r="R848" s="754"/>
      <c r="S848" s="789"/>
      <c r="T848" s="705"/>
      <c r="U848" s="755"/>
    </row>
    <row r="849" ht="26.25" customHeight="1">
      <c r="A849" s="769"/>
      <c r="B849" s="770"/>
      <c r="C849" s="771"/>
      <c r="D849" s="705"/>
      <c r="E849" s="705"/>
      <c r="F849" s="707"/>
      <c r="G849" s="772"/>
      <c r="H849" s="772"/>
      <c r="I849" s="773"/>
      <c r="J849" s="510"/>
      <c r="K849" s="510"/>
      <c r="L849" s="510"/>
      <c r="M849" s="773"/>
      <c r="N849" s="510"/>
      <c r="O849" s="773"/>
      <c r="P849" s="773"/>
      <c r="Q849" s="705"/>
      <c r="R849" s="754"/>
      <c r="S849" s="789"/>
      <c r="T849" s="705"/>
      <c r="U849" s="755"/>
    </row>
    <row r="850" ht="26.25" customHeight="1">
      <c r="A850" s="769"/>
      <c r="B850" s="770"/>
      <c r="C850" s="771"/>
      <c r="D850" s="705"/>
      <c r="E850" s="705"/>
      <c r="F850" s="707"/>
      <c r="G850" s="772"/>
      <c r="H850" s="772"/>
      <c r="I850" s="773"/>
      <c r="J850" s="510"/>
      <c r="K850" s="510"/>
      <c r="L850" s="510"/>
      <c r="M850" s="773"/>
      <c r="N850" s="510"/>
      <c r="O850" s="773"/>
      <c r="P850" s="773"/>
      <c r="Q850" s="705"/>
      <c r="R850" s="754"/>
      <c r="S850" s="789"/>
      <c r="T850" s="705"/>
      <c r="U850" s="755"/>
    </row>
    <row r="851" ht="26.25" customHeight="1">
      <c r="A851" s="769"/>
      <c r="B851" s="770"/>
      <c r="C851" s="771"/>
      <c r="D851" s="705"/>
      <c r="E851" s="705"/>
      <c r="F851" s="707"/>
      <c r="G851" s="772"/>
      <c r="H851" s="772"/>
      <c r="I851" s="773"/>
      <c r="J851" s="510"/>
      <c r="K851" s="510"/>
      <c r="L851" s="510"/>
      <c r="M851" s="773"/>
      <c r="N851" s="510"/>
      <c r="O851" s="773"/>
      <c r="P851" s="773"/>
      <c r="Q851" s="705"/>
      <c r="R851" s="754"/>
      <c r="S851" s="789"/>
      <c r="T851" s="705"/>
      <c r="U851" s="755"/>
    </row>
    <row r="852" ht="26.25" customHeight="1">
      <c r="A852" s="769"/>
      <c r="B852" s="770"/>
      <c r="C852" s="771"/>
      <c r="D852" s="705"/>
      <c r="E852" s="705"/>
      <c r="F852" s="707"/>
      <c r="G852" s="772"/>
      <c r="H852" s="772"/>
      <c r="I852" s="773"/>
      <c r="J852" s="510"/>
      <c r="K852" s="510"/>
      <c r="L852" s="510"/>
      <c r="M852" s="773"/>
      <c r="N852" s="510"/>
      <c r="O852" s="773"/>
      <c r="P852" s="773"/>
      <c r="Q852" s="705"/>
      <c r="R852" s="754"/>
      <c r="S852" s="789"/>
      <c r="T852" s="705"/>
      <c r="U852" s="755"/>
    </row>
    <row r="853" ht="26.25" customHeight="1">
      <c r="A853" s="769"/>
      <c r="B853" s="770"/>
      <c r="C853" s="771"/>
      <c r="D853" s="705"/>
      <c r="E853" s="705"/>
      <c r="F853" s="707"/>
      <c r="G853" s="772"/>
      <c r="H853" s="772"/>
      <c r="I853" s="773"/>
      <c r="J853" s="510"/>
      <c r="K853" s="510"/>
      <c r="L853" s="510"/>
      <c r="M853" s="773"/>
      <c r="N853" s="510"/>
      <c r="O853" s="773"/>
      <c r="P853" s="773"/>
      <c r="Q853" s="705"/>
      <c r="R853" s="754"/>
      <c r="S853" s="789"/>
      <c r="T853" s="705"/>
      <c r="U853" s="755"/>
    </row>
    <row r="854" ht="26.25" customHeight="1">
      <c r="A854" s="769"/>
      <c r="B854" s="770"/>
      <c r="C854" s="771"/>
      <c r="D854" s="705"/>
      <c r="E854" s="705"/>
      <c r="F854" s="707"/>
      <c r="G854" s="772"/>
      <c r="H854" s="772"/>
      <c r="I854" s="773"/>
      <c r="J854" s="510"/>
      <c r="K854" s="510"/>
      <c r="L854" s="510"/>
      <c r="M854" s="773"/>
      <c r="N854" s="510"/>
      <c r="O854" s="773"/>
      <c r="P854" s="773"/>
      <c r="Q854" s="705"/>
      <c r="R854" s="754"/>
      <c r="S854" s="789"/>
      <c r="T854" s="705"/>
      <c r="U854" s="755"/>
    </row>
    <row r="855" ht="26.25" customHeight="1">
      <c r="A855" s="769"/>
      <c r="B855" s="770"/>
      <c r="C855" s="771"/>
      <c r="D855" s="705"/>
      <c r="E855" s="705"/>
      <c r="F855" s="707"/>
      <c r="G855" s="772"/>
      <c r="H855" s="772"/>
      <c r="I855" s="773"/>
      <c r="J855" s="510"/>
      <c r="K855" s="510"/>
      <c r="L855" s="510"/>
      <c r="M855" s="773"/>
      <c r="N855" s="510"/>
      <c r="O855" s="773"/>
      <c r="P855" s="773"/>
      <c r="Q855" s="705"/>
      <c r="R855" s="754"/>
      <c r="S855" s="789"/>
      <c r="T855" s="705"/>
      <c r="U855" s="755"/>
    </row>
    <row r="856" ht="26.25" customHeight="1">
      <c r="A856" s="769"/>
      <c r="B856" s="770"/>
      <c r="C856" s="771"/>
      <c r="D856" s="705"/>
      <c r="E856" s="705"/>
      <c r="F856" s="707"/>
      <c r="G856" s="772"/>
      <c r="H856" s="772"/>
      <c r="I856" s="773"/>
      <c r="J856" s="510"/>
      <c r="K856" s="510"/>
      <c r="L856" s="510"/>
      <c r="M856" s="773"/>
      <c r="N856" s="510"/>
      <c r="O856" s="773"/>
      <c r="P856" s="773"/>
      <c r="Q856" s="705"/>
      <c r="R856" s="754"/>
      <c r="S856" s="789"/>
      <c r="T856" s="705"/>
      <c r="U856" s="755"/>
    </row>
    <row r="857" ht="26.25" customHeight="1">
      <c r="A857" s="769"/>
      <c r="B857" s="770"/>
      <c r="C857" s="771"/>
      <c r="D857" s="705"/>
      <c r="E857" s="705"/>
      <c r="F857" s="707"/>
      <c r="G857" s="772"/>
      <c r="H857" s="772"/>
      <c r="I857" s="773"/>
      <c r="J857" s="510"/>
      <c r="K857" s="510"/>
      <c r="L857" s="510"/>
      <c r="M857" s="773"/>
      <c r="N857" s="510"/>
      <c r="O857" s="773"/>
      <c r="P857" s="773"/>
      <c r="Q857" s="705"/>
      <c r="R857" s="754"/>
      <c r="S857" s="789"/>
      <c r="T857" s="705"/>
      <c r="U857" s="755"/>
    </row>
    <row r="858" ht="26.25" customHeight="1">
      <c r="A858" s="769"/>
      <c r="B858" s="770"/>
      <c r="C858" s="771"/>
      <c r="D858" s="705"/>
      <c r="E858" s="705"/>
      <c r="F858" s="707"/>
      <c r="G858" s="772"/>
      <c r="H858" s="772"/>
      <c r="I858" s="773"/>
      <c r="J858" s="510"/>
      <c r="K858" s="510"/>
      <c r="L858" s="510"/>
      <c r="M858" s="773"/>
      <c r="N858" s="510"/>
      <c r="O858" s="773"/>
      <c r="P858" s="773"/>
      <c r="Q858" s="705"/>
      <c r="R858" s="754"/>
      <c r="S858" s="789"/>
      <c r="T858" s="705"/>
      <c r="U858" s="755"/>
    </row>
    <row r="859" ht="26.25" customHeight="1">
      <c r="A859" s="769"/>
      <c r="B859" s="770"/>
      <c r="C859" s="771"/>
      <c r="D859" s="705"/>
      <c r="E859" s="705"/>
      <c r="F859" s="707"/>
      <c r="G859" s="772"/>
      <c r="H859" s="772"/>
      <c r="I859" s="773"/>
      <c r="J859" s="510"/>
      <c r="K859" s="510"/>
      <c r="L859" s="510"/>
      <c r="M859" s="773"/>
      <c r="N859" s="510"/>
      <c r="O859" s="773"/>
      <c r="P859" s="773"/>
      <c r="Q859" s="705"/>
      <c r="R859" s="754"/>
      <c r="S859" s="789"/>
      <c r="T859" s="705"/>
      <c r="U859" s="755"/>
    </row>
    <row r="860" ht="26.25" customHeight="1">
      <c r="A860" s="769"/>
      <c r="B860" s="770"/>
      <c r="C860" s="771"/>
      <c r="D860" s="705"/>
      <c r="E860" s="705"/>
      <c r="F860" s="707"/>
      <c r="G860" s="772"/>
      <c r="H860" s="772"/>
      <c r="I860" s="773"/>
      <c r="J860" s="510"/>
      <c r="K860" s="510"/>
      <c r="L860" s="510"/>
      <c r="M860" s="773"/>
      <c r="N860" s="510"/>
      <c r="O860" s="773"/>
      <c r="P860" s="773"/>
      <c r="Q860" s="705"/>
      <c r="R860" s="754"/>
      <c r="S860" s="789"/>
      <c r="T860" s="705"/>
      <c r="U860" s="755"/>
    </row>
    <row r="861" ht="26.25" customHeight="1">
      <c r="A861" s="769"/>
      <c r="B861" s="770"/>
      <c r="C861" s="771"/>
      <c r="D861" s="705"/>
      <c r="E861" s="705"/>
      <c r="F861" s="707"/>
      <c r="G861" s="772"/>
      <c r="H861" s="772"/>
      <c r="I861" s="773"/>
      <c r="J861" s="510"/>
      <c r="K861" s="510"/>
      <c r="L861" s="510"/>
      <c r="M861" s="773"/>
      <c r="N861" s="510"/>
      <c r="O861" s="773"/>
      <c r="P861" s="773"/>
      <c r="Q861" s="705"/>
      <c r="R861" s="754"/>
      <c r="S861" s="789"/>
      <c r="T861" s="705"/>
      <c r="U861" s="755"/>
    </row>
    <row r="862" ht="26.25" customHeight="1">
      <c r="A862" s="769"/>
      <c r="B862" s="770"/>
      <c r="C862" s="771"/>
      <c r="D862" s="705"/>
      <c r="E862" s="705"/>
      <c r="F862" s="707"/>
      <c r="G862" s="772"/>
      <c r="H862" s="772"/>
      <c r="I862" s="773"/>
      <c r="J862" s="510"/>
      <c r="K862" s="510"/>
      <c r="L862" s="510"/>
      <c r="M862" s="773"/>
      <c r="N862" s="510"/>
      <c r="O862" s="773"/>
      <c r="P862" s="773"/>
      <c r="Q862" s="705"/>
      <c r="R862" s="754"/>
      <c r="S862" s="789"/>
      <c r="T862" s="705"/>
      <c r="U862" s="755"/>
    </row>
    <row r="863" ht="26.25" customHeight="1">
      <c r="A863" s="769"/>
      <c r="B863" s="770"/>
      <c r="C863" s="771"/>
      <c r="D863" s="705"/>
      <c r="E863" s="705"/>
      <c r="F863" s="707"/>
      <c r="G863" s="772"/>
      <c r="H863" s="772"/>
      <c r="I863" s="773"/>
      <c r="J863" s="510"/>
      <c r="K863" s="510"/>
      <c r="L863" s="510"/>
      <c r="M863" s="773"/>
      <c r="N863" s="510"/>
      <c r="O863" s="773"/>
      <c r="P863" s="773"/>
      <c r="Q863" s="705"/>
      <c r="R863" s="754"/>
      <c r="S863" s="789"/>
      <c r="T863" s="705"/>
      <c r="U863" s="755"/>
    </row>
    <row r="864" ht="26.25" customHeight="1">
      <c r="A864" s="769"/>
      <c r="B864" s="770"/>
      <c r="C864" s="771"/>
      <c r="D864" s="705"/>
      <c r="E864" s="705"/>
      <c r="F864" s="707"/>
      <c r="G864" s="772"/>
      <c r="H864" s="772"/>
      <c r="I864" s="773"/>
      <c r="J864" s="510"/>
      <c r="K864" s="510"/>
      <c r="L864" s="510"/>
      <c r="M864" s="773"/>
      <c r="N864" s="510"/>
      <c r="O864" s="773"/>
      <c r="P864" s="773"/>
      <c r="Q864" s="705"/>
      <c r="R864" s="754"/>
      <c r="S864" s="789"/>
      <c r="T864" s="705"/>
      <c r="U864" s="755"/>
    </row>
    <row r="865" ht="26.25" customHeight="1">
      <c r="A865" s="769"/>
      <c r="B865" s="770"/>
      <c r="C865" s="771"/>
      <c r="D865" s="705"/>
      <c r="E865" s="705"/>
      <c r="F865" s="707"/>
      <c r="G865" s="772"/>
      <c r="H865" s="772"/>
      <c r="I865" s="773"/>
      <c r="J865" s="510"/>
      <c r="K865" s="510"/>
      <c r="L865" s="510"/>
      <c r="M865" s="773"/>
      <c r="N865" s="510"/>
      <c r="O865" s="773"/>
      <c r="P865" s="773"/>
      <c r="Q865" s="705"/>
      <c r="R865" s="754"/>
      <c r="S865" s="789"/>
      <c r="T865" s="705"/>
      <c r="U865" s="755"/>
    </row>
    <row r="866" ht="26.25" customHeight="1">
      <c r="A866" s="769"/>
      <c r="B866" s="770"/>
      <c r="C866" s="771"/>
      <c r="D866" s="705"/>
      <c r="E866" s="705"/>
      <c r="F866" s="707"/>
      <c r="G866" s="772"/>
      <c r="H866" s="772"/>
      <c r="I866" s="773"/>
      <c r="J866" s="510"/>
      <c r="K866" s="510"/>
      <c r="L866" s="510"/>
      <c r="M866" s="773"/>
      <c r="N866" s="510"/>
      <c r="O866" s="773"/>
      <c r="P866" s="773"/>
      <c r="Q866" s="705"/>
      <c r="R866" s="754"/>
      <c r="S866" s="789"/>
      <c r="T866" s="705"/>
      <c r="U866" s="755"/>
    </row>
    <row r="867" ht="26.25" customHeight="1">
      <c r="A867" s="769"/>
      <c r="B867" s="770"/>
      <c r="C867" s="771"/>
      <c r="D867" s="705"/>
      <c r="E867" s="705"/>
      <c r="F867" s="707"/>
      <c r="G867" s="772"/>
      <c r="H867" s="772"/>
      <c r="I867" s="773"/>
      <c r="J867" s="510"/>
      <c r="K867" s="510"/>
      <c r="L867" s="510"/>
      <c r="M867" s="773"/>
      <c r="N867" s="510"/>
      <c r="O867" s="773"/>
      <c r="P867" s="773"/>
      <c r="Q867" s="705"/>
      <c r="R867" s="754"/>
      <c r="S867" s="789"/>
      <c r="T867" s="705"/>
      <c r="U867" s="755"/>
    </row>
    <row r="868" ht="26.25" customHeight="1">
      <c r="A868" s="769"/>
      <c r="B868" s="770"/>
      <c r="C868" s="771"/>
      <c r="D868" s="705"/>
      <c r="E868" s="705"/>
      <c r="F868" s="707"/>
      <c r="G868" s="772"/>
      <c r="H868" s="772"/>
      <c r="I868" s="773"/>
      <c r="J868" s="510"/>
      <c r="K868" s="510"/>
      <c r="L868" s="510"/>
      <c r="M868" s="773"/>
      <c r="N868" s="510"/>
      <c r="O868" s="773"/>
      <c r="P868" s="773"/>
      <c r="Q868" s="705"/>
      <c r="R868" s="754"/>
      <c r="S868" s="789"/>
      <c r="T868" s="705"/>
      <c r="U868" s="755"/>
    </row>
    <row r="869" ht="26.25" customHeight="1">
      <c r="A869" s="769"/>
      <c r="B869" s="770"/>
      <c r="C869" s="771"/>
      <c r="D869" s="705"/>
      <c r="E869" s="705"/>
      <c r="F869" s="707"/>
      <c r="G869" s="772"/>
      <c r="H869" s="772"/>
      <c r="I869" s="773"/>
      <c r="J869" s="510"/>
      <c r="K869" s="510"/>
      <c r="L869" s="510"/>
      <c r="M869" s="773"/>
      <c r="N869" s="510"/>
      <c r="O869" s="773"/>
      <c r="P869" s="773"/>
      <c r="Q869" s="705"/>
      <c r="R869" s="754"/>
      <c r="S869" s="789"/>
      <c r="T869" s="705"/>
      <c r="U869" s="755"/>
    </row>
    <row r="870" ht="26.25" customHeight="1">
      <c r="A870" s="769"/>
      <c r="B870" s="770"/>
      <c r="C870" s="771"/>
      <c r="D870" s="705"/>
      <c r="E870" s="705"/>
      <c r="F870" s="707"/>
      <c r="G870" s="772"/>
      <c r="H870" s="772"/>
      <c r="I870" s="773"/>
      <c r="J870" s="510"/>
      <c r="K870" s="510"/>
      <c r="L870" s="510"/>
      <c r="M870" s="773"/>
      <c r="N870" s="510"/>
      <c r="O870" s="773"/>
      <c r="P870" s="773"/>
      <c r="Q870" s="705"/>
      <c r="R870" s="754"/>
      <c r="S870" s="789"/>
      <c r="T870" s="705"/>
      <c r="U870" s="755"/>
    </row>
    <row r="871" ht="26.25" customHeight="1">
      <c r="A871" s="769"/>
      <c r="B871" s="770"/>
      <c r="C871" s="771"/>
      <c r="D871" s="705"/>
      <c r="E871" s="705"/>
      <c r="F871" s="707"/>
      <c r="G871" s="772"/>
      <c r="H871" s="772"/>
      <c r="I871" s="773"/>
      <c r="J871" s="510"/>
      <c r="K871" s="510"/>
      <c r="L871" s="510"/>
      <c r="M871" s="773"/>
      <c r="N871" s="510"/>
      <c r="O871" s="773"/>
      <c r="P871" s="773"/>
      <c r="Q871" s="705"/>
      <c r="R871" s="754"/>
      <c r="S871" s="789"/>
      <c r="T871" s="705"/>
      <c r="U871" s="755"/>
    </row>
    <row r="872" ht="26.25" customHeight="1">
      <c r="A872" s="769"/>
      <c r="B872" s="770"/>
      <c r="C872" s="771"/>
      <c r="D872" s="705"/>
      <c r="E872" s="705"/>
      <c r="F872" s="707"/>
      <c r="G872" s="772"/>
      <c r="H872" s="772"/>
      <c r="I872" s="773"/>
      <c r="J872" s="510"/>
      <c r="K872" s="510"/>
      <c r="L872" s="510"/>
      <c r="M872" s="773"/>
      <c r="N872" s="510"/>
      <c r="O872" s="773"/>
      <c r="P872" s="773"/>
      <c r="Q872" s="705"/>
      <c r="R872" s="754"/>
      <c r="S872" s="789"/>
      <c r="T872" s="705"/>
      <c r="U872" s="755"/>
    </row>
    <row r="873" ht="26.25" customHeight="1">
      <c r="A873" s="769"/>
      <c r="B873" s="770"/>
      <c r="C873" s="771"/>
      <c r="D873" s="705"/>
      <c r="E873" s="705"/>
      <c r="F873" s="707"/>
      <c r="G873" s="772"/>
      <c r="H873" s="772"/>
      <c r="I873" s="773"/>
      <c r="J873" s="510"/>
      <c r="K873" s="510"/>
      <c r="L873" s="510"/>
      <c r="M873" s="773"/>
      <c r="N873" s="510"/>
      <c r="O873" s="773"/>
      <c r="P873" s="773"/>
      <c r="Q873" s="705"/>
      <c r="R873" s="754"/>
      <c r="S873" s="789"/>
      <c r="T873" s="705"/>
      <c r="U873" s="755"/>
    </row>
    <row r="874" ht="26.25" customHeight="1">
      <c r="A874" s="769"/>
      <c r="B874" s="770"/>
      <c r="C874" s="771"/>
      <c r="D874" s="705"/>
      <c r="E874" s="705"/>
      <c r="F874" s="707"/>
      <c r="G874" s="772"/>
      <c r="H874" s="772"/>
      <c r="I874" s="773"/>
      <c r="J874" s="510"/>
      <c r="K874" s="510"/>
      <c r="L874" s="510"/>
      <c r="M874" s="773"/>
      <c r="N874" s="510"/>
      <c r="O874" s="773"/>
      <c r="P874" s="773"/>
      <c r="Q874" s="705"/>
      <c r="R874" s="754"/>
      <c r="S874" s="789"/>
      <c r="T874" s="705"/>
      <c r="U874" s="755"/>
    </row>
    <row r="875" ht="26.25" customHeight="1">
      <c r="A875" s="769"/>
      <c r="B875" s="770"/>
      <c r="C875" s="771"/>
      <c r="D875" s="705"/>
      <c r="E875" s="705"/>
      <c r="F875" s="707"/>
      <c r="G875" s="772"/>
      <c r="H875" s="772"/>
      <c r="I875" s="773"/>
      <c r="J875" s="510"/>
      <c r="K875" s="510"/>
      <c r="L875" s="510"/>
      <c r="M875" s="773"/>
      <c r="N875" s="510"/>
      <c r="O875" s="773"/>
      <c r="P875" s="773"/>
      <c r="Q875" s="705"/>
      <c r="R875" s="754"/>
      <c r="S875" s="789"/>
      <c r="T875" s="705"/>
      <c r="U875" s="755"/>
    </row>
    <row r="876" ht="26.25" customHeight="1">
      <c r="A876" s="769"/>
      <c r="B876" s="770"/>
      <c r="C876" s="771"/>
      <c r="D876" s="705"/>
      <c r="E876" s="705"/>
      <c r="F876" s="707"/>
      <c r="G876" s="772"/>
      <c r="H876" s="772"/>
      <c r="I876" s="773"/>
      <c r="J876" s="510"/>
      <c r="K876" s="510"/>
      <c r="L876" s="510"/>
      <c r="M876" s="773"/>
      <c r="N876" s="510"/>
      <c r="O876" s="773"/>
      <c r="P876" s="773"/>
      <c r="Q876" s="705"/>
      <c r="R876" s="754"/>
      <c r="S876" s="789"/>
      <c r="T876" s="705"/>
      <c r="U876" s="755"/>
    </row>
    <row r="877" ht="26.25" customHeight="1">
      <c r="A877" s="769"/>
      <c r="B877" s="770"/>
      <c r="C877" s="771"/>
      <c r="D877" s="705"/>
      <c r="E877" s="705"/>
      <c r="F877" s="707"/>
      <c r="G877" s="772"/>
      <c r="H877" s="772"/>
      <c r="I877" s="773"/>
      <c r="J877" s="510"/>
      <c r="K877" s="510"/>
      <c r="L877" s="510"/>
      <c r="M877" s="773"/>
      <c r="N877" s="510"/>
      <c r="O877" s="773"/>
      <c r="P877" s="773"/>
      <c r="Q877" s="705"/>
      <c r="R877" s="754"/>
      <c r="S877" s="789"/>
      <c r="T877" s="705"/>
      <c r="U877" s="755"/>
    </row>
    <row r="878" ht="26.25" customHeight="1">
      <c r="A878" s="769"/>
      <c r="B878" s="770"/>
      <c r="C878" s="771"/>
      <c r="D878" s="705"/>
      <c r="E878" s="705"/>
      <c r="F878" s="707"/>
      <c r="G878" s="772"/>
      <c r="H878" s="772"/>
      <c r="I878" s="773"/>
      <c r="J878" s="510"/>
      <c r="K878" s="510"/>
      <c r="L878" s="510"/>
      <c r="M878" s="773"/>
      <c r="N878" s="510"/>
      <c r="O878" s="773"/>
      <c r="P878" s="773"/>
      <c r="Q878" s="705"/>
      <c r="R878" s="754"/>
      <c r="S878" s="789"/>
      <c r="T878" s="705"/>
      <c r="U878" s="755"/>
    </row>
    <row r="879" ht="26.25" customHeight="1">
      <c r="A879" s="769"/>
      <c r="B879" s="770"/>
      <c r="C879" s="771"/>
      <c r="D879" s="705"/>
      <c r="E879" s="705"/>
      <c r="F879" s="707"/>
      <c r="G879" s="772"/>
      <c r="H879" s="772"/>
      <c r="I879" s="773"/>
      <c r="J879" s="510"/>
      <c r="K879" s="510"/>
      <c r="L879" s="510"/>
      <c r="M879" s="773"/>
      <c r="N879" s="510"/>
      <c r="O879" s="773"/>
      <c r="P879" s="773"/>
      <c r="Q879" s="705"/>
      <c r="R879" s="754"/>
      <c r="S879" s="789"/>
      <c r="T879" s="705"/>
      <c r="U879" s="755"/>
    </row>
    <row r="880" ht="26.25" customHeight="1">
      <c r="A880" s="769"/>
      <c r="B880" s="770"/>
      <c r="C880" s="771"/>
      <c r="D880" s="705"/>
      <c r="E880" s="705"/>
      <c r="F880" s="707"/>
      <c r="G880" s="772"/>
      <c r="H880" s="772"/>
      <c r="I880" s="773"/>
      <c r="J880" s="510"/>
      <c r="K880" s="510"/>
      <c r="L880" s="510"/>
      <c r="M880" s="773"/>
      <c r="N880" s="510"/>
      <c r="O880" s="773"/>
      <c r="P880" s="773"/>
      <c r="Q880" s="705"/>
      <c r="R880" s="754"/>
      <c r="S880" s="789"/>
      <c r="T880" s="705"/>
      <c r="U880" s="755"/>
    </row>
    <row r="881" ht="26.25" customHeight="1">
      <c r="A881" s="769"/>
      <c r="B881" s="770"/>
      <c r="C881" s="771"/>
      <c r="D881" s="705"/>
      <c r="E881" s="705"/>
      <c r="F881" s="707"/>
      <c r="G881" s="772"/>
      <c r="H881" s="772"/>
      <c r="I881" s="773"/>
      <c r="J881" s="510"/>
      <c r="K881" s="510"/>
      <c r="L881" s="510"/>
      <c r="M881" s="773"/>
      <c r="N881" s="510"/>
      <c r="O881" s="773"/>
      <c r="P881" s="773"/>
      <c r="Q881" s="705"/>
      <c r="R881" s="754"/>
      <c r="S881" s="789"/>
      <c r="T881" s="705"/>
      <c r="U881" s="755"/>
    </row>
    <row r="882" ht="26.25" customHeight="1">
      <c r="A882" s="769"/>
      <c r="B882" s="770"/>
      <c r="C882" s="771"/>
      <c r="D882" s="705"/>
      <c r="E882" s="705"/>
      <c r="F882" s="707"/>
      <c r="G882" s="772"/>
      <c r="H882" s="772"/>
      <c r="I882" s="773"/>
      <c r="J882" s="510"/>
      <c r="K882" s="510"/>
      <c r="L882" s="510"/>
      <c r="M882" s="773"/>
      <c r="N882" s="510"/>
      <c r="O882" s="773"/>
      <c r="P882" s="773"/>
      <c r="Q882" s="705"/>
      <c r="R882" s="754"/>
      <c r="S882" s="789"/>
      <c r="T882" s="705"/>
      <c r="U882" s="755"/>
    </row>
    <row r="883" ht="26.25" customHeight="1">
      <c r="A883" s="769"/>
      <c r="B883" s="770"/>
      <c r="C883" s="771"/>
      <c r="D883" s="705"/>
      <c r="E883" s="705"/>
      <c r="F883" s="707"/>
      <c r="G883" s="772"/>
      <c r="H883" s="772"/>
      <c r="I883" s="773"/>
      <c r="J883" s="510"/>
      <c r="K883" s="510"/>
      <c r="L883" s="510"/>
      <c r="M883" s="773"/>
      <c r="N883" s="510"/>
      <c r="O883" s="773"/>
      <c r="P883" s="773"/>
      <c r="Q883" s="705"/>
      <c r="R883" s="754"/>
      <c r="S883" s="789"/>
      <c r="T883" s="705"/>
      <c r="U883" s="755"/>
    </row>
    <row r="884" ht="26.25" customHeight="1">
      <c r="A884" s="769"/>
      <c r="B884" s="770"/>
      <c r="C884" s="771"/>
      <c r="D884" s="705"/>
      <c r="E884" s="705"/>
      <c r="F884" s="707"/>
      <c r="G884" s="772"/>
      <c r="H884" s="772"/>
      <c r="I884" s="773"/>
      <c r="J884" s="510"/>
      <c r="K884" s="510"/>
      <c r="L884" s="510"/>
      <c r="M884" s="773"/>
      <c r="N884" s="510"/>
      <c r="O884" s="773"/>
      <c r="P884" s="773"/>
      <c r="Q884" s="705"/>
      <c r="R884" s="754"/>
      <c r="S884" s="789"/>
      <c r="T884" s="705"/>
      <c r="U884" s="755"/>
    </row>
    <row r="885" ht="26.25" customHeight="1">
      <c r="A885" s="769"/>
      <c r="B885" s="770"/>
      <c r="C885" s="771"/>
      <c r="D885" s="705"/>
      <c r="E885" s="705"/>
      <c r="F885" s="707"/>
      <c r="G885" s="772"/>
      <c r="H885" s="772"/>
      <c r="I885" s="773"/>
      <c r="J885" s="510"/>
      <c r="K885" s="510"/>
      <c r="L885" s="510"/>
      <c r="M885" s="773"/>
      <c r="N885" s="510"/>
      <c r="O885" s="773"/>
      <c r="P885" s="773"/>
      <c r="Q885" s="705"/>
      <c r="R885" s="754"/>
      <c r="S885" s="789"/>
      <c r="T885" s="705"/>
      <c r="U885" s="755"/>
    </row>
    <row r="886" ht="26.25" customHeight="1">
      <c r="A886" s="769"/>
      <c r="B886" s="770"/>
      <c r="C886" s="771"/>
      <c r="D886" s="705"/>
      <c r="E886" s="705"/>
      <c r="F886" s="707"/>
      <c r="G886" s="772"/>
      <c r="H886" s="772"/>
      <c r="I886" s="773"/>
      <c r="J886" s="510"/>
      <c r="K886" s="510"/>
      <c r="L886" s="510"/>
      <c r="M886" s="773"/>
      <c r="N886" s="510"/>
      <c r="O886" s="773"/>
      <c r="P886" s="773"/>
      <c r="Q886" s="705"/>
      <c r="R886" s="754"/>
      <c r="S886" s="789"/>
      <c r="T886" s="705"/>
      <c r="U886" s="755"/>
    </row>
    <row r="887" ht="26.25" customHeight="1">
      <c r="A887" s="769"/>
      <c r="B887" s="770"/>
      <c r="C887" s="771"/>
      <c r="D887" s="705"/>
      <c r="E887" s="705"/>
      <c r="F887" s="707"/>
      <c r="G887" s="772"/>
      <c r="H887" s="772"/>
      <c r="I887" s="773"/>
      <c r="J887" s="510"/>
      <c r="K887" s="510"/>
      <c r="L887" s="510"/>
      <c r="M887" s="773"/>
      <c r="N887" s="510"/>
      <c r="O887" s="773"/>
      <c r="P887" s="773"/>
      <c r="Q887" s="705"/>
      <c r="R887" s="754"/>
      <c r="S887" s="789"/>
      <c r="T887" s="705"/>
      <c r="U887" s="755"/>
    </row>
    <row r="888" ht="26.25" customHeight="1">
      <c r="A888" s="769"/>
      <c r="B888" s="770"/>
      <c r="C888" s="771"/>
      <c r="D888" s="705"/>
      <c r="E888" s="705"/>
      <c r="F888" s="707"/>
      <c r="G888" s="772"/>
      <c r="H888" s="772"/>
      <c r="I888" s="773"/>
      <c r="J888" s="510"/>
      <c r="K888" s="510"/>
      <c r="L888" s="510"/>
      <c r="M888" s="773"/>
      <c r="N888" s="510"/>
      <c r="O888" s="773"/>
      <c r="P888" s="773"/>
      <c r="Q888" s="705"/>
      <c r="R888" s="754"/>
      <c r="S888" s="789"/>
      <c r="T888" s="705"/>
      <c r="U888" s="755"/>
    </row>
    <row r="889" ht="26.25" customHeight="1">
      <c r="A889" s="769"/>
      <c r="B889" s="770"/>
      <c r="C889" s="771"/>
      <c r="D889" s="705"/>
      <c r="E889" s="705"/>
      <c r="F889" s="707"/>
      <c r="G889" s="772"/>
      <c r="H889" s="772"/>
      <c r="I889" s="773"/>
      <c r="J889" s="510"/>
      <c r="K889" s="510"/>
      <c r="L889" s="510"/>
      <c r="M889" s="773"/>
      <c r="N889" s="510"/>
      <c r="O889" s="773"/>
      <c r="P889" s="773"/>
      <c r="Q889" s="705"/>
      <c r="R889" s="754"/>
      <c r="S889" s="789"/>
      <c r="T889" s="705"/>
      <c r="U889" s="755"/>
    </row>
    <row r="890" ht="26.25" customHeight="1">
      <c r="A890" s="769"/>
      <c r="B890" s="770"/>
      <c r="C890" s="771"/>
      <c r="D890" s="705"/>
      <c r="E890" s="705"/>
      <c r="F890" s="707"/>
      <c r="G890" s="772"/>
      <c r="H890" s="772"/>
      <c r="I890" s="773"/>
      <c r="J890" s="510"/>
      <c r="K890" s="510"/>
      <c r="L890" s="510"/>
      <c r="M890" s="773"/>
      <c r="N890" s="510"/>
      <c r="O890" s="773"/>
      <c r="P890" s="773"/>
      <c r="Q890" s="705"/>
      <c r="R890" s="754"/>
      <c r="S890" s="789"/>
      <c r="T890" s="705"/>
      <c r="U890" s="755"/>
    </row>
    <row r="891" ht="26.25" customHeight="1">
      <c r="A891" s="769"/>
      <c r="B891" s="770"/>
      <c r="C891" s="771"/>
      <c r="D891" s="705"/>
      <c r="E891" s="705"/>
      <c r="F891" s="707"/>
      <c r="G891" s="772"/>
      <c r="H891" s="772"/>
      <c r="I891" s="773"/>
      <c r="J891" s="510"/>
      <c r="K891" s="510"/>
      <c r="L891" s="510"/>
      <c r="M891" s="773"/>
      <c r="N891" s="510"/>
      <c r="O891" s="773"/>
      <c r="P891" s="773"/>
      <c r="Q891" s="705"/>
      <c r="R891" s="754"/>
      <c r="S891" s="789"/>
      <c r="T891" s="705"/>
      <c r="U891" s="755"/>
    </row>
    <row r="892" ht="26.25" customHeight="1">
      <c r="A892" s="769"/>
      <c r="B892" s="770"/>
      <c r="C892" s="771"/>
      <c r="D892" s="705"/>
      <c r="E892" s="705"/>
      <c r="F892" s="707"/>
      <c r="G892" s="772"/>
      <c r="H892" s="772"/>
      <c r="I892" s="773"/>
      <c r="J892" s="510"/>
      <c r="K892" s="510"/>
      <c r="L892" s="510"/>
      <c r="M892" s="773"/>
      <c r="N892" s="510"/>
      <c r="O892" s="773"/>
      <c r="P892" s="773"/>
      <c r="Q892" s="705"/>
      <c r="R892" s="754"/>
      <c r="S892" s="789"/>
      <c r="T892" s="705"/>
      <c r="U892" s="755"/>
    </row>
    <row r="893" ht="26.25" customHeight="1">
      <c r="A893" s="769"/>
      <c r="B893" s="770"/>
      <c r="C893" s="771"/>
      <c r="D893" s="705"/>
      <c r="E893" s="705"/>
      <c r="F893" s="707"/>
      <c r="G893" s="772"/>
      <c r="H893" s="772"/>
      <c r="I893" s="773"/>
      <c r="J893" s="510"/>
      <c r="K893" s="510"/>
      <c r="L893" s="510"/>
      <c r="M893" s="773"/>
      <c r="N893" s="510"/>
      <c r="O893" s="773"/>
      <c r="P893" s="773"/>
      <c r="Q893" s="705"/>
      <c r="R893" s="754"/>
      <c r="S893" s="789"/>
      <c r="T893" s="705"/>
      <c r="U893" s="755"/>
    </row>
    <row r="894" ht="26.25" customHeight="1">
      <c r="A894" s="769"/>
      <c r="B894" s="770"/>
      <c r="C894" s="771"/>
      <c r="D894" s="705"/>
      <c r="E894" s="705"/>
      <c r="F894" s="707"/>
      <c r="G894" s="772"/>
      <c r="H894" s="772"/>
      <c r="I894" s="773"/>
      <c r="J894" s="510"/>
      <c r="K894" s="510"/>
      <c r="L894" s="510"/>
      <c r="M894" s="773"/>
      <c r="N894" s="510"/>
      <c r="O894" s="773"/>
      <c r="P894" s="773"/>
      <c r="Q894" s="705"/>
      <c r="R894" s="754"/>
      <c r="S894" s="789"/>
      <c r="T894" s="705"/>
      <c r="U894" s="755"/>
    </row>
    <row r="895" ht="26.25" customHeight="1">
      <c r="A895" s="769"/>
      <c r="B895" s="770"/>
      <c r="C895" s="771"/>
      <c r="D895" s="705"/>
      <c r="E895" s="705"/>
      <c r="F895" s="707"/>
      <c r="G895" s="772"/>
      <c r="H895" s="772"/>
      <c r="I895" s="773"/>
      <c r="J895" s="510"/>
      <c r="K895" s="510"/>
      <c r="L895" s="510"/>
      <c r="M895" s="773"/>
      <c r="N895" s="510"/>
      <c r="O895" s="773"/>
      <c r="P895" s="773"/>
      <c r="Q895" s="705"/>
      <c r="R895" s="754"/>
      <c r="S895" s="789"/>
      <c r="T895" s="705"/>
      <c r="U895" s="755"/>
    </row>
    <row r="896" ht="26.25" customHeight="1">
      <c r="A896" s="769"/>
      <c r="B896" s="770"/>
      <c r="C896" s="771"/>
      <c r="D896" s="705"/>
      <c r="E896" s="705"/>
      <c r="F896" s="707"/>
      <c r="G896" s="772"/>
      <c r="H896" s="772"/>
      <c r="I896" s="773"/>
      <c r="J896" s="510"/>
      <c r="K896" s="510"/>
      <c r="L896" s="510"/>
      <c r="M896" s="773"/>
      <c r="N896" s="510"/>
      <c r="O896" s="773"/>
      <c r="P896" s="773"/>
      <c r="Q896" s="705"/>
      <c r="R896" s="754"/>
      <c r="S896" s="789"/>
      <c r="T896" s="705"/>
      <c r="U896" s="755"/>
    </row>
    <row r="897" ht="26.25" customHeight="1">
      <c r="A897" s="769"/>
      <c r="B897" s="770"/>
      <c r="C897" s="771"/>
      <c r="D897" s="705"/>
      <c r="E897" s="705"/>
      <c r="F897" s="707"/>
      <c r="G897" s="772"/>
      <c r="H897" s="772"/>
      <c r="I897" s="773"/>
      <c r="J897" s="510"/>
      <c r="K897" s="510"/>
      <c r="L897" s="510"/>
      <c r="M897" s="773"/>
      <c r="N897" s="510"/>
      <c r="O897" s="773"/>
      <c r="P897" s="773"/>
      <c r="Q897" s="705"/>
      <c r="R897" s="754"/>
      <c r="S897" s="789"/>
      <c r="T897" s="705"/>
      <c r="U897" s="755"/>
    </row>
    <row r="898" ht="26.25" customHeight="1">
      <c r="A898" s="769"/>
      <c r="B898" s="770"/>
      <c r="C898" s="771"/>
      <c r="D898" s="705"/>
      <c r="E898" s="705"/>
      <c r="F898" s="707"/>
      <c r="G898" s="772"/>
      <c r="H898" s="772"/>
      <c r="I898" s="773"/>
      <c r="J898" s="510"/>
      <c r="K898" s="510"/>
      <c r="L898" s="510"/>
      <c r="M898" s="773"/>
      <c r="N898" s="510"/>
      <c r="O898" s="773"/>
      <c r="P898" s="773"/>
      <c r="Q898" s="705"/>
      <c r="R898" s="754"/>
      <c r="S898" s="789"/>
      <c r="T898" s="705"/>
      <c r="U898" s="755"/>
    </row>
    <row r="899" ht="26.25" customHeight="1">
      <c r="A899" s="769"/>
      <c r="B899" s="770"/>
      <c r="C899" s="771"/>
      <c r="D899" s="705"/>
      <c r="E899" s="705"/>
      <c r="F899" s="707"/>
      <c r="G899" s="772"/>
      <c r="H899" s="772"/>
      <c r="I899" s="773"/>
      <c r="J899" s="510"/>
      <c r="K899" s="510"/>
      <c r="L899" s="510"/>
      <c r="M899" s="773"/>
      <c r="N899" s="510"/>
      <c r="O899" s="773"/>
      <c r="P899" s="773"/>
      <c r="Q899" s="705"/>
      <c r="R899" s="754"/>
      <c r="S899" s="789"/>
      <c r="T899" s="705"/>
      <c r="U899" s="755"/>
    </row>
    <row r="900" ht="26.25" customHeight="1">
      <c r="A900" s="769"/>
      <c r="B900" s="770"/>
      <c r="C900" s="771"/>
      <c r="D900" s="705"/>
      <c r="E900" s="705"/>
      <c r="F900" s="707"/>
      <c r="G900" s="772"/>
      <c r="H900" s="772"/>
      <c r="I900" s="773"/>
      <c r="J900" s="510"/>
      <c r="K900" s="510"/>
      <c r="L900" s="510"/>
      <c r="M900" s="773"/>
      <c r="N900" s="510"/>
      <c r="O900" s="773"/>
      <c r="P900" s="773"/>
      <c r="Q900" s="705"/>
      <c r="R900" s="754"/>
      <c r="S900" s="789"/>
      <c r="T900" s="705"/>
      <c r="U900" s="755"/>
    </row>
    <row r="901" ht="26.25" customHeight="1">
      <c r="A901" s="769"/>
      <c r="B901" s="770"/>
      <c r="C901" s="771"/>
      <c r="D901" s="705"/>
      <c r="E901" s="705"/>
      <c r="F901" s="707"/>
      <c r="G901" s="772"/>
      <c r="H901" s="772"/>
      <c r="I901" s="773"/>
      <c r="J901" s="510"/>
      <c r="K901" s="510"/>
      <c r="L901" s="510"/>
      <c r="M901" s="773"/>
      <c r="N901" s="510"/>
      <c r="O901" s="773"/>
      <c r="P901" s="773"/>
      <c r="Q901" s="705"/>
      <c r="R901" s="754"/>
      <c r="S901" s="789"/>
      <c r="T901" s="705"/>
      <c r="U901" s="755"/>
    </row>
    <row r="902" ht="26.25" customHeight="1">
      <c r="A902" s="769"/>
      <c r="B902" s="770"/>
      <c r="C902" s="771"/>
      <c r="D902" s="705"/>
      <c r="E902" s="705"/>
      <c r="F902" s="707"/>
      <c r="G902" s="772"/>
      <c r="H902" s="772"/>
      <c r="I902" s="773"/>
      <c r="J902" s="510"/>
      <c r="K902" s="510"/>
      <c r="L902" s="510"/>
      <c r="M902" s="773"/>
      <c r="N902" s="510"/>
      <c r="O902" s="773"/>
      <c r="P902" s="773"/>
      <c r="Q902" s="705"/>
      <c r="R902" s="754"/>
      <c r="S902" s="789"/>
      <c r="T902" s="705"/>
      <c r="U902" s="755"/>
    </row>
    <row r="903" ht="26.25" customHeight="1">
      <c r="A903" s="769"/>
      <c r="B903" s="770"/>
      <c r="C903" s="771"/>
      <c r="D903" s="705"/>
      <c r="E903" s="705"/>
      <c r="F903" s="707"/>
      <c r="G903" s="772"/>
      <c r="H903" s="772"/>
      <c r="I903" s="773"/>
      <c r="J903" s="510"/>
      <c r="K903" s="510"/>
      <c r="L903" s="510"/>
      <c r="M903" s="773"/>
      <c r="N903" s="510"/>
      <c r="O903" s="773"/>
      <c r="P903" s="773"/>
      <c r="Q903" s="705"/>
      <c r="R903" s="754"/>
      <c r="S903" s="789"/>
      <c r="T903" s="705"/>
      <c r="U903" s="755"/>
    </row>
    <row r="904" ht="26.25" customHeight="1">
      <c r="A904" s="769"/>
      <c r="B904" s="770"/>
      <c r="C904" s="771"/>
      <c r="D904" s="705"/>
      <c r="E904" s="705"/>
      <c r="F904" s="707"/>
      <c r="G904" s="772"/>
      <c r="H904" s="772"/>
      <c r="I904" s="773"/>
      <c r="J904" s="510"/>
      <c r="K904" s="510"/>
      <c r="L904" s="510"/>
      <c r="M904" s="773"/>
      <c r="N904" s="510"/>
      <c r="O904" s="773"/>
      <c r="P904" s="773"/>
      <c r="Q904" s="705"/>
      <c r="R904" s="754"/>
      <c r="S904" s="789"/>
      <c r="T904" s="705"/>
      <c r="U904" s="755"/>
    </row>
    <row r="905" ht="26.25" customHeight="1">
      <c r="A905" s="769"/>
      <c r="B905" s="770"/>
      <c r="C905" s="771"/>
      <c r="D905" s="705"/>
      <c r="E905" s="705"/>
      <c r="F905" s="707"/>
      <c r="G905" s="772"/>
      <c r="H905" s="772"/>
      <c r="I905" s="773"/>
      <c r="J905" s="510"/>
      <c r="K905" s="510"/>
      <c r="L905" s="510"/>
      <c r="M905" s="773"/>
      <c r="N905" s="510"/>
      <c r="O905" s="773"/>
      <c r="P905" s="773"/>
      <c r="Q905" s="705"/>
      <c r="R905" s="754"/>
      <c r="S905" s="789"/>
      <c r="T905" s="705"/>
      <c r="U905" s="755"/>
    </row>
    <row r="906" ht="26.25" customHeight="1">
      <c r="A906" s="769"/>
      <c r="B906" s="770"/>
      <c r="C906" s="771"/>
      <c r="D906" s="705"/>
      <c r="E906" s="705"/>
      <c r="F906" s="707"/>
      <c r="G906" s="772"/>
      <c r="H906" s="772"/>
      <c r="I906" s="773"/>
      <c r="J906" s="510"/>
      <c r="K906" s="510"/>
      <c r="L906" s="510"/>
      <c r="M906" s="773"/>
      <c r="N906" s="510"/>
      <c r="O906" s="773"/>
      <c r="P906" s="773"/>
      <c r="Q906" s="705"/>
      <c r="R906" s="754"/>
      <c r="S906" s="789"/>
      <c r="T906" s="705"/>
      <c r="U906" s="755"/>
    </row>
    <row r="907" ht="26.25" customHeight="1">
      <c r="A907" s="769"/>
      <c r="B907" s="770"/>
      <c r="C907" s="771"/>
      <c r="D907" s="705"/>
      <c r="E907" s="705"/>
      <c r="F907" s="707"/>
      <c r="G907" s="772"/>
      <c r="H907" s="772"/>
      <c r="I907" s="773"/>
      <c r="J907" s="510"/>
      <c r="K907" s="510"/>
      <c r="L907" s="510"/>
      <c r="M907" s="773"/>
      <c r="N907" s="510"/>
      <c r="O907" s="773"/>
      <c r="P907" s="773"/>
      <c r="Q907" s="705"/>
      <c r="R907" s="754"/>
      <c r="S907" s="789"/>
      <c r="T907" s="705"/>
      <c r="U907" s="755"/>
    </row>
    <row r="908" ht="26.25" customHeight="1">
      <c r="A908" s="769"/>
      <c r="B908" s="770"/>
      <c r="C908" s="771"/>
      <c r="D908" s="705"/>
      <c r="E908" s="705"/>
      <c r="F908" s="707"/>
      <c r="G908" s="772"/>
      <c r="H908" s="772"/>
      <c r="I908" s="773"/>
      <c r="J908" s="510"/>
      <c r="K908" s="510"/>
      <c r="L908" s="510"/>
      <c r="M908" s="773"/>
      <c r="N908" s="510"/>
      <c r="O908" s="773"/>
      <c r="P908" s="773"/>
      <c r="Q908" s="705"/>
      <c r="R908" s="754"/>
      <c r="S908" s="789"/>
      <c r="T908" s="705"/>
      <c r="U908" s="755"/>
    </row>
    <row r="909" ht="26.25" customHeight="1">
      <c r="A909" s="769"/>
      <c r="B909" s="770"/>
      <c r="C909" s="771"/>
      <c r="D909" s="705"/>
      <c r="E909" s="705"/>
      <c r="F909" s="707"/>
      <c r="G909" s="772"/>
      <c r="H909" s="772"/>
      <c r="I909" s="773"/>
      <c r="J909" s="510"/>
      <c r="K909" s="510"/>
      <c r="L909" s="510"/>
      <c r="M909" s="773"/>
      <c r="N909" s="510"/>
      <c r="O909" s="773"/>
      <c r="P909" s="773"/>
      <c r="Q909" s="705"/>
      <c r="R909" s="754"/>
      <c r="S909" s="789"/>
      <c r="T909" s="705"/>
      <c r="U909" s="755"/>
    </row>
    <row r="910" ht="26.25" customHeight="1">
      <c r="A910" s="769"/>
      <c r="B910" s="770"/>
      <c r="C910" s="771"/>
      <c r="D910" s="705"/>
      <c r="E910" s="705"/>
      <c r="F910" s="707"/>
      <c r="G910" s="772"/>
      <c r="H910" s="772"/>
      <c r="I910" s="773"/>
      <c r="J910" s="510"/>
      <c r="K910" s="510"/>
      <c r="L910" s="510"/>
      <c r="M910" s="773"/>
      <c r="N910" s="510"/>
      <c r="O910" s="773"/>
      <c r="P910" s="773"/>
      <c r="Q910" s="705"/>
      <c r="R910" s="754"/>
      <c r="S910" s="789"/>
      <c r="T910" s="705"/>
      <c r="U910" s="755"/>
    </row>
    <row r="911" ht="26.25" customHeight="1">
      <c r="A911" s="769"/>
      <c r="B911" s="770"/>
      <c r="C911" s="771"/>
      <c r="D911" s="705"/>
      <c r="E911" s="705"/>
      <c r="F911" s="707"/>
      <c r="G911" s="772"/>
      <c r="H911" s="772"/>
      <c r="I911" s="773"/>
      <c r="J911" s="510"/>
      <c r="K911" s="510"/>
      <c r="L911" s="510"/>
      <c r="M911" s="773"/>
      <c r="N911" s="510"/>
      <c r="O911" s="773"/>
      <c r="P911" s="773"/>
      <c r="Q911" s="705"/>
      <c r="R911" s="754"/>
      <c r="S911" s="789"/>
      <c r="T911" s="705"/>
      <c r="U911" s="755"/>
    </row>
    <row r="912" ht="26.25" customHeight="1">
      <c r="A912" s="769"/>
      <c r="B912" s="770"/>
      <c r="C912" s="771"/>
      <c r="D912" s="705"/>
      <c r="E912" s="705"/>
      <c r="F912" s="707"/>
      <c r="G912" s="772"/>
      <c r="H912" s="772"/>
      <c r="I912" s="773"/>
      <c r="J912" s="510"/>
      <c r="K912" s="510"/>
      <c r="L912" s="510"/>
      <c r="M912" s="773"/>
      <c r="N912" s="510"/>
      <c r="O912" s="773"/>
      <c r="P912" s="773"/>
      <c r="Q912" s="705"/>
      <c r="R912" s="754"/>
      <c r="S912" s="789"/>
      <c r="T912" s="705"/>
      <c r="U912" s="755"/>
    </row>
    <row r="913" ht="26.25" customHeight="1">
      <c r="A913" s="769"/>
      <c r="B913" s="770"/>
      <c r="C913" s="771"/>
      <c r="D913" s="705"/>
      <c r="E913" s="705"/>
      <c r="F913" s="707"/>
      <c r="G913" s="772"/>
      <c r="H913" s="772"/>
      <c r="I913" s="773"/>
      <c r="J913" s="510"/>
      <c r="K913" s="510"/>
      <c r="L913" s="510"/>
      <c r="M913" s="773"/>
      <c r="N913" s="510"/>
      <c r="O913" s="773"/>
      <c r="P913" s="773"/>
      <c r="Q913" s="705"/>
      <c r="R913" s="754"/>
      <c r="S913" s="789"/>
      <c r="T913" s="705"/>
      <c r="U913" s="755"/>
    </row>
    <row r="914" ht="26.25" customHeight="1">
      <c r="A914" s="769"/>
      <c r="B914" s="770"/>
      <c r="C914" s="771"/>
      <c r="D914" s="705"/>
      <c r="E914" s="705"/>
      <c r="F914" s="707"/>
      <c r="G914" s="772"/>
      <c r="H914" s="772"/>
      <c r="I914" s="773"/>
      <c r="J914" s="510"/>
      <c r="K914" s="510"/>
      <c r="L914" s="510"/>
      <c r="M914" s="773"/>
      <c r="N914" s="510"/>
      <c r="O914" s="773"/>
      <c r="P914" s="773"/>
      <c r="Q914" s="705"/>
      <c r="R914" s="754"/>
      <c r="S914" s="789"/>
      <c r="T914" s="705"/>
      <c r="U914" s="755"/>
    </row>
    <row r="915" ht="26.25" customHeight="1">
      <c r="A915" s="769"/>
      <c r="B915" s="770"/>
      <c r="C915" s="771"/>
      <c r="D915" s="705"/>
      <c r="E915" s="705"/>
      <c r="F915" s="707"/>
      <c r="G915" s="772"/>
      <c r="H915" s="772"/>
      <c r="I915" s="773"/>
      <c r="J915" s="510"/>
      <c r="K915" s="510"/>
      <c r="L915" s="510"/>
      <c r="M915" s="773"/>
      <c r="N915" s="510"/>
      <c r="O915" s="773"/>
      <c r="P915" s="773"/>
      <c r="Q915" s="705"/>
      <c r="R915" s="754"/>
      <c r="S915" s="789"/>
      <c r="T915" s="705"/>
      <c r="U915" s="755"/>
    </row>
    <row r="916" ht="26.25" customHeight="1">
      <c r="A916" s="769"/>
      <c r="B916" s="770"/>
      <c r="C916" s="771"/>
      <c r="D916" s="705"/>
      <c r="E916" s="705"/>
      <c r="F916" s="707"/>
      <c r="G916" s="772"/>
      <c r="H916" s="772"/>
      <c r="I916" s="773"/>
      <c r="J916" s="510"/>
      <c r="K916" s="510"/>
      <c r="L916" s="510"/>
      <c r="M916" s="773"/>
      <c r="N916" s="510"/>
      <c r="O916" s="773"/>
      <c r="P916" s="773"/>
      <c r="Q916" s="705"/>
      <c r="R916" s="754"/>
      <c r="S916" s="789"/>
      <c r="T916" s="705"/>
      <c r="U916" s="755"/>
    </row>
    <row r="917" ht="26.25" customHeight="1">
      <c r="A917" s="769"/>
      <c r="B917" s="770"/>
      <c r="C917" s="771"/>
      <c r="D917" s="705"/>
      <c r="E917" s="705"/>
      <c r="F917" s="707"/>
      <c r="G917" s="772"/>
      <c r="H917" s="772"/>
      <c r="I917" s="773"/>
      <c r="J917" s="510"/>
      <c r="K917" s="510"/>
      <c r="L917" s="510"/>
      <c r="M917" s="773"/>
      <c r="N917" s="510"/>
      <c r="O917" s="773"/>
      <c r="P917" s="773"/>
      <c r="Q917" s="705"/>
      <c r="R917" s="754"/>
      <c r="S917" s="789"/>
      <c r="T917" s="705"/>
      <c r="U917" s="755"/>
    </row>
    <row r="918" ht="26.25" customHeight="1">
      <c r="A918" s="769"/>
      <c r="B918" s="770"/>
      <c r="C918" s="771"/>
      <c r="D918" s="705"/>
      <c r="E918" s="705"/>
      <c r="F918" s="707"/>
      <c r="G918" s="772"/>
      <c r="H918" s="772"/>
      <c r="I918" s="773"/>
      <c r="J918" s="510"/>
      <c r="K918" s="510"/>
      <c r="L918" s="510"/>
      <c r="M918" s="773"/>
      <c r="N918" s="510"/>
      <c r="O918" s="773"/>
      <c r="P918" s="773"/>
      <c r="Q918" s="705"/>
      <c r="R918" s="754"/>
      <c r="S918" s="789"/>
      <c r="T918" s="705"/>
      <c r="U918" s="755"/>
    </row>
    <row r="919" ht="26.25" customHeight="1">
      <c r="A919" s="769"/>
      <c r="B919" s="770"/>
      <c r="C919" s="771"/>
      <c r="D919" s="705"/>
      <c r="E919" s="705"/>
      <c r="F919" s="707"/>
      <c r="G919" s="772"/>
      <c r="H919" s="772"/>
      <c r="I919" s="773"/>
      <c r="J919" s="510"/>
      <c r="K919" s="510"/>
      <c r="L919" s="510"/>
      <c r="M919" s="773"/>
      <c r="N919" s="510"/>
      <c r="O919" s="773"/>
      <c r="P919" s="773"/>
      <c r="Q919" s="705"/>
      <c r="R919" s="754"/>
      <c r="S919" s="789"/>
      <c r="T919" s="705"/>
      <c r="U919" s="755"/>
    </row>
    <row r="920" ht="26.25" customHeight="1">
      <c r="A920" s="769"/>
      <c r="B920" s="770"/>
      <c r="C920" s="771"/>
      <c r="D920" s="705"/>
      <c r="E920" s="705"/>
      <c r="F920" s="707"/>
      <c r="G920" s="772"/>
      <c r="H920" s="772"/>
      <c r="I920" s="773"/>
      <c r="J920" s="510"/>
      <c r="K920" s="510"/>
      <c r="L920" s="510"/>
      <c r="M920" s="773"/>
      <c r="N920" s="510"/>
      <c r="O920" s="773"/>
      <c r="P920" s="773"/>
      <c r="Q920" s="705"/>
      <c r="R920" s="754"/>
      <c r="S920" s="789"/>
      <c r="T920" s="705"/>
      <c r="U920" s="755"/>
    </row>
    <row r="921" ht="26.25" customHeight="1">
      <c r="A921" s="769"/>
      <c r="B921" s="770"/>
      <c r="C921" s="771"/>
      <c r="D921" s="705"/>
      <c r="E921" s="705"/>
      <c r="F921" s="707"/>
      <c r="G921" s="772"/>
      <c r="H921" s="772"/>
      <c r="I921" s="773"/>
      <c r="J921" s="510"/>
      <c r="K921" s="510"/>
      <c r="L921" s="510"/>
      <c r="M921" s="773"/>
      <c r="N921" s="510"/>
      <c r="O921" s="773"/>
      <c r="P921" s="773"/>
      <c r="Q921" s="705"/>
      <c r="R921" s="754"/>
      <c r="S921" s="789"/>
      <c r="T921" s="705"/>
      <c r="U921" s="755"/>
    </row>
    <row r="922" ht="26.25" customHeight="1">
      <c r="A922" s="769"/>
      <c r="B922" s="770"/>
      <c r="C922" s="771"/>
      <c r="D922" s="705"/>
      <c r="E922" s="705"/>
      <c r="F922" s="707"/>
      <c r="G922" s="772"/>
      <c r="H922" s="772"/>
      <c r="I922" s="773"/>
      <c r="J922" s="510"/>
      <c r="K922" s="510"/>
      <c r="L922" s="510"/>
      <c r="M922" s="773"/>
      <c r="N922" s="510"/>
      <c r="O922" s="773"/>
      <c r="P922" s="773"/>
      <c r="Q922" s="705"/>
      <c r="R922" s="754"/>
      <c r="S922" s="789"/>
      <c r="T922" s="705"/>
      <c r="U922" s="755"/>
    </row>
    <row r="923" ht="26.25" customHeight="1">
      <c r="A923" s="769"/>
      <c r="B923" s="770"/>
      <c r="C923" s="771"/>
      <c r="D923" s="705"/>
      <c r="E923" s="705"/>
      <c r="F923" s="707"/>
      <c r="G923" s="772"/>
      <c r="H923" s="772"/>
      <c r="I923" s="773"/>
      <c r="J923" s="510"/>
      <c r="K923" s="510"/>
      <c r="L923" s="510"/>
      <c r="M923" s="773"/>
      <c r="N923" s="510"/>
      <c r="O923" s="773"/>
      <c r="P923" s="773"/>
      <c r="Q923" s="705"/>
      <c r="R923" s="754"/>
      <c r="S923" s="789"/>
      <c r="T923" s="705"/>
      <c r="U923" s="755"/>
    </row>
    <row r="924" ht="26.25" customHeight="1">
      <c r="A924" s="769"/>
      <c r="B924" s="770"/>
      <c r="C924" s="771"/>
      <c r="D924" s="705"/>
      <c r="E924" s="705"/>
      <c r="F924" s="707"/>
      <c r="G924" s="772"/>
      <c r="H924" s="772"/>
      <c r="I924" s="773"/>
      <c r="J924" s="510"/>
      <c r="K924" s="510"/>
      <c r="L924" s="510"/>
      <c r="M924" s="773"/>
      <c r="N924" s="510"/>
      <c r="O924" s="773"/>
      <c r="P924" s="773"/>
      <c r="Q924" s="705"/>
      <c r="R924" s="754"/>
      <c r="S924" s="789"/>
      <c r="T924" s="705"/>
      <c r="U924" s="755"/>
    </row>
    <row r="925" ht="26.25" customHeight="1">
      <c r="A925" s="769"/>
      <c r="B925" s="770"/>
      <c r="C925" s="771"/>
      <c r="D925" s="705"/>
      <c r="E925" s="705"/>
      <c r="F925" s="707"/>
      <c r="G925" s="772"/>
      <c r="H925" s="772"/>
      <c r="I925" s="773"/>
      <c r="J925" s="510"/>
      <c r="K925" s="510"/>
      <c r="L925" s="510"/>
      <c r="M925" s="773"/>
      <c r="N925" s="510"/>
      <c r="O925" s="773"/>
      <c r="P925" s="773"/>
      <c r="Q925" s="705"/>
      <c r="R925" s="754"/>
      <c r="S925" s="789"/>
      <c r="T925" s="705"/>
      <c r="U925" s="755"/>
    </row>
    <row r="926" ht="26.25" customHeight="1">
      <c r="A926" s="769"/>
      <c r="B926" s="770"/>
      <c r="C926" s="771"/>
      <c r="D926" s="705"/>
      <c r="E926" s="705"/>
      <c r="F926" s="707"/>
      <c r="G926" s="772"/>
      <c r="H926" s="772"/>
      <c r="I926" s="773"/>
      <c r="J926" s="510"/>
      <c r="K926" s="510"/>
      <c r="L926" s="510"/>
      <c r="M926" s="773"/>
      <c r="N926" s="510"/>
      <c r="O926" s="773"/>
      <c r="P926" s="773"/>
      <c r="Q926" s="705"/>
      <c r="R926" s="754"/>
      <c r="S926" s="789"/>
      <c r="T926" s="705"/>
      <c r="U926" s="755"/>
    </row>
    <row r="927" ht="26.25" customHeight="1">
      <c r="A927" s="769"/>
      <c r="B927" s="770"/>
      <c r="C927" s="771"/>
      <c r="D927" s="705"/>
      <c r="E927" s="705"/>
      <c r="F927" s="707"/>
      <c r="G927" s="772"/>
      <c r="H927" s="772"/>
      <c r="I927" s="773"/>
      <c r="J927" s="510"/>
      <c r="K927" s="510"/>
      <c r="L927" s="510"/>
      <c r="M927" s="773"/>
      <c r="N927" s="510"/>
      <c r="O927" s="773"/>
      <c r="P927" s="773"/>
      <c r="Q927" s="705"/>
      <c r="R927" s="754"/>
      <c r="S927" s="789"/>
      <c r="T927" s="705"/>
      <c r="U927" s="755"/>
    </row>
    <row r="928" ht="26.25" customHeight="1">
      <c r="A928" s="769"/>
      <c r="B928" s="770"/>
      <c r="C928" s="771"/>
      <c r="D928" s="705"/>
      <c r="E928" s="705"/>
      <c r="F928" s="707"/>
      <c r="G928" s="772"/>
      <c r="H928" s="772"/>
      <c r="I928" s="773"/>
      <c r="J928" s="510"/>
      <c r="K928" s="510"/>
      <c r="L928" s="510"/>
      <c r="M928" s="773"/>
      <c r="N928" s="510"/>
      <c r="O928" s="773"/>
      <c r="P928" s="773"/>
      <c r="Q928" s="705"/>
      <c r="R928" s="754"/>
      <c r="S928" s="789"/>
      <c r="T928" s="705"/>
      <c r="U928" s="755"/>
    </row>
    <row r="929" ht="26.25" customHeight="1">
      <c r="A929" s="769"/>
      <c r="B929" s="770"/>
      <c r="C929" s="771"/>
      <c r="D929" s="705"/>
      <c r="E929" s="705"/>
      <c r="F929" s="707"/>
      <c r="G929" s="772"/>
      <c r="H929" s="772"/>
      <c r="I929" s="773"/>
      <c r="J929" s="510"/>
      <c r="K929" s="510"/>
      <c r="L929" s="510"/>
      <c r="M929" s="773"/>
      <c r="N929" s="510"/>
      <c r="O929" s="773"/>
      <c r="P929" s="773"/>
      <c r="Q929" s="705"/>
      <c r="R929" s="754"/>
      <c r="S929" s="789"/>
      <c r="T929" s="705"/>
      <c r="U929" s="755"/>
    </row>
    <row r="930" ht="26.25" customHeight="1">
      <c r="A930" s="769"/>
      <c r="B930" s="770"/>
      <c r="C930" s="771"/>
      <c r="D930" s="705"/>
      <c r="E930" s="705"/>
      <c r="F930" s="707"/>
      <c r="G930" s="772"/>
      <c r="H930" s="772"/>
      <c r="I930" s="773"/>
      <c r="J930" s="510"/>
      <c r="K930" s="510"/>
      <c r="L930" s="510"/>
      <c r="M930" s="773"/>
      <c r="N930" s="510"/>
      <c r="O930" s="773"/>
      <c r="P930" s="773"/>
      <c r="Q930" s="705"/>
      <c r="R930" s="754"/>
      <c r="S930" s="789"/>
      <c r="T930" s="705"/>
      <c r="U930" s="755"/>
    </row>
    <row r="931" ht="26.25" customHeight="1">
      <c r="A931" s="769"/>
      <c r="B931" s="770"/>
      <c r="C931" s="771"/>
      <c r="D931" s="705"/>
      <c r="E931" s="705"/>
      <c r="F931" s="707"/>
      <c r="G931" s="772"/>
      <c r="H931" s="772"/>
      <c r="I931" s="773"/>
      <c r="J931" s="510"/>
      <c r="K931" s="510"/>
      <c r="L931" s="510"/>
      <c r="M931" s="773"/>
      <c r="N931" s="510"/>
      <c r="O931" s="773"/>
      <c r="P931" s="773"/>
      <c r="Q931" s="705"/>
      <c r="R931" s="754"/>
      <c r="S931" s="789"/>
      <c r="T931" s="705"/>
      <c r="U931" s="755"/>
    </row>
    <row r="932" ht="26.25" customHeight="1">
      <c r="A932" s="769"/>
      <c r="B932" s="770"/>
      <c r="C932" s="771"/>
      <c r="D932" s="705"/>
      <c r="E932" s="705"/>
      <c r="F932" s="707"/>
      <c r="G932" s="772"/>
      <c r="H932" s="772"/>
      <c r="I932" s="773"/>
      <c r="J932" s="510"/>
      <c r="K932" s="510"/>
      <c r="L932" s="510"/>
      <c r="M932" s="773"/>
      <c r="N932" s="510"/>
      <c r="O932" s="773"/>
      <c r="P932" s="773"/>
      <c r="Q932" s="705"/>
      <c r="R932" s="754"/>
      <c r="S932" s="789"/>
      <c r="T932" s="705"/>
      <c r="U932" s="755"/>
    </row>
    <row r="933" ht="26.25" customHeight="1">
      <c r="A933" s="769"/>
      <c r="B933" s="770"/>
      <c r="C933" s="771"/>
      <c r="D933" s="705"/>
      <c r="E933" s="705"/>
      <c r="F933" s="707"/>
      <c r="G933" s="772"/>
      <c r="H933" s="772"/>
      <c r="I933" s="773"/>
      <c r="J933" s="510"/>
      <c r="K933" s="510"/>
      <c r="L933" s="510"/>
      <c r="M933" s="773"/>
      <c r="N933" s="510"/>
      <c r="O933" s="773"/>
      <c r="P933" s="773"/>
      <c r="Q933" s="705"/>
      <c r="R933" s="754"/>
      <c r="S933" s="789"/>
      <c r="T933" s="705"/>
      <c r="U933" s="755"/>
    </row>
    <row r="934" ht="26.25" customHeight="1">
      <c r="A934" s="769"/>
      <c r="B934" s="770"/>
      <c r="C934" s="771"/>
      <c r="D934" s="705"/>
      <c r="E934" s="705"/>
      <c r="F934" s="707"/>
      <c r="G934" s="772"/>
      <c r="H934" s="772"/>
      <c r="I934" s="773"/>
      <c r="J934" s="510"/>
      <c r="K934" s="510"/>
      <c r="L934" s="510"/>
      <c r="M934" s="773"/>
      <c r="N934" s="510"/>
      <c r="O934" s="773"/>
      <c r="P934" s="773"/>
      <c r="Q934" s="705"/>
      <c r="R934" s="754"/>
      <c r="S934" s="789"/>
      <c r="T934" s="705"/>
      <c r="U934" s="755"/>
    </row>
    <row r="935" ht="26.25" customHeight="1">
      <c r="A935" s="769"/>
      <c r="B935" s="770"/>
      <c r="C935" s="771"/>
      <c r="D935" s="705"/>
      <c r="E935" s="705"/>
      <c r="F935" s="707"/>
      <c r="G935" s="772"/>
      <c r="H935" s="772"/>
      <c r="I935" s="773"/>
      <c r="J935" s="510"/>
      <c r="K935" s="510"/>
      <c r="L935" s="510"/>
      <c r="M935" s="773"/>
      <c r="N935" s="510"/>
      <c r="O935" s="773"/>
      <c r="P935" s="773"/>
      <c r="Q935" s="705"/>
      <c r="R935" s="754"/>
      <c r="S935" s="789"/>
      <c r="T935" s="705"/>
      <c r="U935" s="755"/>
    </row>
    <row r="936" ht="26.25" customHeight="1">
      <c r="A936" s="769"/>
      <c r="B936" s="770"/>
      <c r="C936" s="771"/>
      <c r="D936" s="705"/>
      <c r="E936" s="705"/>
      <c r="F936" s="707"/>
      <c r="G936" s="772"/>
      <c r="H936" s="772"/>
      <c r="I936" s="773"/>
      <c r="J936" s="510"/>
      <c r="K936" s="510"/>
      <c r="L936" s="510"/>
      <c r="M936" s="773"/>
      <c r="N936" s="510"/>
      <c r="O936" s="773"/>
      <c r="P936" s="773"/>
      <c r="Q936" s="705"/>
      <c r="R936" s="754"/>
      <c r="S936" s="789"/>
      <c r="T936" s="705"/>
      <c r="U936" s="755"/>
    </row>
    <row r="937" ht="26.25" customHeight="1">
      <c r="A937" s="769"/>
      <c r="B937" s="770"/>
      <c r="C937" s="771"/>
      <c r="D937" s="705"/>
      <c r="E937" s="705"/>
      <c r="F937" s="707"/>
      <c r="G937" s="772"/>
      <c r="H937" s="772"/>
      <c r="I937" s="773"/>
      <c r="J937" s="510"/>
      <c r="K937" s="510"/>
      <c r="L937" s="510"/>
      <c r="M937" s="773"/>
      <c r="N937" s="510"/>
      <c r="O937" s="773"/>
      <c r="P937" s="773"/>
      <c r="Q937" s="705"/>
      <c r="R937" s="754"/>
      <c r="S937" s="789"/>
      <c r="T937" s="705"/>
      <c r="U937" s="755"/>
    </row>
    <row r="938" ht="26.25" customHeight="1">
      <c r="A938" s="769"/>
      <c r="B938" s="770"/>
      <c r="C938" s="771"/>
      <c r="D938" s="705"/>
      <c r="E938" s="705"/>
      <c r="F938" s="707"/>
      <c r="G938" s="772"/>
      <c r="H938" s="772"/>
      <c r="I938" s="773"/>
      <c r="J938" s="510"/>
      <c r="K938" s="510"/>
      <c r="L938" s="510"/>
      <c r="M938" s="773"/>
      <c r="N938" s="510"/>
      <c r="O938" s="773"/>
      <c r="P938" s="773"/>
      <c r="Q938" s="705"/>
      <c r="R938" s="754"/>
      <c r="S938" s="789"/>
      <c r="T938" s="705"/>
      <c r="U938" s="755"/>
    </row>
    <row r="939" ht="26.25" customHeight="1">
      <c r="A939" s="769"/>
      <c r="B939" s="770"/>
      <c r="C939" s="771"/>
      <c r="D939" s="705"/>
      <c r="E939" s="705"/>
      <c r="F939" s="707"/>
      <c r="G939" s="772"/>
      <c r="H939" s="772"/>
      <c r="I939" s="773"/>
      <c r="J939" s="510"/>
      <c r="K939" s="510"/>
      <c r="L939" s="510"/>
      <c r="M939" s="773"/>
      <c r="N939" s="510"/>
      <c r="O939" s="773"/>
      <c r="P939" s="773"/>
      <c r="Q939" s="705"/>
      <c r="R939" s="754"/>
      <c r="S939" s="789"/>
      <c r="T939" s="705"/>
      <c r="U939" s="755"/>
    </row>
    <row r="940" ht="26.25" customHeight="1">
      <c r="A940" s="769"/>
      <c r="B940" s="770"/>
      <c r="C940" s="771"/>
      <c r="D940" s="705"/>
      <c r="E940" s="705"/>
      <c r="F940" s="707"/>
      <c r="G940" s="772"/>
      <c r="H940" s="772"/>
      <c r="I940" s="773"/>
      <c r="J940" s="510"/>
      <c r="K940" s="510"/>
      <c r="L940" s="510"/>
      <c r="M940" s="773"/>
      <c r="N940" s="510"/>
      <c r="O940" s="773"/>
      <c r="P940" s="773"/>
      <c r="Q940" s="705"/>
      <c r="R940" s="754"/>
      <c r="S940" s="789"/>
      <c r="T940" s="705"/>
      <c r="U940" s="755"/>
    </row>
    <row r="941" ht="26.25" customHeight="1">
      <c r="A941" s="769"/>
      <c r="B941" s="770"/>
      <c r="C941" s="771"/>
      <c r="D941" s="705"/>
      <c r="E941" s="705"/>
      <c r="F941" s="707"/>
      <c r="G941" s="772"/>
      <c r="H941" s="772"/>
      <c r="I941" s="773"/>
      <c r="J941" s="510"/>
      <c r="K941" s="510"/>
      <c r="L941" s="510"/>
      <c r="M941" s="773"/>
      <c r="N941" s="510"/>
      <c r="O941" s="773"/>
      <c r="P941" s="773"/>
      <c r="Q941" s="705"/>
      <c r="R941" s="754"/>
      <c r="S941" s="789"/>
      <c r="T941" s="705"/>
      <c r="U941" s="755"/>
    </row>
    <row r="942" ht="26.25" customHeight="1">
      <c r="A942" s="769"/>
      <c r="B942" s="770"/>
      <c r="C942" s="771"/>
      <c r="D942" s="705"/>
      <c r="E942" s="705"/>
      <c r="F942" s="707"/>
      <c r="G942" s="772"/>
      <c r="H942" s="772"/>
      <c r="I942" s="773"/>
      <c r="J942" s="510"/>
      <c r="K942" s="510"/>
      <c r="L942" s="510"/>
      <c r="M942" s="773"/>
      <c r="N942" s="510"/>
      <c r="O942" s="773"/>
      <c r="P942" s="773"/>
      <c r="Q942" s="705"/>
      <c r="R942" s="754"/>
      <c r="S942" s="789"/>
      <c r="T942" s="705"/>
      <c r="U942" s="755"/>
    </row>
    <row r="943" ht="26.25" customHeight="1">
      <c r="A943" s="769"/>
      <c r="B943" s="770"/>
      <c r="C943" s="771"/>
      <c r="D943" s="705"/>
      <c r="E943" s="705"/>
      <c r="F943" s="707"/>
      <c r="G943" s="772"/>
      <c r="H943" s="772"/>
      <c r="I943" s="773"/>
      <c r="J943" s="510"/>
      <c r="K943" s="510"/>
      <c r="L943" s="510"/>
      <c r="M943" s="773"/>
      <c r="N943" s="510"/>
      <c r="O943" s="773"/>
      <c r="P943" s="773"/>
      <c r="Q943" s="705"/>
      <c r="R943" s="754"/>
      <c r="S943" s="789"/>
      <c r="T943" s="705"/>
      <c r="U943" s="755"/>
    </row>
    <row r="944" ht="26.25" customHeight="1">
      <c r="A944" s="769"/>
      <c r="B944" s="770"/>
      <c r="C944" s="771"/>
      <c r="D944" s="705"/>
      <c r="E944" s="705"/>
      <c r="F944" s="707"/>
      <c r="G944" s="772"/>
      <c r="H944" s="772"/>
      <c r="I944" s="773"/>
      <c r="J944" s="510"/>
      <c r="K944" s="510"/>
      <c r="L944" s="510"/>
      <c r="M944" s="773"/>
      <c r="N944" s="510"/>
      <c r="O944" s="773"/>
      <c r="P944" s="773"/>
      <c r="Q944" s="705"/>
      <c r="R944" s="754"/>
      <c r="S944" s="789"/>
      <c r="T944" s="705"/>
      <c r="U944" s="755"/>
    </row>
    <row r="945" ht="26.25" customHeight="1">
      <c r="A945" s="769"/>
      <c r="B945" s="770"/>
      <c r="C945" s="771"/>
      <c r="D945" s="705"/>
      <c r="E945" s="705"/>
      <c r="F945" s="707"/>
      <c r="G945" s="772"/>
      <c r="H945" s="772"/>
      <c r="I945" s="773"/>
      <c r="J945" s="510"/>
      <c r="K945" s="510"/>
      <c r="L945" s="510"/>
      <c r="M945" s="773"/>
      <c r="N945" s="510"/>
      <c r="O945" s="773"/>
      <c r="P945" s="773"/>
      <c r="Q945" s="705"/>
      <c r="R945" s="754"/>
      <c r="S945" s="789"/>
      <c r="T945" s="705"/>
      <c r="U945" s="755"/>
    </row>
    <row r="946" ht="26.25" customHeight="1">
      <c r="A946" s="769"/>
      <c r="B946" s="770"/>
      <c r="C946" s="771"/>
      <c r="D946" s="705"/>
      <c r="E946" s="705"/>
      <c r="F946" s="707"/>
      <c r="G946" s="772"/>
      <c r="H946" s="772"/>
      <c r="I946" s="773"/>
      <c r="J946" s="510"/>
      <c r="K946" s="510"/>
      <c r="L946" s="510"/>
      <c r="M946" s="773"/>
      <c r="N946" s="510"/>
      <c r="O946" s="773"/>
      <c r="P946" s="773"/>
      <c r="Q946" s="705"/>
      <c r="R946" s="754"/>
      <c r="S946" s="789"/>
      <c r="T946" s="705"/>
      <c r="U946" s="755"/>
    </row>
    <row r="947" ht="26.25" customHeight="1">
      <c r="A947" s="769"/>
      <c r="B947" s="770"/>
      <c r="C947" s="771"/>
      <c r="D947" s="705"/>
      <c r="E947" s="705"/>
      <c r="F947" s="707"/>
      <c r="G947" s="772"/>
      <c r="H947" s="772"/>
      <c r="I947" s="773"/>
      <c r="J947" s="510"/>
      <c r="K947" s="510"/>
      <c r="L947" s="510"/>
      <c r="M947" s="773"/>
      <c r="N947" s="510"/>
      <c r="O947" s="773"/>
      <c r="P947" s="773"/>
      <c r="Q947" s="705"/>
      <c r="R947" s="754"/>
      <c r="S947" s="789"/>
      <c r="T947" s="705"/>
      <c r="U947" s="755"/>
    </row>
    <row r="948" ht="26.25" customHeight="1">
      <c r="A948" s="769"/>
      <c r="B948" s="770"/>
      <c r="C948" s="771"/>
      <c r="D948" s="705"/>
      <c r="E948" s="705"/>
      <c r="F948" s="707"/>
      <c r="G948" s="772"/>
      <c r="H948" s="772"/>
      <c r="I948" s="773"/>
      <c r="J948" s="510"/>
      <c r="K948" s="510"/>
      <c r="L948" s="510"/>
      <c r="M948" s="773"/>
      <c r="N948" s="510"/>
      <c r="O948" s="773"/>
      <c r="P948" s="773"/>
      <c r="Q948" s="705"/>
      <c r="R948" s="754"/>
      <c r="S948" s="789"/>
      <c r="T948" s="705"/>
      <c r="U948" s="755"/>
    </row>
    <row r="949" ht="26.25" customHeight="1">
      <c r="A949" s="769"/>
      <c r="B949" s="770"/>
      <c r="C949" s="771"/>
      <c r="D949" s="705"/>
      <c r="E949" s="705"/>
      <c r="F949" s="707"/>
      <c r="G949" s="772"/>
      <c r="H949" s="772"/>
      <c r="I949" s="773"/>
      <c r="J949" s="510"/>
      <c r="K949" s="510"/>
      <c r="L949" s="510"/>
      <c r="M949" s="773"/>
      <c r="N949" s="510"/>
      <c r="O949" s="773"/>
      <c r="P949" s="773"/>
      <c r="Q949" s="705"/>
      <c r="R949" s="754"/>
      <c r="S949" s="789"/>
      <c r="T949" s="705"/>
      <c r="U949" s="755"/>
    </row>
    <row r="950" ht="26.25" customHeight="1">
      <c r="A950" s="769"/>
      <c r="B950" s="770"/>
      <c r="C950" s="771"/>
      <c r="D950" s="705"/>
      <c r="E950" s="705"/>
      <c r="F950" s="707"/>
      <c r="G950" s="772"/>
      <c r="H950" s="772"/>
      <c r="I950" s="773"/>
      <c r="J950" s="510"/>
      <c r="K950" s="510"/>
      <c r="L950" s="510"/>
      <c r="M950" s="773"/>
      <c r="N950" s="510"/>
      <c r="O950" s="773"/>
      <c r="P950" s="773"/>
      <c r="Q950" s="705"/>
      <c r="R950" s="754"/>
      <c r="S950" s="789"/>
      <c r="T950" s="705"/>
      <c r="U950" s="755"/>
    </row>
    <row r="951" ht="26.25" customHeight="1">
      <c r="A951" s="769"/>
      <c r="B951" s="770"/>
      <c r="C951" s="771"/>
      <c r="D951" s="705"/>
      <c r="E951" s="705"/>
      <c r="F951" s="707"/>
      <c r="G951" s="772"/>
      <c r="H951" s="772"/>
      <c r="I951" s="773"/>
      <c r="J951" s="510"/>
      <c r="K951" s="510"/>
      <c r="L951" s="510"/>
      <c r="M951" s="773"/>
      <c r="N951" s="510"/>
      <c r="O951" s="773"/>
      <c r="P951" s="773"/>
      <c r="Q951" s="705"/>
      <c r="R951" s="754"/>
      <c r="S951" s="789"/>
      <c r="T951" s="705"/>
      <c r="U951" s="755"/>
    </row>
    <row r="952" ht="26.25" customHeight="1">
      <c r="A952" s="769"/>
      <c r="B952" s="770"/>
      <c r="C952" s="771"/>
      <c r="D952" s="705"/>
      <c r="E952" s="705"/>
      <c r="F952" s="707"/>
      <c r="G952" s="772"/>
      <c r="H952" s="772"/>
      <c r="I952" s="773"/>
      <c r="J952" s="510"/>
      <c r="K952" s="510"/>
      <c r="L952" s="510"/>
      <c r="M952" s="773"/>
      <c r="N952" s="510"/>
      <c r="O952" s="773"/>
      <c r="P952" s="773"/>
      <c r="Q952" s="705"/>
      <c r="R952" s="754"/>
      <c r="S952" s="789"/>
      <c r="T952" s="705"/>
      <c r="U952" s="755"/>
    </row>
    <row r="953" ht="26.25" customHeight="1">
      <c r="A953" s="769"/>
      <c r="B953" s="770"/>
      <c r="C953" s="771"/>
      <c r="D953" s="705"/>
      <c r="E953" s="705"/>
      <c r="F953" s="707"/>
      <c r="G953" s="772"/>
      <c r="H953" s="772"/>
      <c r="I953" s="773"/>
      <c r="J953" s="510"/>
      <c r="K953" s="510"/>
      <c r="L953" s="510"/>
      <c r="M953" s="773"/>
      <c r="N953" s="510"/>
      <c r="O953" s="773"/>
      <c r="P953" s="773"/>
      <c r="Q953" s="705"/>
      <c r="R953" s="754"/>
      <c r="S953" s="789"/>
      <c r="T953" s="705"/>
      <c r="U953" s="755"/>
    </row>
    <row r="954" ht="26.25" customHeight="1">
      <c r="A954" s="769"/>
      <c r="B954" s="770"/>
      <c r="C954" s="771"/>
      <c r="D954" s="705"/>
      <c r="E954" s="705"/>
      <c r="F954" s="707"/>
      <c r="G954" s="772"/>
      <c r="H954" s="772"/>
      <c r="I954" s="773"/>
      <c r="J954" s="510"/>
      <c r="K954" s="510"/>
      <c r="L954" s="510"/>
      <c r="M954" s="773"/>
      <c r="N954" s="510"/>
      <c r="O954" s="773"/>
      <c r="P954" s="773"/>
      <c r="Q954" s="705"/>
      <c r="R954" s="754"/>
      <c r="S954" s="789"/>
      <c r="T954" s="705"/>
      <c r="U954" s="755"/>
    </row>
    <row r="955" ht="26.25" customHeight="1">
      <c r="A955" s="769"/>
      <c r="B955" s="770"/>
      <c r="C955" s="771"/>
      <c r="D955" s="705"/>
      <c r="E955" s="705"/>
      <c r="F955" s="707"/>
      <c r="G955" s="772"/>
      <c r="H955" s="772"/>
      <c r="I955" s="773"/>
      <c r="J955" s="510"/>
      <c r="K955" s="510"/>
      <c r="L955" s="510"/>
      <c r="M955" s="773"/>
      <c r="N955" s="510"/>
      <c r="O955" s="773"/>
      <c r="P955" s="773"/>
      <c r="Q955" s="705"/>
      <c r="R955" s="754"/>
      <c r="S955" s="789"/>
      <c r="T955" s="705"/>
      <c r="U955" s="755"/>
    </row>
    <row r="956" ht="26.25" customHeight="1">
      <c r="A956" s="769"/>
      <c r="B956" s="770"/>
      <c r="C956" s="771"/>
      <c r="D956" s="705"/>
      <c r="E956" s="705"/>
      <c r="F956" s="707"/>
      <c r="G956" s="772"/>
      <c r="H956" s="772"/>
      <c r="I956" s="773"/>
      <c r="J956" s="510"/>
      <c r="K956" s="510"/>
      <c r="L956" s="510"/>
      <c r="M956" s="773"/>
      <c r="N956" s="510"/>
      <c r="O956" s="773"/>
      <c r="P956" s="773"/>
      <c r="Q956" s="705"/>
      <c r="R956" s="754"/>
      <c r="S956" s="789"/>
      <c r="T956" s="705"/>
      <c r="U956" s="755"/>
    </row>
    <row r="957" ht="26.25" customHeight="1">
      <c r="A957" s="769"/>
      <c r="B957" s="770"/>
      <c r="C957" s="771"/>
      <c r="D957" s="705"/>
      <c r="E957" s="705"/>
      <c r="F957" s="707"/>
      <c r="G957" s="772"/>
      <c r="H957" s="772"/>
      <c r="I957" s="773"/>
      <c r="J957" s="510"/>
      <c r="K957" s="510"/>
      <c r="L957" s="510"/>
      <c r="M957" s="773"/>
      <c r="N957" s="510"/>
      <c r="O957" s="773"/>
      <c r="P957" s="773"/>
      <c r="Q957" s="705"/>
      <c r="R957" s="754"/>
      <c r="S957" s="789"/>
      <c r="T957" s="705"/>
      <c r="U957" s="755"/>
    </row>
    <row r="958" ht="26.25" customHeight="1">
      <c r="A958" s="769"/>
      <c r="B958" s="770"/>
      <c r="C958" s="771"/>
      <c r="D958" s="705"/>
      <c r="E958" s="705"/>
      <c r="F958" s="707"/>
      <c r="G958" s="772"/>
      <c r="H958" s="772"/>
      <c r="I958" s="773"/>
      <c r="J958" s="510"/>
      <c r="K958" s="510"/>
      <c r="L958" s="510"/>
      <c r="M958" s="773"/>
      <c r="N958" s="510"/>
      <c r="O958" s="773"/>
      <c r="P958" s="773"/>
      <c r="Q958" s="705"/>
      <c r="R958" s="754"/>
      <c r="S958" s="789"/>
      <c r="T958" s="705"/>
      <c r="U958" s="755"/>
    </row>
    <row r="959" ht="26.25" customHeight="1">
      <c r="A959" s="769"/>
      <c r="B959" s="770"/>
      <c r="C959" s="771"/>
      <c r="D959" s="705"/>
      <c r="E959" s="705"/>
      <c r="F959" s="707"/>
      <c r="G959" s="772"/>
      <c r="H959" s="772"/>
      <c r="I959" s="773"/>
      <c r="J959" s="510"/>
      <c r="K959" s="510"/>
      <c r="L959" s="510"/>
      <c r="M959" s="773"/>
      <c r="N959" s="510"/>
      <c r="O959" s="773"/>
      <c r="P959" s="773"/>
      <c r="Q959" s="705"/>
      <c r="R959" s="754"/>
      <c r="S959" s="789"/>
      <c r="T959" s="705"/>
      <c r="U959" s="755"/>
    </row>
    <row r="960" ht="26.25" customHeight="1">
      <c r="A960" s="769"/>
      <c r="B960" s="770"/>
      <c r="C960" s="771"/>
      <c r="D960" s="705"/>
      <c r="E960" s="705"/>
      <c r="F960" s="707"/>
      <c r="G960" s="772"/>
      <c r="H960" s="772"/>
      <c r="I960" s="773"/>
      <c r="J960" s="510"/>
      <c r="K960" s="510"/>
      <c r="L960" s="510"/>
      <c r="M960" s="773"/>
      <c r="N960" s="510"/>
      <c r="O960" s="773"/>
      <c r="P960" s="773"/>
      <c r="Q960" s="705"/>
      <c r="R960" s="754"/>
      <c r="S960" s="789"/>
      <c r="T960" s="705"/>
      <c r="U960" s="755"/>
    </row>
    <row r="961" ht="26.25" customHeight="1">
      <c r="A961" s="769"/>
      <c r="B961" s="770"/>
      <c r="C961" s="771"/>
      <c r="D961" s="705"/>
      <c r="E961" s="705"/>
      <c r="F961" s="707"/>
      <c r="G961" s="772"/>
      <c r="H961" s="772"/>
      <c r="I961" s="773"/>
      <c r="J961" s="510"/>
      <c r="K961" s="510"/>
      <c r="L961" s="510"/>
      <c r="M961" s="773"/>
      <c r="N961" s="510"/>
      <c r="O961" s="773"/>
      <c r="P961" s="773"/>
      <c r="Q961" s="705"/>
      <c r="R961" s="754"/>
      <c r="S961" s="789"/>
      <c r="T961" s="705"/>
      <c r="U961" s="755"/>
    </row>
    <row r="962" ht="26.25" customHeight="1">
      <c r="A962" s="769"/>
      <c r="B962" s="770"/>
      <c r="C962" s="771"/>
      <c r="D962" s="705"/>
      <c r="E962" s="705"/>
      <c r="F962" s="707"/>
      <c r="G962" s="772"/>
      <c r="H962" s="772"/>
      <c r="I962" s="773"/>
      <c r="J962" s="510"/>
      <c r="K962" s="510"/>
      <c r="L962" s="510"/>
      <c r="M962" s="773"/>
      <c r="N962" s="510"/>
      <c r="O962" s="773"/>
      <c r="P962" s="773"/>
      <c r="Q962" s="705"/>
      <c r="R962" s="754"/>
      <c r="S962" s="789"/>
      <c r="T962" s="705"/>
      <c r="U962" s="755"/>
    </row>
    <row r="963" ht="26.25" customHeight="1">
      <c r="A963" s="769"/>
      <c r="B963" s="770"/>
      <c r="C963" s="771"/>
      <c r="D963" s="705"/>
      <c r="E963" s="705"/>
      <c r="F963" s="707"/>
      <c r="G963" s="772"/>
      <c r="H963" s="772"/>
      <c r="I963" s="773"/>
      <c r="J963" s="510"/>
      <c r="K963" s="510"/>
      <c r="L963" s="510"/>
      <c r="M963" s="773"/>
      <c r="N963" s="510"/>
      <c r="O963" s="773"/>
      <c r="P963" s="773"/>
      <c r="Q963" s="705"/>
      <c r="R963" s="754"/>
      <c r="S963" s="789"/>
      <c r="T963" s="705"/>
      <c r="U963" s="755"/>
    </row>
    <row r="964" ht="26.25" customHeight="1">
      <c r="A964" s="769"/>
      <c r="B964" s="770"/>
      <c r="C964" s="771"/>
      <c r="D964" s="705"/>
      <c r="E964" s="705"/>
      <c r="F964" s="707"/>
      <c r="G964" s="772"/>
      <c r="H964" s="772"/>
      <c r="I964" s="773"/>
      <c r="J964" s="510"/>
      <c r="K964" s="510"/>
      <c r="L964" s="510"/>
      <c r="M964" s="773"/>
      <c r="N964" s="510"/>
      <c r="O964" s="773"/>
      <c r="P964" s="773"/>
      <c r="Q964" s="705"/>
      <c r="R964" s="754"/>
      <c r="S964" s="789"/>
      <c r="T964" s="705"/>
      <c r="U964" s="755"/>
    </row>
    <row r="965" ht="26.25" customHeight="1">
      <c r="A965" s="769"/>
      <c r="B965" s="770"/>
      <c r="C965" s="771"/>
      <c r="D965" s="705"/>
      <c r="E965" s="705"/>
      <c r="F965" s="707"/>
      <c r="G965" s="772"/>
      <c r="H965" s="772"/>
      <c r="I965" s="773"/>
      <c r="J965" s="510"/>
      <c r="K965" s="510"/>
      <c r="L965" s="510"/>
      <c r="M965" s="773"/>
      <c r="N965" s="510"/>
      <c r="O965" s="773"/>
      <c r="P965" s="773"/>
      <c r="Q965" s="705"/>
      <c r="R965" s="754"/>
      <c r="S965" s="789"/>
      <c r="T965" s="705"/>
      <c r="U965" s="755"/>
    </row>
    <row r="966" ht="26.25" customHeight="1">
      <c r="A966" s="769"/>
      <c r="B966" s="770"/>
      <c r="C966" s="771"/>
      <c r="D966" s="705"/>
      <c r="E966" s="705"/>
      <c r="F966" s="707"/>
      <c r="G966" s="772"/>
      <c r="H966" s="772"/>
      <c r="I966" s="773"/>
      <c r="J966" s="510"/>
      <c r="K966" s="510"/>
      <c r="L966" s="510"/>
      <c r="M966" s="773"/>
      <c r="N966" s="510"/>
      <c r="O966" s="773"/>
      <c r="P966" s="773"/>
      <c r="Q966" s="705"/>
      <c r="R966" s="754"/>
      <c r="S966" s="789"/>
      <c r="T966" s="705"/>
      <c r="U966" s="755"/>
    </row>
    <row r="967" ht="26.25" customHeight="1">
      <c r="A967" s="769"/>
      <c r="B967" s="770"/>
      <c r="C967" s="771"/>
      <c r="D967" s="705"/>
      <c r="E967" s="705"/>
      <c r="F967" s="707"/>
      <c r="G967" s="772"/>
      <c r="H967" s="772"/>
      <c r="I967" s="773"/>
      <c r="J967" s="510"/>
      <c r="K967" s="510"/>
      <c r="L967" s="510"/>
      <c r="M967" s="773"/>
      <c r="N967" s="510"/>
      <c r="O967" s="773"/>
      <c r="P967" s="773"/>
      <c r="Q967" s="705"/>
      <c r="R967" s="754"/>
      <c r="S967" s="789"/>
      <c r="T967" s="705"/>
      <c r="U967" s="755"/>
    </row>
    <row r="968" ht="26.25" customHeight="1">
      <c r="A968" s="769"/>
      <c r="B968" s="770"/>
      <c r="C968" s="771"/>
      <c r="D968" s="705"/>
      <c r="E968" s="705"/>
      <c r="F968" s="707"/>
      <c r="G968" s="772"/>
      <c r="H968" s="772"/>
      <c r="I968" s="773"/>
      <c r="J968" s="510"/>
      <c r="K968" s="510"/>
      <c r="L968" s="510"/>
      <c r="M968" s="773"/>
      <c r="N968" s="510"/>
      <c r="O968" s="773"/>
      <c r="P968" s="773"/>
      <c r="Q968" s="705"/>
      <c r="R968" s="754"/>
      <c r="S968" s="789"/>
      <c r="T968" s="705"/>
      <c r="U968" s="755"/>
    </row>
    <row r="969" ht="26.25" customHeight="1">
      <c r="A969" s="769"/>
      <c r="B969" s="770"/>
      <c r="C969" s="771"/>
      <c r="D969" s="705"/>
      <c r="E969" s="705"/>
      <c r="F969" s="707"/>
      <c r="G969" s="772"/>
      <c r="H969" s="772"/>
      <c r="I969" s="773"/>
      <c r="J969" s="510"/>
      <c r="K969" s="510"/>
      <c r="L969" s="510"/>
      <c r="M969" s="773"/>
      <c r="N969" s="510"/>
      <c r="O969" s="773"/>
      <c r="P969" s="773"/>
      <c r="Q969" s="705"/>
      <c r="R969" s="754"/>
      <c r="S969" s="789"/>
      <c r="T969" s="705"/>
      <c r="U969" s="755"/>
    </row>
    <row r="970" ht="26.25" customHeight="1">
      <c r="A970" s="769"/>
      <c r="B970" s="770"/>
      <c r="C970" s="771"/>
      <c r="D970" s="705"/>
      <c r="E970" s="705"/>
      <c r="F970" s="707"/>
      <c r="G970" s="772"/>
      <c r="H970" s="772"/>
      <c r="I970" s="773"/>
      <c r="J970" s="510"/>
      <c r="K970" s="510"/>
      <c r="L970" s="510"/>
      <c r="M970" s="773"/>
      <c r="N970" s="510"/>
      <c r="O970" s="773"/>
      <c r="P970" s="773"/>
      <c r="Q970" s="705"/>
      <c r="R970" s="754"/>
      <c r="S970" s="789"/>
      <c r="T970" s="705"/>
      <c r="U970" s="755"/>
    </row>
    <row r="971" ht="26.25" customHeight="1">
      <c r="A971" s="769"/>
      <c r="B971" s="770"/>
      <c r="C971" s="771"/>
      <c r="D971" s="705"/>
      <c r="E971" s="705"/>
      <c r="F971" s="707"/>
      <c r="G971" s="772"/>
      <c r="H971" s="772"/>
      <c r="I971" s="773"/>
      <c r="J971" s="510"/>
      <c r="K971" s="510"/>
      <c r="L971" s="510"/>
      <c r="M971" s="773"/>
      <c r="N971" s="510"/>
      <c r="O971" s="773"/>
      <c r="P971" s="773"/>
      <c r="Q971" s="705"/>
      <c r="R971" s="754"/>
      <c r="S971" s="789"/>
      <c r="T971" s="705"/>
      <c r="U971" s="755"/>
    </row>
    <row r="972" ht="26.25" customHeight="1">
      <c r="A972" s="769"/>
      <c r="B972" s="770"/>
      <c r="C972" s="771"/>
      <c r="D972" s="705"/>
      <c r="E972" s="705"/>
      <c r="F972" s="707"/>
      <c r="G972" s="772"/>
      <c r="H972" s="772"/>
      <c r="I972" s="773"/>
      <c r="J972" s="510"/>
      <c r="K972" s="510"/>
      <c r="L972" s="510"/>
      <c r="M972" s="773"/>
      <c r="N972" s="510"/>
      <c r="O972" s="773"/>
      <c r="P972" s="773"/>
      <c r="Q972" s="705"/>
      <c r="R972" s="754"/>
      <c r="S972" s="789"/>
      <c r="T972" s="705"/>
      <c r="U972" s="755"/>
    </row>
    <row r="973" ht="26.25" customHeight="1">
      <c r="A973" s="769"/>
      <c r="B973" s="770"/>
      <c r="C973" s="771"/>
      <c r="D973" s="705"/>
      <c r="E973" s="705"/>
      <c r="F973" s="707"/>
      <c r="G973" s="772"/>
      <c r="H973" s="772"/>
      <c r="I973" s="773"/>
      <c r="J973" s="510"/>
      <c r="K973" s="510"/>
      <c r="L973" s="510"/>
      <c r="M973" s="773"/>
      <c r="N973" s="510"/>
      <c r="O973" s="773"/>
      <c r="P973" s="773"/>
      <c r="Q973" s="705"/>
      <c r="R973" s="754"/>
      <c r="S973" s="789"/>
      <c r="T973" s="705"/>
      <c r="U973" s="755"/>
    </row>
    <row r="974" ht="26.25" customHeight="1">
      <c r="A974" s="769"/>
      <c r="B974" s="770"/>
      <c r="C974" s="771"/>
      <c r="D974" s="705"/>
      <c r="E974" s="705"/>
      <c r="F974" s="707"/>
      <c r="G974" s="772"/>
      <c r="H974" s="772"/>
      <c r="I974" s="773"/>
      <c r="J974" s="510"/>
      <c r="K974" s="510"/>
      <c r="L974" s="510"/>
      <c r="M974" s="773"/>
      <c r="N974" s="510"/>
      <c r="O974" s="773"/>
      <c r="P974" s="773"/>
      <c r="Q974" s="705"/>
      <c r="R974" s="754"/>
      <c r="S974" s="789"/>
      <c r="T974" s="705"/>
      <c r="U974" s="755"/>
    </row>
    <row r="975" ht="26.25" customHeight="1">
      <c r="A975" s="769"/>
      <c r="B975" s="770"/>
      <c r="C975" s="771"/>
      <c r="D975" s="705"/>
      <c r="E975" s="705"/>
      <c r="F975" s="707"/>
      <c r="G975" s="772"/>
      <c r="H975" s="772"/>
      <c r="I975" s="773"/>
      <c r="J975" s="510"/>
      <c r="K975" s="510"/>
      <c r="L975" s="510"/>
      <c r="M975" s="773"/>
      <c r="N975" s="510"/>
      <c r="O975" s="773"/>
      <c r="P975" s="773"/>
      <c r="Q975" s="705"/>
      <c r="R975" s="754"/>
      <c r="S975" s="789"/>
      <c r="T975" s="705"/>
      <c r="U975" s="755"/>
    </row>
    <row r="976" ht="26.25" customHeight="1">
      <c r="A976" s="769"/>
      <c r="B976" s="770"/>
      <c r="C976" s="771"/>
      <c r="D976" s="705"/>
      <c r="E976" s="705"/>
      <c r="F976" s="707"/>
      <c r="G976" s="772"/>
      <c r="H976" s="772"/>
      <c r="I976" s="773"/>
      <c r="J976" s="510"/>
      <c r="K976" s="510"/>
      <c r="L976" s="510"/>
      <c r="M976" s="773"/>
      <c r="N976" s="510"/>
      <c r="O976" s="773"/>
      <c r="P976" s="773"/>
      <c r="Q976" s="705"/>
      <c r="R976" s="754"/>
      <c r="S976" s="789"/>
      <c r="T976" s="705"/>
      <c r="U976" s="755"/>
    </row>
    <row r="977" ht="26.25" customHeight="1">
      <c r="A977" s="769"/>
      <c r="B977" s="770"/>
      <c r="C977" s="771"/>
      <c r="D977" s="705"/>
      <c r="E977" s="705"/>
      <c r="F977" s="707"/>
      <c r="G977" s="772"/>
      <c r="H977" s="772"/>
      <c r="I977" s="773"/>
      <c r="J977" s="510"/>
      <c r="K977" s="510"/>
      <c r="L977" s="510"/>
      <c r="M977" s="773"/>
      <c r="N977" s="510"/>
      <c r="O977" s="773"/>
      <c r="P977" s="773"/>
      <c r="Q977" s="705"/>
      <c r="R977" s="754"/>
      <c r="S977" s="789"/>
      <c r="T977" s="705"/>
      <c r="U977" s="755"/>
    </row>
    <row r="978" ht="26.25" customHeight="1">
      <c r="A978" s="769"/>
      <c r="B978" s="770"/>
      <c r="C978" s="771"/>
      <c r="D978" s="705"/>
      <c r="E978" s="705"/>
      <c r="F978" s="707"/>
      <c r="G978" s="772"/>
      <c r="H978" s="772"/>
      <c r="I978" s="773"/>
      <c r="J978" s="510"/>
      <c r="K978" s="510"/>
      <c r="L978" s="510"/>
      <c r="M978" s="773"/>
      <c r="N978" s="510"/>
      <c r="O978" s="773"/>
      <c r="P978" s="773"/>
      <c r="Q978" s="705"/>
      <c r="R978" s="754"/>
      <c r="S978" s="789"/>
      <c r="T978" s="705"/>
      <c r="U978" s="755"/>
    </row>
    <row r="979" ht="26.25" customHeight="1">
      <c r="A979" s="769"/>
      <c r="B979" s="770"/>
      <c r="C979" s="771"/>
      <c r="D979" s="705"/>
      <c r="E979" s="705"/>
      <c r="F979" s="707"/>
      <c r="G979" s="772"/>
      <c r="H979" s="772"/>
      <c r="I979" s="773"/>
      <c r="J979" s="510"/>
      <c r="K979" s="510"/>
      <c r="L979" s="510"/>
      <c r="M979" s="773"/>
      <c r="N979" s="510"/>
      <c r="O979" s="773"/>
      <c r="P979" s="773"/>
      <c r="Q979" s="705"/>
      <c r="R979" s="754"/>
      <c r="S979" s="789"/>
      <c r="T979" s="705"/>
      <c r="U979" s="755"/>
    </row>
    <row r="980" ht="26.25" customHeight="1">
      <c r="A980" s="769"/>
      <c r="B980" s="770"/>
      <c r="C980" s="771"/>
      <c r="D980" s="705"/>
      <c r="E980" s="705"/>
      <c r="F980" s="707"/>
      <c r="G980" s="772"/>
      <c r="H980" s="772"/>
      <c r="I980" s="773"/>
      <c r="J980" s="510"/>
      <c r="K980" s="510"/>
      <c r="L980" s="510"/>
      <c r="M980" s="773"/>
      <c r="N980" s="510"/>
      <c r="O980" s="773"/>
      <c r="P980" s="773"/>
      <c r="Q980" s="705"/>
      <c r="R980" s="754"/>
      <c r="S980" s="789"/>
      <c r="T980" s="705"/>
      <c r="U980" s="755"/>
    </row>
    <row r="981" ht="26.25" customHeight="1">
      <c r="A981" s="769"/>
      <c r="B981" s="770"/>
      <c r="C981" s="771"/>
      <c r="D981" s="705"/>
      <c r="E981" s="705"/>
      <c r="F981" s="707"/>
      <c r="G981" s="772"/>
      <c r="H981" s="772"/>
      <c r="I981" s="773"/>
      <c r="J981" s="510"/>
      <c r="K981" s="510"/>
      <c r="L981" s="510"/>
      <c r="M981" s="773"/>
      <c r="N981" s="510"/>
      <c r="O981" s="773"/>
      <c r="P981" s="773"/>
      <c r="Q981" s="705"/>
      <c r="R981" s="754"/>
      <c r="S981" s="789"/>
      <c r="T981" s="705"/>
      <c r="U981" s="755"/>
    </row>
    <row r="982" ht="26.25" customHeight="1">
      <c r="A982" s="769"/>
      <c r="B982" s="770"/>
      <c r="C982" s="771"/>
      <c r="D982" s="705"/>
      <c r="E982" s="705"/>
      <c r="F982" s="707"/>
      <c r="G982" s="772"/>
      <c r="H982" s="772"/>
      <c r="I982" s="773"/>
      <c r="J982" s="510"/>
      <c r="K982" s="510"/>
      <c r="L982" s="510"/>
      <c r="M982" s="773"/>
      <c r="N982" s="510"/>
      <c r="O982" s="773"/>
      <c r="P982" s="773"/>
      <c r="Q982" s="705"/>
      <c r="R982" s="754"/>
      <c r="S982" s="789"/>
      <c r="T982" s="705"/>
      <c r="U982" s="755"/>
    </row>
    <row r="983" ht="26.25" customHeight="1">
      <c r="A983" s="769"/>
      <c r="B983" s="770"/>
      <c r="C983" s="771"/>
      <c r="D983" s="705"/>
      <c r="E983" s="705"/>
      <c r="F983" s="707"/>
      <c r="G983" s="772"/>
      <c r="H983" s="772"/>
      <c r="I983" s="773"/>
      <c r="J983" s="510"/>
      <c r="K983" s="510"/>
      <c r="L983" s="510"/>
      <c r="M983" s="773"/>
      <c r="N983" s="510"/>
      <c r="O983" s="773"/>
      <c r="P983" s="773"/>
      <c r="Q983" s="705"/>
      <c r="R983" s="754"/>
      <c r="S983" s="789"/>
      <c r="T983" s="705"/>
      <c r="U983" s="755"/>
    </row>
    <row r="984" ht="26.25" customHeight="1">
      <c r="A984" s="769"/>
      <c r="B984" s="770"/>
      <c r="C984" s="771"/>
      <c r="D984" s="705"/>
      <c r="E984" s="705"/>
      <c r="F984" s="707"/>
      <c r="G984" s="772"/>
      <c r="H984" s="772"/>
      <c r="I984" s="773"/>
      <c r="J984" s="510"/>
      <c r="K984" s="510"/>
      <c r="L984" s="510"/>
      <c r="M984" s="773"/>
      <c r="N984" s="510"/>
      <c r="O984" s="773"/>
      <c r="P984" s="773"/>
      <c r="Q984" s="705"/>
      <c r="R984" s="754"/>
      <c r="S984" s="789"/>
      <c r="T984" s="705"/>
      <c r="U984" s="755"/>
    </row>
    <row r="985" ht="26.25" customHeight="1">
      <c r="A985" s="769"/>
      <c r="B985" s="770"/>
      <c r="C985" s="771"/>
      <c r="D985" s="705"/>
      <c r="E985" s="705"/>
      <c r="F985" s="707"/>
      <c r="G985" s="772"/>
      <c r="H985" s="772"/>
      <c r="I985" s="773"/>
      <c r="J985" s="510"/>
      <c r="K985" s="510"/>
      <c r="L985" s="510"/>
      <c r="M985" s="773"/>
      <c r="N985" s="510"/>
      <c r="O985" s="773"/>
      <c r="P985" s="773"/>
      <c r="Q985" s="705"/>
      <c r="R985" s="754"/>
      <c r="S985" s="789"/>
      <c r="T985" s="705"/>
      <c r="U985" s="755"/>
    </row>
    <row r="986" ht="26.25" customHeight="1">
      <c r="A986" s="769"/>
      <c r="B986" s="770"/>
      <c r="C986" s="771"/>
      <c r="D986" s="705"/>
      <c r="E986" s="705"/>
      <c r="F986" s="707"/>
      <c r="G986" s="772"/>
      <c r="H986" s="772"/>
      <c r="I986" s="773"/>
      <c r="J986" s="510"/>
      <c r="K986" s="510"/>
      <c r="L986" s="510"/>
      <c r="M986" s="773"/>
      <c r="N986" s="510"/>
      <c r="O986" s="773"/>
      <c r="P986" s="773"/>
      <c r="Q986" s="705"/>
      <c r="R986" s="754"/>
      <c r="S986" s="789"/>
      <c r="T986" s="705"/>
      <c r="U986" s="755"/>
    </row>
    <row r="987" ht="26.25" customHeight="1">
      <c r="A987" s="769"/>
      <c r="B987" s="770"/>
      <c r="C987" s="771"/>
      <c r="D987" s="705"/>
      <c r="E987" s="705"/>
      <c r="F987" s="707"/>
      <c r="G987" s="772"/>
      <c r="H987" s="772"/>
      <c r="I987" s="773"/>
      <c r="J987" s="510"/>
      <c r="K987" s="510"/>
      <c r="L987" s="510"/>
      <c r="M987" s="773"/>
      <c r="N987" s="510"/>
      <c r="O987" s="773"/>
      <c r="P987" s="773"/>
      <c r="Q987" s="705"/>
      <c r="R987" s="754"/>
      <c r="S987" s="789"/>
      <c r="T987" s="705"/>
      <c r="U987" s="755"/>
    </row>
    <row r="988" ht="26.25" customHeight="1">
      <c r="A988" s="769"/>
      <c r="B988" s="770"/>
      <c r="C988" s="771"/>
      <c r="D988" s="705"/>
      <c r="E988" s="705"/>
      <c r="F988" s="707"/>
      <c r="G988" s="772"/>
      <c r="H988" s="772"/>
      <c r="I988" s="773"/>
      <c r="J988" s="510"/>
      <c r="K988" s="510"/>
      <c r="L988" s="510"/>
      <c r="M988" s="773"/>
      <c r="N988" s="510"/>
      <c r="O988" s="773"/>
      <c r="P988" s="773"/>
      <c r="Q988" s="705"/>
      <c r="R988" s="754"/>
      <c r="S988" s="789"/>
      <c r="T988" s="705"/>
      <c r="U988" s="755"/>
    </row>
    <row r="989" ht="26.25" customHeight="1">
      <c r="A989" s="769"/>
      <c r="B989" s="770"/>
      <c r="C989" s="771"/>
      <c r="D989" s="705"/>
      <c r="E989" s="705"/>
      <c r="F989" s="707"/>
      <c r="G989" s="772"/>
      <c r="H989" s="772"/>
      <c r="I989" s="773"/>
      <c r="J989" s="510"/>
      <c r="K989" s="510"/>
      <c r="L989" s="510"/>
      <c r="M989" s="773"/>
      <c r="N989" s="510"/>
      <c r="O989" s="773"/>
      <c r="P989" s="773"/>
      <c r="Q989" s="705"/>
      <c r="R989" s="754"/>
      <c r="S989" s="789"/>
      <c r="T989" s="705"/>
      <c r="U989" s="755"/>
    </row>
    <row r="990" ht="26.25" customHeight="1">
      <c r="A990" s="769"/>
      <c r="B990" s="770"/>
      <c r="C990" s="771"/>
      <c r="D990" s="705"/>
      <c r="E990" s="705"/>
      <c r="F990" s="707"/>
      <c r="G990" s="772"/>
      <c r="H990" s="772"/>
      <c r="I990" s="773"/>
      <c r="J990" s="510"/>
      <c r="K990" s="510"/>
      <c r="L990" s="510"/>
      <c r="M990" s="773"/>
      <c r="N990" s="510"/>
      <c r="O990" s="773"/>
      <c r="P990" s="773"/>
      <c r="Q990" s="705"/>
      <c r="R990" s="754"/>
      <c r="S990" s="789"/>
      <c r="T990" s="705"/>
      <c r="U990" s="755"/>
    </row>
    <row r="991" ht="26.25" customHeight="1">
      <c r="A991" s="769"/>
      <c r="B991" s="770"/>
      <c r="C991" s="771"/>
      <c r="D991" s="705"/>
      <c r="E991" s="705"/>
      <c r="F991" s="707"/>
      <c r="G991" s="772"/>
      <c r="H991" s="772"/>
      <c r="I991" s="773"/>
      <c r="J991" s="510"/>
      <c r="K991" s="510"/>
      <c r="L991" s="510"/>
      <c r="M991" s="773"/>
      <c r="N991" s="510"/>
      <c r="O991" s="773"/>
      <c r="P991" s="773"/>
      <c r="Q991" s="705"/>
      <c r="R991" s="754"/>
      <c r="S991" s="789"/>
      <c r="T991" s="705"/>
      <c r="U991" s="755"/>
    </row>
    <row r="992" ht="26.25" customHeight="1">
      <c r="A992" s="769"/>
      <c r="B992" s="770"/>
      <c r="C992" s="771"/>
      <c r="D992" s="705"/>
      <c r="E992" s="705"/>
      <c r="F992" s="707"/>
      <c r="G992" s="772"/>
      <c r="H992" s="772"/>
      <c r="I992" s="773"/>
      <c r="J992" s="510"/>
      <c r="K992" s="510"/>
      <c r="L992" s="510"/>
      <c r="M992" s="773"/>
      <c r="N992" s="510"/>
      <c r="O992" s="773"/>
      <c r="P992" s="773"/>
      <c r="Q992" s="705"/>
      <c r="R992" s="754"/>
      <c r="S992" s="789"/>
      <c r="T992" s="705"/>
      <c r="U992" s="755"/>
    </row>
    <row r="993" ht="26.25" customHeight="1">
      <c r="A993" s="769"/>
      <c r="B993" s="770"/>
      <c r="C993" s="771"/>
      <c r="D993" s="705"/>
      <c r="E993" s="705"/>
      <c r="F993" s="707"/>
      <c r="G993" s="772"/>
      <c r="H993" s="772"/>
      <c r="I993" s="773"/>
      <c r="J993" s="510"/>
      <c r="K993" s="510"/>
      <c r="L993" s="510"/>
      <c r="M993" s="773"/>
      <c r="N993" s="510"/>
      <c r="O993" s="773"/>
      <c r="P993" s="773"/>
      <c r="Q993" s="705"/>
      <c r="R993" s="754"/>
      <c r="S993" s="789"/>
      <c r="T993" s="705"/>
      <c r="U993" s="755"/>
    </row>
    <row r="994" ht="26.25" customHeight="1">
      <c r="A994" s="769"/>
      <c r="B994" s="770"/>
      <c r="C994" s="771"/>
      <c r="D994" s="705"/>
      <c r="E994" s="705"/>
      <c r="F994" s="707"/>
      <c r="G994" s="772"/>
      <c r="H994" s="772"/>
      <c r="I994" s="773"/>
      <c r="J994" s="510"/>
      <c r="K994" s="510"/>
      <c r="L994" s="510"/>
      <c r="M994" s="773"/>
      <c r="N994" s="510"/>
      <c r="O994" s="773"/>
      <c r="P994" s="773"/>
      <c r="Q994" s="705"/>
      <c r="R994" s="754"/>
      <c r="S994" s="789"/>
      <c r="T994" s="705"/>
      <c r="U994" s="755"/>
    </row>
    <row r="995" ht="26.25" customHeight="1">
      <c r="A995" s="769"/>
      <c r="B995" s="770"/>
      <c r="C995" s="771"/>
      <c r="D995" s="705"/>
      <c r="E995" s="705"/>
      <c r="F995" s="707"/>
      <c r="G995" s="772"/>
      <c r="H995" s="772"/>
      <c r="I995" s="773"/>
      <c r="J995" s="510"/>
      <c r="K995" s="510"/>
      <c r="L995" s="510"/>
      <c r="M995" s="773"/>
      <c r="N995" s="510"/>
      <c r="O995" s="773"/>
      <c r="P995" s="773"/>
      <c r="Q995" s="705"/>
      <c r="R995" s="754"/>
      <c r="S995" s="789"/>
      <c r="T995" s="705"/>
      <c r="U995" s="755"/>
    </row>
    <row r="996" ht="26.25" customHeight="1">
      <c r="A996" s="769"/>
      <c r="B996" s="770"/>
      <c r="C996" s="771"/>
      <c r="D996" s="705"/>
      <c r="E996" s="705"/>
      <c r="F996" s="707"/>
      <c r="G996" s="772"/>
      <c r="H996" s="772"/>
      <c r="I996" s="773"/>
      <c r="J996" s="510"/>
      <c r="K996" s="510"/>
      <c r="L996" s="510"/>
      <c r="M996" s="773"/>
      <c r="N996" s="510"/>
      <c r="O996" s="773"/>
      <c r="P996" s="773"/>
      <c r="Q996" s="705"/>
      <c r="R996" s="754"/>
      <c r="S996" s="789"/>
      <c r="T996" s="705"/>
      <c r="U996" s="755"/>
    </row>
    <row r="997" ht="26.25" customHeight="1">
      <c r="A997" s="769"/>
      <c r="B997" s="770"/>
      <c r="C997" s="771"/>
      <c r="D997" s="705"/>
      <c r="E997" s="705"/>
      <c r="F997" s="707"/>
      <c r="G997" s="772"/>
      <c r="H997" s="772"/>
      <c r="I997" s="773"/>
      <c r="J997" s="510"/>
      <c r="K997" s="510"/>
      <c r="L997" s="510"/>
      <c r="M997" s="773"/>
      <c r="N997" s="510"/>
      <c r="O997" s="773"/>
      <c r="P997" s="773"/>
      <c r="Q997" s="705"/>
      <c r="R997" s="754"/>
      <c r="S997" s="789"/>
      <c r="T997" s="705"/>
      <c r="U997" s="755"/>
    </row>
    <row r="998" ht="26.25" customHeight="1">
      <c r="A998" s="769"/>
      <c r="B998" s="770"/>
      <c r="C998" s="771"/>
      <c r="D998" s="705"/>
      <c r="E998" s="705"/>
      <c r="F998" s="707"/>
      <c r="G998" s="772"/>
      <c r="H998" s="772"/>
      <c r="I998" s="773"/>
      <c r="J998" s="510"/>
      <c r="K998" s="510"/>
      <c r="L998" s="510"/>
      <c r="M998" s="773"/>
      <c r="N998" s="510"/>
      <c r="O998" s="773"/>
      <c r="P998" s="773"/>
      <c r="Q998" s="705"/>
      <c r="R998" s="754"/>
      <c r="S998" s="789"/>
      <c r="T998" s="705"/>
      <c r="U998" s="755"/>
    </row>
    <row r="999" ht="26.25" customHeight="1">
      <c r="A999" s="769"/>
      <c r="B999" s="770"/>
      <c r="C999" s="771"/>
      <c r="D999" s="705"/>
      <c r="E999" s="705"/>
      <c r="F999" s="707"/>
      <c r="G999" s="772"/>
      <c r="H999" s="772"/>
      <c r="I999" s="773"/>
      <c r="J999" s="510"/>
      <c r="K999" s="510"/>
      <c r="L999" s="510"/>
      <c r="M999" s="773"/>
      <c r="N999" s="510"/>
      <c r="O999" s="773"/>
      <c r="P999" s="773"/>
      <c r="Q999" s="705"/>
      <c r="R999" s="754"/>
      <c r="S999" s="789"/>
      <c r="T999" s="705"/>
      <c r="U999" s="755"/>
    </row>
    <row r="1000" ht="26.25" customHeight="1">
      <c r="A1000" s="769"/>
      <c r="B1000" s="770"/>
      <c r="C1000" s="771"/>
      <c r="D1000" s="705"/>
      <c r="E1000" s="705"/>
      <c r="F1000" s="707"/>
      <c r="G1000" s="772"/>
      <c r="H1000" s="772"/>
      <c r="I1000" s="773"/>
      <c r="J1000" s="510"/>
      <c r="K1000" s="510"/>
      <c r="L1000" s="510"/>
      <c r="M1000" s="773"/>
      <c r="N1000" s="510"/>
      <c r="O1000" s="773"/>
      <c r="P1000" s="773"/>
      <c r="Q1000" s="705"/>
      <c r="R1000" s="754"/>
      <c r="S1000" s="789"/>
      <c r="T1000" s="705"/>
      <c r="U1000" s="755"/>
    </row>
    <row r="1001" ht="26.25" customHeight="1">
      <c r="A1001" s="769"/>
      <c r="B1001" s="770"/>
      <c r="C1001" s="771"/>
      <c r="D1001" s="705"/>
      <c r="E1001" s="705"/>
      <c r="F1001" s="707"/>
      <c r="G1001" s="772"/>
      <c r="H1001" s="772"/>
      <c r="I1001" s="773"/>
      <c r="J1001" s="510"/>
      <c r="K1001" s="510"/>
      <c r="L1001" s="510"/>
      <c r="M1001" s="773"/>
      <c r="N1001" s="510"/>
      <c r="O1001" s="773"/>
      <c r="P1001" s="773"/>
      <c r="Q1001" s="705"/>
      <c r="R1001" s="754"/>
      <c r="S1001" s="789"/>
      <c r="T1001" s="705"/>
      <c r="U1001" s="755"/>
    </row>
    <row r="1002" ht="26.25" customHeight="1">
      <c r="A1002" s="769"/>
      <c r="B1002" s="770"/>
      <c r="C1002" s="771"/>
      <c r="D1002" s="705"/>
      <c r="E1002" s="705"/>
      <c r="F1002" s="707"/>
      <c r="G1002" s="772"/>
      <c r="H1002" s="772"/>
      <c r="I1002" s="773"/>
      <c r="J1002" s="510"/>
      <c r="K1002" s="510"/>
      <c r="L1002" s="510"/>
      <c r="M1002" s="773"/>
      <c r="N1002" s="510"/>
      <c r="O1002" s="773"/>
      <c r="P1002" s="773"/>
      <c r="Q1002" s="705"/>
      <c r="R1002" s="754"/>
      <c r="S1002" s="789"/>
      <c r="T1002" s="705"/>
      <c r="U1002" s="755"/>
    </row>
    <row r="1003" ht="26.25" customHeight="1">
      <c r="A1003" s="769"/>
      <c r="B1003" s="770"/>
      <c r="C1003" s="771"/>
      <c r="D1003" s="705"/>
      <c r="E1003" s="705"/>
      <c r="F1003" s="707"/>
      <c r="G1003" s="772"/>
      <c r="H1003" s="772"/>
      <c r="I1003" s="773"/>
      <c r="J1003" s="510"/>
      <c r="K1003" s="510"/>
      <c r="L1003" s="510"/>
      <c r="M1003" s="773"/>
      <c r="N1003" s="510"/>
      <c r="O1003" s="773"/>
      <c r="P1003" s="773"/>
      <c r="Q1003" s="705"/>
      <c r="R1003" s="754"/>
      <c r="S1003" s="789"/>
      <c r="T1003" s="705"/>
      <c r="U1003" s="755"/>
    </row>
    <row r="1004" ht="26.25" customHeight="1">
      <c r="A1004" s="769"/>
      <c r="B1004" s="770"/>
      <c r="C1004" s="771"/>
      <c r="D1004" s="705"/>
      <c r="E1004" s="705"/>
      <c r="F1004" s="707"/>
      <c r="G1004" s="772"/>
      <c r="H1004" s="772"/>
      <c r="I1004" s="773"/>
      <c r="J1004" s="510"/>
      <c r="K1004" s="510"/>
      <c r="L1004" s="510"/>
      <c r="M1004" s="773"/>
      <c r="N1004" s="510"/>
      <c r="O1004" s="773"/>
      <c r="P1004" s="773"/>
      <c r="Q1004" s="705"/>
      <c r="R1004" s="754"/>
      <c r="S1004" s="789"/>
      <c r="T1004" s="705"/>
      <c r="U1004" s="755"/>
    </row>
    <row r="1005" ht="26.25" customHeight="1">
      <c r="A1005" s="769"/>
      <c r="B1005" s="770"/>
      <c r="C1005" s="771"/>
      <c r="D1005" s="705"/>
      <c r="E1005" s="705"/>
      <c r="F1005" s="707"/>
      <c r="G1005" s="772"/>
      <c r="H1005" s="772"/>
      <c r="I1005" s="773"/>
      <c r="J1005" s="510"/>
      <c r="K1005" s="510"/>
      <c r="L1005" s="510"/>
      <c r="M1005" s="773"/>
      <c r="N1005" s="510"/>
      <c r="O1005" s="773"/>
      <c r="P1005" s="773"/>
      <c r="Q1005" s="705"/>
      <c r="R1005" s="754"/>
      <c r="S1005" s="789"/>
      <c r="T1005" s="705"/>
      <c r="U1005" s="755"/>
    </row>
    <row r="1006" ht="26.25" customHeight="1">
      <c r="A1006" s="769"/>
      <c r="B1006" s="770"/>
      <c r="C1006" s="771"/>
      <c r="D1006" s="705"/>
      <c r="E1006" s="705"/>
      <c r="F1006" s="707"/>
      <c r="G1006" s="772"/>
      <c r="H1006" s="772"/>
      <c r="I1006" s="773"/>
      <c r="J1006" s="510"/>
      <c r="K1006" s="510"/>
      <c r="L1006" s="510"/>
      <c r="M1006" s="773"/>
      <c r="N1006" s="510"/>
      <c r="O1006" s="773"/>
      <c r="P1006" s="773"/>
      <c r="Q1006" s="705"/>
      <c r="R1006" s="754"/>
      <c r="S1006" s="789"/>
      <c r="T1006" s="705"/>
      <c r="U1006" s="755"/>
    </row>
    <row r="1007" ht="26.25" customHeight="1">
      <c r="A1007" s="769"/>
      <c r="B1007" s="770"/>
      <c r="C1007" s="771"/>
      <c r="D1007" s="705"/>
      <c r="E1007" s="705"/>
      <c r="F1007" s="707"/>
      <c r="G1007" s="772"/>
      <c r="H1007" s="772"/>
      <c r="I1007" s="773"/>
      <c r="J1007" s="510"/>
      <c r="K1007" s="510"/>
      <c r="L1007" s="510"/>
      <c r="M1007" s="773"/>
      <c r="N1007" s="510"/>
      <c r="O1007" s="773"/>
      <c r="P1007" s="773"/>
      <c r="Q1007" s="705"/>
      <c r="R1007" s="754"/>
      <c r="S1007" s="789"/>
      <c r="T1007" s="705"/>
      <c r="U1007" s="755"/>
    </row>
    <row r="1008" ht="26.25" customHeight="1">
      <c r="A1008" s="769"/>
      <c r="B1008" s="770"/>
      <c r="C1008" s="771"/>
      <c r="D1008" s="705"/>
      <c r="E1008" s="705"/>
      <c r="F1008" s="707"/>
      <c r="G1008" s="772"/>
      <c r="H1008" s="772"/>
      <c r="I1008" s="773"/>
      <c r="J1008" s="510"/>
      <c r="K1008" s="510"/>
      <c r="L1008" s="510"/>
      <c r="M1008" s="773"/>
      <c r="N1008" s="510"/>
      <c r="O1008" s="773"/>
      <c r="P1008" s="773"/>
      <c r="Q1008" s="705"/>
      <c r="R1008" s="754"/>
      <c r="S1008" s="789"/>
      <c r="T1008" s="705"/>
      <c r="U1008" s="755"/>
    </row>
    <row r="1009" ht="26.25" customHeight="1">
      <c r="A1009" s="769"/>
      <c r="B1009" s="770"/>
      <c r="C1009" s="771"/>
      <c r="D1009" s="705"/>
      <c r="E1009" s="705"/>
      <c r="F1009" s="707"/>
      <c r="G1009" s="772"/>
      <c r="H1009" s="772"/>
      <c r="I1009" s="773"/>
      <c r="J1009" s="510"/>
      <c r="K1009" s="510"/>
      <c r="L1009" s="510"/>
      <c r="M1009" s="773"/>
      <c r="N1009" s="510"/>
      <c r="O1009" s="773"/>
      <c r="P1009" s="773"/>
      <c r="Q1009" s="705"/>
      <c r="R1009" s="754"/>
      <c r="S1009" s="789"/>
      <c r="T1009" s="705"/>
      <c r="U1009" s="755"/>
    </row>
    <row r="1010" ht="26.25" customHeight="1">
      <c r="A1010" s="769"/>
      <c r="B1010" s="770"/>
      <c r="C1010" s="771"/>
      <c r="D1010" s="705"/>
      <c r="E1010" s="705"/>
      <c r="F1010" s="707"/>
      <c r="G1010" s="772"/>
      <c r="H1010" s="772"/>
      <c r="I1010" s="773"/>
      <c r="J1010" s="510"/>
      <c r="K1010" s="510"/>
      <c r="L1010" s="510"/>
      <c r="M1010" s="773"/>
      <c r="N1010" s="510"/>
      <c r="O1010" s="773"/>
      <c r="P1010" s="773"/>
      <c r="Q1010" s="705"/>
      <c r="R1010" s="754"/>
      <c r="S1010" s="789"/>
      <c r="T1010" s="705"/>
      <c r="U1010" s="755"/>
    </row>
    <row r="1011" ht="26.25" customHeight="1">
      <c r="A1011" s="769"/>
      <c r="B1011" s="770"/>
      <c r="C1011" s="771"/>
      <c r="D1011" s="705"/>
      <c r="E1011" s="705"/>
      <c r="F1011" s="707"/>
      <c r="G1011" s="772"/>
      <c r="H1011" s="772"/>
      <c r="I1011" s="773"/>
      <c r="J1011" s="510"/>
      <c r="K1011" s="510"/>
      <c r="L1011" s="510"/>
      <c r="M1011" s="773"/>
      <c r="N1011" s="510"/>
      <c r="O1011" s="773"/>
      <c r="P1011" s="773"/>
      <c r="Q1011" s="705"/>
      <c r="R1011" s="754"/>
      <c r="S1011" s="789"/>
      <c r="T1011" s="705"/>
      <c r="U1011" s="755"/>
    </row>
    <row r="1012" ht="26.25" customHeight="1">
      <c r="A1012" s="769"/>
      <c r="B1012" s="770"/>
      <c r="C1012" s="771"/>
      <c r="D1012" s="705"/>
      <c r="E1012" s="705"/>
      <c r="F1012" s="707"/>
      <c r="G1012" s="772"/>
      <c r="H1012" s="772"/>
      <c r="I1012" s="773"/>
      <c r="J1012" s="510"/>
      <c r="K1012" s="510"/>
      <c r="L1012" s="510"/>
      <c r="M1012" s="773"/>
      <c r="N1012" s="510"/>
      <c r="O1012" s="773"/>
      <c r="P1012" s="773"/>
      <c r="Q1012" s="705"/>
      <c r="R1012" s="754"/>
      <c r="S1012" s="789"/>
      <c r="T1012" s="705"/>
      <c r="U1012" s="755"/>
    </row>
    <row r="1013" ht="26.25" customHeight="1">
      <c r="A1013" s="769"/>
      <c r="B1013" s="770"/>
      <c r="C1013" s="771"/>
      <c r="D1013" s="705"/>
      <c r="E1013" s="705"/>
      <c r="F1013" s="707"/>
      <c r="G1013" s="772"/>
      <c r="H1013" s="772"/>
      <c r="I1013" s="773"/>
      <c r="J1013" s="510"/>
      <c r="K1013" s="510"/>
      <c r="L1013" s="510"/>
      <c r="M1013" s="773"/>
      <c r="N1013" s="510"/>
      <c r="O1013" s="773"/>
      <c r="P1013" s="773"/>
      <c r="Q1013" s="705"/>
      <c r="R1013" s="754"/>
      <c r="S1013" s="789"/>
      <c r="T1013" s="705"/>
      <c r="U1013" s="755"/>
    </row>
    <row r="1014" ht="26.25" customHeight="1">
      <c r="A1014" s="769"/>
      <c r="B1014" s="770"/>
      <c r="C1014" s="771"/>
      <c r="D1014" s="705"/>
      <c r="E1014" s="705"/>
      <c r="F1014" s="707"/>
      <c r="G1014" s="772"/>
      <c r="H1014" s="772"/>
      <c r="I1014" s="773"/>
      <c r="J1014" s="510"/>
      <c r="K1014" s="510"/>
      <c r="L1014" s="510"/>
      <c r="M1014" s="773"/>
      <c r="N1014" s="510"/>
      <c r="O1014" s="773"/>
      <c r="P1014" s="773"/>
      <c r="Q1014" s="705"/>
      <c r="R1014" s="754"/>
      <c r="S1014" s="789"/>
      <c r="T1014" s="705"/>
      <c r="U1014" s="755"/>
    </row>
    <row r="1015" ht="26.25" customHeight="1">
      <c r="A1015" s="769"/>
      <c r="B1015" s="770"/>
      <c r="C1015" s="771"/>
      <c r="D1015" s="705"/>
      <c r="E1015" s="705"/>
      <c r="F1015" s="707"/>
      <c r="G1015" s="772"/>
      <c r="H1015" s="772"/>
      <c r="I1015" s="773"/>
      <c r="J1015" s="510"/>
      <c r="K1015" s="510"/>
      <c r="L1015" s="510"/>
      <c r="M1015" s="773"/>
      <c r="N1015" s="510"/>
      <c r="O1015" s="773"/>
      <c r="P1015" s="773"/>
      <c r="Q1015" s="705"/>
      <c r="R1015" s="754"/>
      <c r="S1015" s="789"/>
      <c r="T1015" s="705"/>
      <c r="U1015" s="755"/>
    </row>
    <row r="1016" ht="26.25" customHeight="1">
      <c r="A1016" s="769"/>
      <c r="B1016" s="770"/>
      <c r="C1016" s="771"/>
      <c r="D1016" s="705"/>
      <c r="E1016" s="705"/>
      <c r="F1016" s="707"/>
      <c r="G1016" s="772"/>
      <c r="H1016" s="772"/>
      <c r="I1016" s="773"/>
      <c r="J1016" s="510"/>
      <c r="K1016" s="510"/>
      <c r="L1016" s="510"/>
      <c r="M1016" s="773"/>
      <c r="N1016" s="510"/>
      <c r="O1016" s="773"/>
      <c r="P1016" s="773"/>
      <c r="Q1016" s="705"/>
      <c r="R1016" s="754"/>
      <c r="S1016" s="789"/>
      <c r="T1016" s="705"/>
      <c r="U1016" s="755"/>
    </row>
    <row r="1017" ht="26.25" customHeight="1">
      <c r="A1017" s="769"/>
      <c r="B1017" s="770"/>
      <c r="C1017" s="771"/>
      <c r="D1017" s="705"/>
      <c r="E1017" s="705"/>
      <c r="F1017" s="707"/>
      <c r="G1017" s="772"/>
      <c r="H1017" s="772"/>
      <c r="I1017" s="773"/>
      <c r="J1017" s="510"/>
      <c r="K1017" s="510"/>
      <c r="L1017" s="510"/>
      <c r="M1017" s="773"/>
      <c r="N1017" s="510"/>
      <c r="O1017" s="773"/>
      <c r="P1017" s="773"/>
      <c r="Q1017" s="705"/>
      <c r="R1017" s="754"/>
      <c r="S1017" s="789"/>
      <c r="T1017" s="705"/>
      <c r="U1017" s="755"/>
    </row>
    <row r="1018" ht="26.25" customHeight="1">
      <c r="A1018" s="769"/>
      <c r="B1018" s="770"/>
      <c r="C1018" s="771"/>
      <c r="D1018" s="705"/>
      <c r="E1018" s="705"/>
      <c r="F1018" s="707"/>
      <c r="G1018" s="772"/>
      <c r="H1018" s="772"/>
      <c r="I1018" s="773"/>
      <c r="J1018" s="510"/>
      <c r="K1018" s="510"/>
      <c r="L1018" s="510"/>
      <c r="M1018" s="773"/>
      <c r="N1018" s="510"/>
      <c r="O1018" s="773"/>
      <c r="P1018" s="773"/>
      <c r="Q1018" s="705"/>
      <c r="R1018" s="754"/>
      <c r="S1018" s="789"/>
      <c r="T1018" s="705"/>
      <c r="U1018" s="755"/>
    </row>
    <row r="1019" ht="26.25" customHeight="1">
      <c r="A1019" s="769"/>
      <c r="B1019" s="770"/>
      <c r="C1019" s="771"/>
      <c r="D1019" s="705"/>
      <c r="E1019" s="705"/>
      <c r="F1019" s="707"/>
      <c r="G1019" s="772"/>
      <c r="H1019" s="772"/>
      <c r="I1019" s="773"/>
      <c r="J1019" s="510"/>
      <c r="K1019" s="510"/>
      <c r="L1019" s="510"/>
      <c r="M1019" s="773"/>
      <c r="N1019" s="510"/>
      <c r="O1019" s="773"/>
      <c r="P1019" s="773"/>
      <c r="Q1019" s="705"/>
      <c r="R1019" s="754"/>
      <c r="S1019" s="789"/>
      <c r="T1019" s="705"/>
      <c r="U1019" s="755"/>
    </row>
    <row r="1020" ht="26.25" customHeight="1">
      <c r="A1020" s="769"/>
      <c r="B1020" s="770"/>
      <c r="C1020" s="771"/>
      <c r="D1020" s="705"/>
      <c r="E1020" s="705"/>
      <c r="F1020" s="707"/>
      <c r="G1020" s="772"/>
      <c r="H1020" s="772"/>
      <c r="I1020" s="773"/>
      <c r="J1020" s="510"/>
      <c r="K1020" s="510"/>
      <c r="L1020" s="510"/>
      <c r="M1020" s="773"/>
      <c r="N1020" s="510"/>
      <c r="O1020" s="773"/>
      <c r="P1020" s="773"/>
      <c r="Q1020" s="705"/>
      <c r="R1020" s="754"/>
      <c r="S1020" s="789"/>
      <c r="T1020" s="705"/>
      <c r="U1020" s="755"/>
    </row>
    <row r="1021" ht="26.25" customHeight="1">
      <c r="A1021" s="769"/>
      <c r="B1021" s="770"/>
      <c r="C1021" s="771"/>
      <c r="D1021" s="705"/>
      <c r="E1021" s="705"/>
      <c r="F1021" s="707"/>
      <c r="G1021" s="772"/>
      <c r="H1021" s="772"/>
      <c r="I1021" s="773"/>
      <c r="J1021" s="510"/>
      <c r="K1021" s="510"/>
      <c r="L1021" s="510"/>
      <c r="M1021" s="773"/>
      <c r="N1021" s="510"/>
      <c r="O1021" s="773"/>
      <c r="P1021" s="773"/>
      <c r="Q1021" s="705"/>
      <c r="R1021" s="754"/>
      <c r="S1021" s="789"/>
      <c r="T1021" s="705"/>
      <c r="U1021" s="755"/>
    </row>
    <row r="1022" ht="26.25" customHeight="1">
      <c r="A1022" s="769"/>
      <c r="B1022" s="770"/>
      <c r="C1022" s="771"/>
      <c r="D1022" s="705"/>
      <c r="E1022" s="705"/>
      <c r="F1022" s="707"/>
      <c r="G1022" s="772"/>
      <c r="H1022" s="772"/>
      <c r="I1022" s="773"/>
      <c r="J1022" s="510"/>
      <c r="K1022" s="510"/>
      <c r="L1022" s="510"/>
      <c r="M1022" s="773"/>
      <c r="N1022" s="510"/>
      <c r="O1022" s="773"/>
      <c r="P1022" s="773"/>
      <c r="Q1022" s="705"/>
      <c r="R1022" s="754"/>
      <c r="S1022" s="789"/>
      <c r="T1022" s="705"/>
      <c r="U1022" s="755"/>
    </row>
    <row r="1023" ht="26.25" customHeight="1">
      <c r="A1023" s="769"/>
      <c r="B1023" s="770"/>
      <c r="C1023" s="771"/>
      <c r="D1023" s="705"/>
      <c r="E1023" s="705"/>
      <c r="F1023" s="707"/>
      <c r="G1023" s="772"/>
      <c r="H1023" s="772"/>
      <c r="I1023" s="773"/>
      <c r="J1023" s="510"/>
      <c r="K1023" s="510"/>
      <c r="L1023" s="510"/>
      <c r="M1023" s="773"/>
      <c r="N1023" s="510"/>
      <c r="O1023" s="773"/>
      <c r="P1023" s="773"/>
      <c r="Q1023" s="705"/>
      <c r="R1023" s="754"/>
      <c r="S1023" s="789"/>
      <c r="T1023" s="705"/>
      <c r="U1023" s="755"/>
    </row>
    <row r="1024" ht="26.25" customHeight="1">
      <c r="A1024" s="769"/>
      <c r="B1024" s="770"/>
      <c r="C1024" s="771"/>
      <c r="D1024" s="705"/>
      <c r="E1024" s="705"/>
      <c r="F1024" s="707"/>
      <c r="G1024" s="772"/>
      <c r="H1024" s="772"/>
      <c r="I1024" s="773"/>
      <c r="J1024" s="510"/>
      <c r="K1024" s="510"/>
      <c r="L1024" s="510"/>
      <c r="M1024" s="773"/>
      <c r="N1024" s="510"/>
      <c r="O1024" s="773"/>
      <c r="P1024" s="773"/>
      <c r="Q1024" s="705"/>
      <c r="R1024" s="754"/>
      <c r="S1024" s="789"/>
      <c r="T1024" s="705"/>
      <c r="U1024" s="755"/>
    </row>
    <row r="1025" ht="26.25" customHeight="1">
      <c r="A1025" s="769"/>
      <c r="B1025" s="770"/>
      <c r="C1025" s="771"/>
      <c r="D1025" s="705"/>
      <c r="E1025" s="705"/>
      <c r="F1025" s="707"/>
      <c r="G1025" s="772"/>
      <c r="H1025" s="772"/>
      <c r="I1025" s="773"/>
      <c r="J1025" s="510"/>
      <c r="K1025" s="510"/>
      <c r="L1025" s="510"/>
      <c r="M1025" s="773"/>
      <c r="N1025" s="510"/>
      <c r="O1025" s="773"/>
      <c r="P1025" s="773"/>
      <c r="Q1025" s="705"/>
      <c r="R1025" s="754"/>
      <c r="S1025" s="789"/>
      <c r="T1025" s="705"/>
      <c r="U1025" s="755"/>
    </row>
    <row r="1026" ht="26.25" customHeight="1">
      <c r="A1026" s="769"/>
      <c r="B1026" s="770"/>
      <c r="C1026" s="771"/>
      <c r="D1026" s="705"/>
      <c r="E1026" s="705"/>
      <c r="F1026" s="707"/>
      <c r="G1026" s="772"/>
      <c r="H1026" s="772"/>
      <c r="I1026" s="773"/>
      <c r="J1026" s="510"/>
      <c r="K1026" s="510"/>
      <c r="L1026" s="510"/>
      <c r="M1026" s="773"/>
      <c r="N1026" s="510"/>
      <c r="O1026" s="773"/>
      <c r="P1026" s="773"/>
      <c r="Q1026" s="705"/>
      <c r="R1026" s="754"/>
      <c r="S1026" s="789"/>
      <c r="T1026" s="705"/>
      <c r="U1026" s="755"/>
    </row>
    <row r="1027" ht="26.25" customHeight="1">
      <c r="A1027" s="769"/>
      <c r="B1027" s="770"/>
      <c r="C1027" s="771"/>
      <c r="D1027" s="705"/>
      <c r="E1027" s="705"/>
      <c r="F1027" s="707"/>
      <c r="G1027" s="772"/>
      <c r="H1027" s="772"/>
      <c r="I1027" s="773"/>
      <c r="J1027" s="510"/>
      <c r="K1027" s="510"/>
      <c r="L1027" s="510"/>
      <c r="M1027" s="773"/>
      <c r="N1027" s="510"/>
      <c r="O1027" s="773"/>
      <c r="P1027" s="773"/>
      <c r="Q1027" s="705"/>
      <c r="R1027" s="754"/>
      <c r="S1027" s="789"/>
      <c r="T1027" s="705"/>
      <c r="U1027" s="755"/>
    </row>
    <row r="1028" ht="26.25" customHeight="1">
      <c r="A1028" s="769"/>
      <c r="B1028" s="770"/>
      <c r="C1028" s="771"/>
      <c r="D1028" s="705"/>
      <c r="E1028" s="705"/>
      <c r="F1028" s="707"/>
      <c r="G1028" s="772"/>
      <c r="H1028" s="772"/>
      <c r="I1028" s="773"/>
      <c r="J1028" s="510"/>
      <c r="K1028" s="510"/>
      <c r="L1028" s="510"/>
      <c r="M1028" s="773"/>
      <c r="N1028" s="510"/>
      <c r="O1028" s="773"/>
      <c r="P1028" s="773"/>
      <c r="Q1028" s="705"/>
      <c r="R1028" s="754"/>
      <c r="S1028" s="789"/>
      <c r="T1028" s="705"/>
      <c r="U1028" s="755"/>
    </row>
    <row r="1029" ht="26.25" customHeight="1">
      <c r="A1029" s="769"/>
      <c r="B1029" s="770"/>
      <c r="C1029" s="771"/>
      <c r="D1029" s="705"/>
      <c r="E1029" s="705"/>
      <c r="F1029" s="707"/>
      <c r="G1029" s="772"/>
      <c r="H1029" s="772"/>
      <c r="I1029" s="773"/>
      <c r="J1029" s="510"/>
      <c r="K1029" s="510"/>
      <c r="L1029" s="510"/>
      <c r="M1029" s="773"/>
      <c r="N1029" s="510"/>
      <c r="O1029" s="773"/>
      <c r="P1029" s="773"/>
      <c r="Q1029" s="705"/>
      <c r="R1029" s="754"/>
      <c r="S1029" s="789"/>
      <c r="T1029" s="705"/>
      <c r="U1029" s="755"/>
    </row>
    <row r="1030" ht="26.25" customHeight="1">
      <c r="A1030" s="769"/>
      <c r="B1030" s="770"/>
      <c r="C1030" s="771"/>
      <c r="D1030" s="705"/>
      <c r="E1030" s="705"/>
      <c r="F1030" s="707"/>
      <c r="G1030" s="772"/>
      <c r="H1030" s="772"/>
      <c r="I1030" s="773"/>
      <c r="J1030" s="510"/>
      <c r="K1030" s="510"/>
      <c r="L1030" s="510"/>
      <c r="M1030" s="773"/>
      <c r="N1030" s="510"/>
      <c r="O1030" s="773"/>
      <c r="P1030" s="773"/>
      <c r="Q1030" s="705"/>
      <c r="R1030" s="754"/>
      <c r="S1030" s="789"/>
      <c r="T1030" s="705"/>
      <c r="U1030" s="755"/>
    </row>
    <row r="1031" ht="26.25" customHeight="1">
      <c r="A1031" s="769"/>
      <c r="B1031" s="770"/>
      <c r="C1031" s="771"/>
      <c r="D1031" s="705"/>
      <c r="E1031" s="705"/>
      <c r="F1031" s="707"/>
      <c r="G1031" s="772"/>
      <c r="H1031" s="772"/>
      <c r="I1031" s="773"/>
      <c r="J1031" s="510"/>
      <c r="K1031" s="510"/>
      <c r="L1031" s="510"/>
      <c r="M1031" s="773"/>
      <c r="N1031" s="510"/>
      <c r="O1031" s="773"/>
      <c r="P1031" s="773"/>
      <c r="Q1031" s="705"/>
      <c r="R1031" s="754"/>
      <c r="S1031" s="789"/>
      <c r="T1031" s="705"/>
      <c r="U1031" s="755"/>
    </row>
    <row r="1032" ht="26.25" customHeight="1">
      <c r="A1032" s="769"/>
      <c r="B1032" s="770"/>
      <c r="C1032" s="771"/>
      <c r="D1032" s="705"/>
      <c r="E1032" s="705"/>
      <c r="F1032" s="707"/>
      <c r="G1032" s="772"/>
      <c r="H1032" s="772"/>
      <c r="I1032" s="773"/>
      <c r="J1032" s="510"/>
      <c r="K1032" s="510"/>
      <c r="L1032" s="510"/>
      <c r="M1032" s="773"/>
      <c r="N1032" s="510"/>
      <c r="O1032" s="773"/>
      <c r="P1032" s="773"/>
      <c r="Q1032" s="705"/>
      <c r="R1032" s="754"/>
      <c r="S1032" s="789"/>
      <c r="T1032" s="705"/>
      <c r="U1032" s="755"/>
    </row>
    <row r="1033" ht="26.25" customHeight="1">
      <c r="A1033" s="769"/>
      <c r="B1033" s="770"/>
      <c r="C1033" s="771"/>
      <c r="D1033" s="705"/>
      <c r="E1033" s="705"/>
      <c r="F1033" s="707"/>
      <c r="G1033" s="772"/>
      <c r="H1033" s="772"/>
      <c r="I1033" s="773"/>
      <c r="J1033" s="510"/>
      <c r="K1033" s="510"/>
      <c r="L1033" s="510"/>
      <c r="M1033" s="773"/>
      <c r="N1033" s="510"/>
      <c r="O1033" s="773"/>
      <c r="P1033" s="773"/>
      <c r="Q1033" s="705"/>
      <c r="R1033" s="754"/>
      <c r="S1033" s="789"/>
      <c r="T1033" s="705"/>
      <c r="U1033" s="755"/>
    </row>
    <row r="1034" ht="26.25" customHeight="1">
      <c r="A1034" s="769"/>
      <c r="B1034" s="770"/>
      <c r="C1034" s="771"/>
      <c r="D1034" s="705"/>
      <c r="E1034" s="705"/>
      <c r="F1034" s="707"/>
      <c r="G1034" s="772"/>
      <c r="H1034" s="772"/>
      <c r="I1034" s="773"/>
      <c r="J1034" s="510"/>
      <c r="K1034" s="510"/>
      <c r="L1034" s="510"/>
      <c r="M1034" s="773"/>
      <c r="N1034" s="510"/>
      <c r="O1034" s="773"/>
      <c r="P1034" s="773"/>
      <c r="Q1034" s="705"/>
      <c r="R1034" s="754"/>
      <c r="S1034" s="789"/>
      <c r="T1034" s="705"/>
      <c r="U1034" s="755"/>
    </row>
    <row r="1035" ht="26.25" customHeight="1">
      <c r="A1035" s="769"/>
      <c r="B1035" s="770"/>
      <c r="C1035" s="771"/>
      <c r="D1035" s="705"/>
      <c r="E1035" s="705"/>
      <c r="F1035" s="707"/>
      <c r="G1035" s="772"/>
      <c r="H1035" s="772"/>
      <c r="I1035" s="773"/>
      <c r="J1035" s="510"/>
      <c r="K1035" s="510"/>
      <c r="L1035" s="510"/>
      <c r="M1035" s="773"/>
      <c r="N1035" s="510"/>
      <c r="O1035" s="773"/>
      <c r="P1035" s="773"/>
      <c r="Q1035" s="705"/>
      <c r="R1035" s="754"/>
      <c r="S1035" s="789"/>
      <c r="T1035" s="705"/>
      <c r="U1035" s="755"/>
    </row>
    <row r="1036" ht="26.25" customHeight="1">
      <c r="A1036" s="769"/>
      <c r="B1036" s="770"/>
      <c r="C1036" s="771"/>
      <c r="D1036" s="705"/>
      <c r="E1036" s="705"/>
      <c r="F1036" s="707"/>
      <c r="G1036" s="772"/>
      <c r="H1036" s="772"/>
      <c r="I1036" s="773"/>
      <c r="J1036" s="510"/>
      <c r="K1036" s="510"/>
      <c r="L1036" s="510"/>
      <c r="M1036" s="773"/>
      <c r="N1036" s="510"/>
      <c r="O1036" s="773"/>
      <c r="P1036" s="773"/>
      <c r="Q1036" s="705"/>
      <c r="R1036" s="754"/>
      <c r="S1036" s="789"/>
      <c r="T1036" s="705"/>
      <c r="U1036" s="755"/>
    </row>
    <row r="1037" ht="26.25" customHeight="1">
      <c r="A1037" s="769"/>
      <c r="B1037" s="770"/>
      <c r="C1037" s="771"/>
      <c r="D1037" s="705"/>
      <c r="E1037" s="705"/>
      <c r="F1037" s="707"/>
      <c r="G1037" s="772"/>
      <c r="H1037" s="772"/>
      <c r="I1037" s="773"/>
      <c r="J1037" s="510"/>
      <c r="K1037" s="510"/>
      <c r="L1037" s="510"/>
      <c r="M1037" s="773"/>
      <c r="N1037" s="510"/>
      <c r="O1037" s="773"/>
      <c r="P1037" s="773"/>
      <c r="Q1037" s="705"/>
      <c r="R1037" s="754"/>
      <c r="S1037" s="789"/>
      <c r="T1037" s="705"/>
      <c r="U1037" s="755"/>
    </row>
    <row r="1038" ht="26.25" customHeight="1">
      <c r="A1038" s="769"/>
      <c r="B1038" s="770"/>
      <c r="C1038" s="771"/>
      <c r="D1038" s="705"/>
      <c r="E1038" s="705"/>
      <c r="F1038" s="707"/>
      <c r="G1038" s="772"/>
      <c r="H1038" s="772"/>
      <c r="I1038" s="773"/>
      <c r="J1038" s="510"/>
      <c r="K1038" s="510"/>
      <c r="L1038" s="510"/>
      <c r="M1038" s="773"/>
      <c r="N1038" s="510"/>
      <c r="O1038" s="773"/>
      <c r="P1038" s="773"/>
      <c r="Q1038" s="705"/>
      <c r="R1038" s="754"/>
      <c r="S1038" s="789"/>
      <c r="T1038" s="705"/>
      <c r="U1038" s="755"/>
    </row>
    <row r="1039" ht="26.25" customHeight="1">
      <c r="A1039" s="769"/>
      <c r="B1039" s="770"/>
      <c r="C1039" s="771"/>
      <c r="D1039" s="705"/>
      <c r="E1039" s="705"/>
      <c r="F1039" s="707"/>
      <c r="G1039" s="772"/>
      <c r="H1039" s="772"/>
      <c r="I1039" s="773"/>
      <c r="J1039" s="510"/>
      <c r="K1039" s="510"/>
      <c r="L1039" s="510"/>
      <c r="M1039" s="773"/>
      <c r="N1039" s="510"/>
      <c r="O1039" s="773"/>
      <c r="P1039" s="773"/>
      <c r="Q1039" s="705"/>
      <c r="R1039" s="754"/>
      <c r="S1039" s="789"/>
      <c r="T1039" s="705"/>
      <c r="U1039" s="755"/>
    </row>
    <row r="1040" ht="26.25" customHeight="1">
      <c r="A1040" s="769"/>
      <c r="B1040" s="770"/>
      <c r="C1040" s="771"/>
      <c r="D1040" s="705"/>
      <c r="E1040" s="705"/>
      <c r="F1040" s="707"/>
      <c r="G1040" s="772"/>
      <c r="H1040" s="772"/>
      <c r="I1040" s="773"/>
      <c r="J1040" s="510"/>
      <c r="K1040" s="510"/>
      <c r="L1040" s="510"/>
      <c r="M1040" s="773"/>
      <c r="N1040" s="510"/>
      <c r="O1040" s="773"/>
      <c r="P1040" s="773"/>
      <c r="Q1040" s="705"/>
      <c r="R1040" s="754"/>
      <c r="S1040" s="789"/>
      <c r="T1040" s="705"/>
      <c r="U1040" s="755"/>
    </row>
    <row r="1041" ht="26.25" customHeight="1">
      <c r="A1041" s="769"/>
      <c r="B1041" s="770"/>
      <c r="C1041" s="771"/>
      <c r="D1041" s="705"/>
      <c r="E1041" s="705"/>
      <c r="F1041" s="707"/>
      <c r="G1041" s="772"/>
      <c r="H1041" s="772"/>
      <c r="I1041" s="773"/>
      <c r="J1041" s="510"/>
      <c r="K1041" s="510"/>
      <c r="L1041" s="510"/>
      <c r="M1041" s="773"/>
      <c r="N1041" s="510"/>
      <c r="O1041" s="773"/>
      <c r="P1041" s="773"/>
      <c r="Q1041" s="705"/>
      <c r="R1041" s="754"/>
      <c r="S1041" s="789"/>
      <c r="T1041" s="705"/>
      <c r="U1041" s="755"/>
    </row>
    <row r="1042" ht="26.25" customHeight="1">
      <c r="A1042" s="769"/>
      <c r="B1042" s="770"/>
      <c r="C1042" s="771"/>
      <c r="D1042" s="705"/>
      <c r="E1042" s="705"/>
      <c r="F1042" s="707"/>
      <c r="G1042" s="772"/>
      <c r="H1042" s="772"/>
      <c r="I1042" s="773"/>
      <c r="J1042" s="510"/>
      <c r="K1042" s="510"/>
      <c r="L1042" s="510"/>
      <c r="M1042" s="773"/>
      <c r="N1042" s="510"/>
      <c r="O1042" s="773"/>
      <c r="P1042" s="773"/>
      <c r="Q1042" s="705"/>
      <c r="R1042" s="754"/>
      <c r="S1042" s="789"/>
      <c r="T1042" s="705"/>
      <c r="U1042" s="755"/>
    </row>
    <row r="1043" ht="26.25" customHeight="1">
      <c r="A1043" s="769"/>
      <c r="B1043" s="770"/>
      <c r="C1043" s="771"/>
      <c r="D1043" s="705"/>
      <c r="E1043" s="705"/>
      <c r="F1043" s="707"/>
      <c r="G1043" s="772"/>
      <c r="H1043" s="772"/>
      <c r="I1043" s="773"/>
      <c r="J1043" s="510"/>
      <c r="K1043" s="510"/>
      <c r="L1043" s="510"/>
      <c r="M1043" s="773"/>
      <c r="N1043" s="510"/>
      <c r="O1043" s="773"/>
      <c r="P1043" s="773"/>
      <c r="Q1043" s="705"/>
      <c r="R1043" s="754"/>
      <c r="S1043" s="789"/>
      <c r="T1043" s="705"/>
      <c r="U1043" s="755"/>
    </row>
    <row r="1044" ht="26.25" customHeight="1">
      <c r="A1044" s="769"/>
      <c r="B1044" s="770"/>
      <c r="C1044" s="771"/>
      <c r="D1044" s="705"/>
      <c r="E1044" s="705"/>
      <c r="F1044" s="707"/>
      <c r="G1044" s="772"/>
      <c r="H1044" s="772"/>
      <c r="I1044" s="773"/>
      <c r="J1044" s="510"/>
      <c r="K1044" s="510"/>
      <c r="L1044" s="510"/>
      <c r="M1044" s="773"/>
      <c r="N1044" s="510"/>
      <c r="O1044" s="773"/>
      <c r="P1044" s="773"/>
      <c r="Q1044" s="705"/>
      <c r="R1044" s="754"/>
      <c r="S1044" s="789"/>
      <c r="T1044" s="705"/>
      <c r="U1044" s="755"/>
    </row>
    <row r="1045" ht="26.25" customHeight="1">
      <c r="A1045" s="769"/>
      <c r="B1045" s="770"/>
      <c r="C1045" s="771"/>
      <c r="D1045" s="705"/>
      <c r="E1045" s="705"/>
      <c r="F1045" s="707"/>
      <c r="G1045" s="772"/>
      <c r="H1045" s="772"/>
      <c r="I1045" s="773"/>
      <c r="J1045" s="510"/>
      <c r="K1045" s="510"/>
      <c r="L1045" s="510"/>
      <c r="M1045" s="773"/>
      <c r="N1045" s="510"/>
      <c r="O1045" s="773"/>
      <c r="P1045" s="773"/>
      <c r="Q1045" s="705"/>
      <c r="R1045" s="754"/>
      <c r="S1045" s="789"/>
      <c r="T1045" s="705"/>
      <c r="U1045" s="755"/>
    </row>
    <row r="1046" ht="26.25" customHeight="1">
      <c r="A1046" s="769"/>
      <c r="B1046" s="770"/>
      <c r="C1046" s="771"/>
      <c r="D1046" s="705"/>
      <c r="E1046" s="705"/>
      <c r="F1046" s="707"/>
      <c r="G1046" s="772"/>
      <c r="H1046" s="772"/>
      <c r="I1046" s="773"/>
      <c r="J1046" s="510"/>
      <c r="K1046" s="510"/>
      <c r="L1046" s="510"/>
      <c r="M1046" s="773"/>
      <c r="N1046" s="510"/>
      <c r="O1046" s="773"/>
      <c r="P1046" s="773"/>
      <c r="Q1046" s="705"/>
      <c r="R1046" s="754"/>
      <c r="S1046" s="789"/>
      <c r="T1046" s="705"/>
      <c r="U1046" s="755"/>
    </row>
    <row r="1047" ht="26.25" customHeight="1">
      <c r="A1047" s="769"/>
      <c r="B1047" s="770"/>
      <c r="C1047" s="771"/>
      <c r="D1047" s="705"/>
      <c r="E1047" s="705"/>
      <c r="F1047" s="707"/>
      <c r="G1047" s="772"/>
      <c r="H1047" s="772"/>
      <c r="I1047" s="773"/>
      <c r="J1047" s="510"/>
      <c r="K1047" s="510"/>
      <c r="L1047" s="510"/>
      <c r="M1047" s="773"/>
      <c r="N1047" s="510"/>
      <c r="O1047" s="773"/>
      <c r="P1047" s="773"/>
      <c r="Q1047" s="705"/>
      <c r="R1047" s="754"/>
      <c r="S1047" s="789"/>
      <c r="T1047" s="705"/>
      <c r="U1047" s="755"/>
    </row>
    <row r="1048" ht="26.25" customHeight="1">
      <c r="A1048" s="769"/>
      <c r="B1048" s="770"/>
      <c r="C1048" s="771"/>
      <c r="D1048" s="705"/>
      <c r="E1048" s="705"/>
      <c r="F1048" s="707"/>
      <c r="G1048" s="772"/>
      <c r="H1048" s="772"/>
      <c r="I1048" s="773"/>
      <c r="J1048" s="510"/>
      <c r="K1048" s="510"/>
      <c r="L1048" s="510"/>
      <c r="M1048" s="773"/>
      <c r="N1048" s="510"/>
      <c r="O1048" s="773"/>
      <c r="P1048" s="773"/>
      <c r="Q1048" s="705"/>
      <c r="R1048" s="754"/>
      <c r="S1048" s="789"/>
      <c r="T1048" s="705"/>
      <c r="U1048" s="755"/>
    </row>
    <row r="1049" ht="26.25" customHeight="1">
      <c r="A1049" s="769"/>
      <c r="B1049" s="770"/>
      <c r="C1049" s="771"/>
      <c r="D1049" s="705"/>
      <c r="E1049" s="705"/>
      <c r="F1049" s="707"/>
      <c r="G1049" s="772"/>
      <c r="H1049" s="772"/>
      <c r="I1049" s="773"/>
      <c r="J1049" s="510"/>
      <c r="K1049" s="510"/>
      <c r="L1049" s="510"/>
      <c r="M1049" s="773"/>
      <c r="N1049" s="510"/>
      <c r="O1049" s="773"/>
      <c r="P1049" s="773"/>
      <c r="Q1049" s="705"/>
      <c r="R1049" s="754"/>
      <c r="S1049" s="789"/>
      <c r="T1049" s="705"/>
      <c r="U1049" s="755"/>
    </row>
    <row r="1050" ht="26.25" customHeight="1">
      <c r="A1050" s="769"/>
      <c r="B1050" s="770"/>
      <c r="C1050" s="771"/>
      <c r="D1050" s="705"/>
      <c r="E1050" s="705"/>
      <c r="F1050" s="707"/>
      <c r="G1050" s="772"/>
      <c r="H1050" s="772"/>
      <c r="I1050" s="773"/>
      <c r="J1050" s="510"/>
      <c r="K1050" s="510"/>
      <c r="L1050" s="510"/>
      <c r="M1050" s="773"/>
      <c r="N1050" s="510"/>
      <c r="O1050" s="773"/>
      <c r="P1050" s="773"/>
      <c r="Q1050" s="705"/>
      <c r="R1050" s="754"/>
      <c r="S1050" s="789"/>
      <c r="T1050" s="705"/>
      <c r="U1050" s="755"/>
    </row>
    <row r="1051" ht="26.25" customHeight="1">
      <c r="A1051" s="769"/>
      <c r="B1051" s="770"/>
      <c r="C1051" s="771"/>
      <c r="D1051" s="705"/>
      <c r="E1051" s="705"/>
      <c r="F1051" s="707"/>
      <c r="G1051" s="772"/>
      <c r="H1051" s="772"/>
      <c r="I1051" s="773"/>
      <c r="J1051" s="510"/>
      <c r="K1051" s="510"/>
      <c r="L1051" s="510"/>
      <c r="M1051" s="773"/>
      <c r="N1051" s="510"/>
      <c r="O1051" s="773"/>
      <c r="P1051" s="773"/>
      <c r="Q1051" s="705"/>
      <c r="R1051" s="754"/>
      <c r="S1051" s="789"/>
      <c r="T1051" s="705"/>
      <c r="U1051" s="755"/>
    </row>
    <row r="1052" ht="26.25" customHeight="1">
      <c r="A1052" s="769"/>
      <c r="B1052" s="770"/>
      <c r="C1052" s="771"/>
      <c r="D1052" s="705"/>
      <c r="E1052" s="705"/>
      <c r="F1052" s="707"/>
      <c r="G1052" s="772"/>
      <c r="H1052" s="772"/>
      <c r="I1052" s="773"/>
      <c r="J1052" s="510"/>
      <c r="K1052" s="510"/>
      <c r="L1052" s="510"/>
      <c r="M1052" s="773"/>
      <c r="N1052" s="510"/>
      <c r="O1052" s="773"/>
      <c r="P1052" s="773"/>
      <c r="Q1052" s="705"/>
      <c r="R1052" s="754"/>
      <c r="S1052" s="789"/>
      <c r="T1052" s="705"/>
      <c r="U1052" s="755"/>
    </row>
    <row r="1053" ht="26.25" customHeight="1">
      <c r="A1053" s="769"/>
      <c r="B1053" s="770"/>
      <c r="C1053" s="771"/>
      <c r="D1053" s="705"/>
      <c r="E1053" s="705"/>
      <c r="F1053" s="707"/>
      <c r="G1053" s="772"/>
      <c r="H1053" s="772"/>
      <c r="I1053" s="773"/>
      <c r="J1053" s="510"/>
      <c r="K1053" s="510"/>
      <c r="L1053" s="510"/>
      <c r="M1053" s="773"/>
      <c r="N1053" s="510"/>
      <c r="O1053" s="773"/>
      <c r="P1053" s="773"/>
      <c r="Q1053" s="705"/>
      <c r="R1053" s="754"/>
      <c r="S1053" s="789"/>
      <c r="T1053" s="705"/>
      <c r="U1053" s="755"/>
    </row>
    <row r="1054" ht="26.25" customHeight="1">
      <c r="A1054" s="769"/>
      <c r="B1054" s="770"/>
      <c r="C1054" s="771"/>
      <c r="D1054" s="705"/>
      <c r="E1054" s="705"/>
      <c r="F1054" s="707"/>
      <c r="G1054" s="772"/>
      <c r="H1054" s="772"/>
      <c r="I1054" s="773"/>
      <c r="J1054" s="510"/>
      <c r="K1054" s="510"/>
      <c r="L1054" s="510"/>
      <c r="M1054" s="773"/>
      <c r="N1054" s="510"/>
      <c r="O1054" s="773"/>
      <c r="P1054" s="773"/>
      <c r="Q1054" s="705"/>
      <c r="R1054" s="754"/>
      <c r="S1054" s="789"/>
      <c r="T1054" s="705"/>
      <c r="U1054" s="755"/>
    </row>
    <row r="1055" ht="26.25" customHeight="1">
      <c r="A1055" s="769"/>
      <c r="B1055" s="770"/>
      <c r="C1055" s="771"/>
      <c r="D1055" s="705"/>
      <c r="E1055" s="705"/>
      <c r="F1055" s="707"/>
      <c r="G1055" s="772"/>
      <c r="H1055" s="772"/>
      <c r="I1055" s="773"/>
      <c r="J1055" s="510"/>
      <c r="K1055" s="510"/>
      <c r="L1055" s="510"/>
      <c r="M1055" s="773"/>
      <c r="N1055" s="510"/>
      <c r="O1055" s="773"/>
      <c r="P1055" s="773"/>
      <c r="Q1055" s="705"/>
      <c r="R1055" s="754"/>
      <c r="S1055" s="789"/>
      <c r="T1055" s="705"/>
      <c r="U1055" s="755"/>
    </row>
    <row r="1056" ht="26.25" customHeight="1">
      <c r="A1056" s="769"/>
      <c r="B1056" s="770"/>
      <c r="C1056" s="771"/>
      <c r="D1056" s="705"/>
      <c r="E1056" s="705"/>
      <c r="F1056" s="707"/>
      <c r="G1056" s="772"/>
      <c r="H1056" s="772"/>
      <c r="I1056" s="773"/>
      <c r="J1056" s="510"/>
      <c r="K1056" s="510"/>
      <c r="L1056" s="510"/>
      <c r="M1056" s="773"/>
      <c r="N1056" s="510"/>
      <c r="O1056" s="773"/>
      <c r="P1056" s="773"/>
      <c r="Q1056" s="705"/>
      <c r="R1056" s="754"/>
      <c r="S1056" s="789"/>
      <c r="T1056" s="705"/>
      <c r="U1056" s="755"/>
    </row>
    <row r="1057" ht="26.25" customHeight="1">
      <c r="A1057" s="769"/>
      <c r="B1057" s="770"/>
      <c r="C1057" s="771"/>
      <c r="D1057" s="705"/>
      <c r="E1057" s="705"/>
      <c r="F1057" s="707"/>
      <c r="G1057" s="772"/>
      <c r="H1057" s="772"/>
      <c r="I1057" s="773"/>
      <c r="J1057" s="510"/>
      <c r="K1057" s="510"/>
      <c r="L1057" s="510"/>
      <c r="M1057" s="773"/>
      <c r="N1057" s="510"/>
      <c r="O1057" s="773"/>
      <c r="P1057" s="773"/>
      <c r="Q1057" s="705"/>
      <c r="R1057" s="754"/>
      <c r="S1057" s="789"/>
      <c r="T1057" s="705"/>
      <c r="U1057" s="755"/>
    </row>
    <row r="1058" ht="26.25" customHeight="1">
      <c r="A1058" s="769"/>
      <c r="B1058" s="770"/>
      <c r="C1058" s="771"/>
      <c r="D1058" s="705"/>
      <c r="E1058" s="705"/>
      <c r="F1058" s="707"/>
      <c r="G1058" s="772"/>
      <c r="H1058" s="772"/>
      <c r="I1058" s="773"/>
      <c r="J1058" s="510"/>
      <c r="K1058" s="510"/>
      <c r="L1058" s="510"/>
      <c r="M1058" s="773"/>
      <c r="N1058" s="510"/>
      <c r="O1058" s="773"/>
      <c r="P1058" s="773"/>
      <c r="Q1058" s="705"/>
      <c r="R1058" s="754"/>
      <c r="S1058" s="789"/>
      <c r="T1058" s="705"/>
      <c r="U1058" s="755"/>
    </row>
    <row r="1059" ht="26.25" customHeight="1">
      <c r="A1059" s="769"/>
      <c r="B1059" s="770"/>
      <c r="C1059" s="771"/>
      <c r="D1059" s="705"/>
      <c r="E1059" s="705"/>
      <c r="F1059" s="707"/>
      <c r="G1059" s="772"/>
      <c r="H1059" s="772"/>
      <c r="I1059" s="773"/>
      <c r="J1059" s="510"/>
      <c r="K1059" s="510"/>
      <c r="L1059" s="510"/>
      <c r="M1059" s="773"/>
      <c r="N1059" s="510"/>
      <c r="O1059" s="773"/>
      <c r="P1059" s="773"/>
      <c r="Q1059" s="705"/>
      <c r="R1059" s="754"/>
      <c r="S1059" s="789"/>
      <c r="T1059" s="705"/>
      <c r="U1059" s="755"/>
    </row>
    <row r="1060" ht="26.25" customHeight="1">
      <c r="A1060" s="769"/>
      <c r="B1060" s="770"/>
      <c r="C1060" s="771"/>
      <c r="D1060" s="705"/>
      <c r="E1060" s="705"/>
      <c r="F1060" s="707"/>
      <c r="G1060" s="772"/>
      <c r="H1060" s="772"/>
      <c r="I1060" s="773"/>
      <c r="J1060" s="510"/>
      <c r="K1060" s="510"/>
      <c r="L1060" s="510"/>
      <c r="M1060" s="773"/>
      <c r="N1060" s="510"/>
      <c r="O1060" s="773"/>
      <c r="P1060" s="773"/>
      <c r="Q1060" s="705"/>
      <c r="R1060" s="754"/>
      <c r="S1060" s="789"/>
      <c r="T1060" s="705"/>
      <c r="U1060" s="755"/>
    </row>
    <row r="1061" ht="26.25" customHeight="1">
      <c r="A1061" s="769"/>
      <c r="B1061" s="770"/>
      <c r="C1061" s="771"/>
      <c r="D1061" s="705"/>
      <c r="E1061" s="705"/>
      <c r="F1061" s="707"/>
      <c r="G1061" s="772"/>
      <c r="H1061" s="772"/>
      <c r="I1061" s="773"/>
      <c r="J1061" s="510"/>
      <c r="K1061" s="510"/>
      <c r="L1061" s="510"/>
      <c r="M1061" s="773"/>
      <c r="N1061" s="510"/>
      <c r="O1061" s="773"/>
      <c r="P1061" s="773"/>
      <c r="Q1061" s="705"/>
      <c r="R1061" s="754"/>
      <c r="S1061" s="789"/>
      <c r="T1061" s="705"/>
      <c r="U1061" s="755"/>
    </row>
    <row r="1062" ht="26.25" customHeight="1">
      <c r="A1062" s="769"/>
      <c r="B1062" s="770"/>
      <c r="C1062" s="771"/>
      <c r="D1062" s="705"/>
      <c r="E1062" s="705"/>
      <c r="F1062" s="707"/>
      <c r="G1062" s="772"/>
      <c r="H1062" s="772"/>
      <c r="I1062" s="773"/>
      <c r="J1062" s="510"/>
      <c r="K1062" s="510"/>
      <c r="L1062" s="510"/>
      <c r="M1062" s="773"/>
      <c r="N1062" s="510"/>
      <c r="O1062" s="773"/>
      <c r="P1062" s="773"/>
      <c r="Q1062" s="705"/>
      <c r="R1062" s="754"/>
      <c r="S1062" s="789"/>
      <c r="T1062" s="705"/>
      <c r="U1062" s="755"/>
    </row>
    <row r="1063" ht="26.25" customHeight="1">
      <c r="A1063" s="769"/>
      <c r="B1063" s="770"/>
      <c r="C1063" s="771"/>
      <c r="D1063" s="705"/>
      <c r="E1063" s="705"/>
      <c r="F1063" s="707"/>
      <c r="G1063" s="772"/>
      <c r="H1063" s="772"/>
      <c r="I1063" s="773"/>
      <c r="J1063" s="510"/>
      <c r="K1063" s="510"/>
      <c r="L1063" s="510"/>
      <c r="M1063" s="773"/>
      <c r="N1063" s="510"/>
      <c r="O1063" s="773"/>
      <c r="P1063" s="773"/>
      <c r="Q1063" s="705"/>
      <c r="R1063" s="754"/>
      <c r="S1063" s="789"/>
      <c r="T1063" s="705"/>
      <c r="U1063" s="755"/>
    </row>
    <row r="1064" ht="26.25" customHeight="1">
      <c r="A1064" s="769"/>
      <c r="B1064" s="770"/>
      <c r="C1064" s="771"/>
      <c r="D1064" s="705"/>
      <c r="E1064" s="705"/>
      <c r="F1064" s="707"/>
      <c r="G1064" s="772"/>
      <c r="H1064" s="772"/>
      <c r="I1064" s="773"/>
      <c r="J1064" s="510"/>
      <c r="K1064" s="510"/>
      <c r="L1064" s="510"/>
      <c r="M1064" s="773"/>
      <c r="N1064" s="510"/>
      <c r="O1064" s="773"/>
      <c r="P1064" s="773"/>
      <c r="Q1064" s="705"/>
      <c r="R1064" s="754"/>
      <c r="S1064" s="789"/>
      <c r="T1064" s="705"/>
      <c r="U1064" s="755"/>
    </row>
    <row r="1065" ht="26.25" customHeight="1">
      <c r="A1065" s="769"/>
      <c r="B1065" s="770"/>
      <c r="C1065" s="771"/>
      <c r="D1065" s="705"/>
      <c r="E1065" s="705"/>
      <c r="F1065" s="707"/>
      <c r="G1065" s="772"/>
      <c r="H1065" s="772"/>
      <c r="I1065" s="773"/>
      <c r="J1065" s="510"/>
      <c r="K1065" s="510"/>
      <c r="L1065" s="510"/>
      <c r="M1065" s="773"/>
      <c r="N1065" s="510"/>
      <c r="O1065" s="773"/>
      <c r="P1065" s="773"/>
      <c r="Q1065" s="705"/>
      <c r="R1065" s="754"/>
      <c r="S1065" s="789"/>
      <c r="T1065" s="705"/>
      <c r="U1065" s="755"/>
    </row>
    <row r="1066" ht="26.25" customHeight="1">
      <c r="A1066" s="769"/>
      <c r="B1066" s="770"/>
      <c r="C1066" s="771"/>
      <c r="D1066" s="705"/>
      <c r="E1066" s="705"/>
      <c r="F1066" s="707"/>
      <c r="G1066" s="772"/>
      <c r="H1066" s="772"/>
      <c r="I1066" s="773"/>
      <c r="J1066" s="510"/>
      <c r="K1066" s="510"/>
      <c r="L1066" s="510"/>
      <c r="M1066" s="773"/>
      <c r="N1066" s="510"/>
      <c r="O1066" s="773"/>
      <c r="P1066" s="773"/>
      <c r="Q1066" s="705"/>
      <c r="R1066" s="754"/>
      <c r="S1066" s="789"/>
      <c r="T1066" s="705"/>
      <c r="U1066" s="755"/>
    </row>
    <row r="1067" ht="26.25" customHeight="1">
      <c r="A1067" s="769"/>
      <c r="B1067" s="770"/>
      <c r="C1067" s="771"/>
      <c r="D1067" s="705"/>
      <c r="E1067" s="705"/>
      <c r="F1067" s="707"/>
      <c r="G1067" s="772"/>
      <c r="H1067" s="772"/>
      <c r="I1067" s="773"/>
      <c r="J1067" s="510"/>
      <c r="K1067" s="510"/>
      <c r="L1067" s="510"/>
      <c r="M1067" s="773"/>
      <c r="N1067" s="510"/>
      <c r="O1067" s="773"/>
      <c r="P1067" s="773"/>
      <c r="Q1067" s="705"/>
      <c r="R1067" s="754"/>
      <c r="S1067" s="789"/>
      <c r="T1067" s="705"/>
      <c r="U1067" s="755"/>
    </row>
    <row r="1068" ht="26.25" customHeight="1">
      <c r="A1068" s="769"/>
      <c r="B1068" s="770"/>
      <c r="C1068" s="771"/>
      <c r="D1068" s="705"/>
      <c r="E1068" s="705"/>
      <c r="F1068" s="707"/>
      <c r="G1068" s="772"/>
      <c r="H1068" s="772"/>
      <c r="I1068" s="773"/>
      <c r="J1068" s="510"/>
      <c r="K1068" s="510"/>
      <c r="L1068" s="510"/>
      <c r="M1068" s="773"/>
      <c r="N1068" s="510"/>
      <c r="O1068" s="773"/>
      <c r="P1068" s="773"/>
      <c r="Q1068" s="705"/>
      <c r="R1068" s="754"/>
      <c r="S1068" s="789"/>
      <c r="T1068" s="705"/>
      <c r="U1068" s="755"/>
    </row>
    <row r="1069" ht="26.25" customHeight="1">
      <c r="A1069" s="769"/>
      <c r="B1069" s="770"/>
      <c r="C1069" s="771"/>
      <c r="D1069" s="705"/>
      <c r="E1069" s="705"/>
      <c r="F1069" s="707"/>
      <c r="G1069" s="772"/>
      <c r="H1069" s="772"/>
      <c r="I1069" s="773"/>
      <c r="J1069" s="510"/>
      <c r="K1069" s="510"/>
      <c r="L1069" s="510"/>
      <c r="M1069" s="773"/>
      <c r="N1069" s="510"/>
      <c r="O1069" s="773"/>
      <c r="P1069" s="773"/>
      <c r="Q1069" s="705"/>
      <c r="R1069" s="754"/>
      <c r="S1069" s="789"/>
      <c r="T1069" s="705"/>
      <c r="U1069" s="755"/>
    </row>
    <row r="1070" ht="26.25" customHeight="1">
      <c r="A1070" s="769"/>
      <c r="B1070" s="770"/>
      <c r="C1070" s="771"/>
      <c r="D1070" s="705"/>
      <c r="E1070" s="705"/>
      <c r="F1070" s="707"/>
      <c r="G1070" s="772"/>
      <c r="H1070" s="772"/>
      <c r="I1070" s="773"/>
      <c r="J1070" s="510"/>
      <c r="K1070" s="510"/>
      <c r="L1070" s="510"/>
      <c r="M1070" s="773"/>
      <c r="N1070" s="510"/>
      <c r="O1070" s="773"/>
      <c r="P1070" s="773"/>
      <c r="Q1070" s="705"/>
      <c r="R1070" s="754"/>
      <c r="S1070" s="789"/>
      <c r="T1070" s="705"/>
      <c r="U1070" s="755"/>
    </row>
    <row r="1071" ht="26.25" customHeight="1">
      <c r="A1071" s="769"/>
      <c r="B1071" s="770"/>
      <c r="C1071" s="771"/>
      <c r="D1071" s="705"/>
      <c r="E1071" s="705"/>
      <c r="F1071" s="707"/>
      <c r="G1071" s="772"/>
      <c r="H1071" s="772"/>
      <c r="I1071" s="773"/>
      <c r="J1071" s="510"/>
      <c r="K1071" s="510"/>
      <c r="L1071" s="510"/>
      <c r="M1071" s="773"/>
      <c r="N1071" s="510"/>
      <c r="O1071" s="773"/>
      <c r="P1071" s="773"/>
      <c r="Q1071" s="705"/>
      <c r="R1071" s="754"/>
      <c r="S1071" s="789"/>
      <c r="T1071" s="705"/>
      <c r="U1071" s="755"/>
    </row>
    <row r="1072" ht="26.25" customHeight="1">
      <c r="A1072" s="769"/>
      <c r="B1072" s="770"/>
      <c r="C1072" s="771"/>
      <c r="D1072" s="705"/>
      <c r="E1072" s="705"/>
      <c r="F1072" s="707"/>
      <c r="G1072" s="772"/>
      <c r="H1072" s="772"/>
      <c r="I1072" s="773"/>
      <c r="J1072" s="510"/>
      <c r="K1072" s="510"/>
      <c r="L1072" s="510"/>
      <c r="M1072" s="773"/>
      <c r="N1072" s="510"/>
      <c r="O1072" s="773"/>
      <c r="P1072" s="773"/>
      <c r="Q1072" s="705"/>
      <c r="R1072" s="754"/>
      <c r="S1072" s="789"/>
      <c r="T1072" s="705"/>
      <c r="U1072" s="755"/>
    </row>
    <row r="1073" ht="26.25" customHeight="1">
      <c r="A1073" s="769"/>
      <c r="B1073" s="770"/>
      <c r="C1073" s="771"/>
      <c r="D1073" s="705"/>
      <c r="E1073" s="705"/>
      <c r="F1073" s="707"/>
      <c r="G1073" s="772"/>
      <c r="H1073" s="772"/>
      <c r="I1073" s="773"/>
      <c r="J1073" s="510"/>
      <c r="K1073" s="510"/>
      <c r="L1073" s="510"/>
      <c r="M1073" s="773"/>
      <c r="N1073" s="510"/>
      <c r="O1073" s="773"/>
      <c r="P1073" s="773"/>
      <c r="Q1073" s="705"/>
      <c r="R1073" s="754"/>
      <c r="S1073" s="789"/>
      <c r="T1073" s="705"/>
      <c r="U1073" s="755"/>
    </row>
    <row r="1074" ht="26.25" customHeight="1">
      <c r="A1074" s="769"/>
      <c r="B1074" s="770"/>
      <c r="C1074" s="771"/>
      <c r="D1074" s="705"/>
      <c r="E1074" s="705"/>
      <c r="F1074" s="707"/>
      <c r="G1074" s="772"/>
      <c r="H1074" s="772"/>
      <c r="I1074" s="773"/>
      <c r="J1074" s="510"/>
      <c r="K1074" s="510"/>
      <c r="L1074" s="510"/>
      <c r="M1074" s="773"/>
      <c r="N1074" s="510"/>
      <c r="O1074" s="773"/>
      <c r="P1074" s="773"/>
      <c r="Q1074" s="705"/>
      <c r="R1074" s="754"/>
      <c r="S1074" s="789"/>
      <c r="T1074" s="705"/>
      <c r="U1074" s="755"/>
    </row>
    <row r="1075" ht="26.25" customHeight="1">
      <c r="A1075" s="769"/>
      <c r="B1075" s="770"/>
      <c r="C1075" s="771"/>
      <c r="D1075" s="705"/>
      <c r="E1075" s="705"/>
      <c r="F1075" s="707"/>
      <c r="G1075" s="772"/>
      <c r="H1075" s="772"/>
      <c r="I1075" s="773"/>
      <c r="J1075" s="510"/>
      <c r="K1075" s="510"/>
      <c r="L1075" s="510"/>
      <c r="M1075" s="773"/>
      <c r="N1075" s="510"/>
      <c r="O1075" s="773"/>
      <c r="P1075" s="773"/>
      <c r="Q1075" s="705"/>
      <c r="R1075" s="754"/>
      <c r="S1075" s="789"/>
      <c r="T1075" s="705"/>
      <c r="U1075" s="755"/>
    </row>
    <row r="1076" ht="26.25" customHeight="1">
      <c r="A1076" s="769"/>
      <c r="B1076" s="770"/>
      <c r="C1076" s="771"/>
      <c r="D1076" s="705"/>
      <c r="E1076" s="705"/>
      <c r="F1076" s="707"/>
      <c r="G1076" s="772"/>
      <c r="H1076" s="772"/>
      <c r="I1076" s="773"/>
      <c r="J1076" s="510"/>
      <c r="K1076" s="510"/>
      <c r="L1076" s="510"/>
      <c r="M1076" s="773"/>
      <c r="N1076" s="510"/>
      <c r="O1076" s="773"/>
      <c r="P1076" s="773"/>
      <c r="Q1076" s="705"/>
      <c r="R1076" s="754"/>
      <c r="S1076" s="789"/>
      <c r="T1076" s="705"/>
      <c r="U1076" s="755"/>
    </row>
    <row r="1077" ht="26.25" customHeight="1">
      <c r="A1077" s="769"/>
      <c r="B1077" s="770"/>
      <c r="C1077" s="771"/>
      <c r="D1077" s="705"/>
      <c r="E1077" s="705"/>
      <c r="F1077" s="707"/>
      <c r="G1077" s="772"/>
      <c r="H1077" s="772"/>
      <c r="I1077" s="773"/>
      <c r="J1077" s="510"/>
      <c r="K1077" s="510"/>
      <c r="L1077" s="510"/>
      <c r="M1077" s="773"/>
      <c r="N1077" s="510"/>
      <c r="O1077" s="773"/>
      <c r="P1077" s="773"/>
      <c r="Q1077" s="705"/>
      <c r="R1077" s="754"/>
      <c r="S1077" s="789"/>
      <c r="T1077" s="705"/>
      <c r="U1077" s="755"/>
    </row>
    <row r="1078" ht="26.25" customHeight="1">
      <c r="A1078" s="769"/>
      <c r="B1078" s="770"/>
      <c r="C1078" s="771"/>
      <c r="D1078" s="705"/>
      <c r="E1078" s="705"/>
      <c r="F1078" s="707"/>
      <c r="G1078" s="772"/>
      <c r="H1078" s="772"/>
      <c r="I1078" s="773"/>
      <c r="J1078" s="510"/>
      <c r="K1078" s="510"/>
      <c r="L1078" s="510"/>
      <c r="M1078" s="773"/>
      <c r="N1078" s="510"/>
      <c r="O1078" s="773"/>
      <c r="P1078" s="773"/>
      <c r="Q1078" s="705"/>
      <c r="R1078" s="754"/>
      <c r="S1078" s="789"/>
      <c r="T1078" s="705"/>
      <c r="U1078" s="755"/>
    </row>
    <row r="1079" ht="26.25" customHeight="1">
      <c r="A1079" s="769"/>
      <c r="B1079" s="770"/>
      <c r="C1079" s="771"/>
      <c r="D1079" s="705"/>
      <c r="E1079" s="705"/>
      <c r="F1079" s="707"/>
      <c r="G1079" s="772"/>
      <c r="H1079" s="772"/>
      <c r="I1079" s="773"/>
      <c r="J1079" s="510"/>
      <c r="K1079" s="510"/>
      <c r="L1079" s="510"/>
      <c r="M1079" s="773"/>
      <c r="N1079" s="510"/>
      <c r="O1079" s="773"/>
      <c r="P1079" s="773"/>
      <c r="Q1079" s="705"/>
      <c r="R1079" s="754"/>
      <c r="S1079" s="789"/>
      <c r="T1079" s="705"/>
      <c r="U1079" s="755"/>
    </row>
    <row r="1080" ht="26.25" customHeight="1">
      <c r="A1080" s="769"/>
      <c r="B1080" s="770"/>
      <c r="C1080" s="771"/>
      <c r="D1080" s="705"/>
      <c r="E1080" s="705"/>
      <c r="F1080" s="707"/>
      <c r="G1080" s="772"/>
      <c r="H1080" s="772"/>
      <c r="I1080" s="773"/>
      <c r="J1080" s="510"/>
      <c r="K1080" s="510"/>
      <c r="L1080" s="510"/>
      <c r="M1080" s="773"/>
      <c r="N1080" s="510"/>
      <c r="O1080" s="773"/>
      <c r="P1080" s="773"/>
      <c r="Q1080" s="705"/>
      <c r="R1080" s="754"/>
      <c r="S1080" s="789"/>
      <c r="T1080" s="705"/>
      <c r="U1080" s="755"/>
    </row>
    <row r="1081" ht="26.25" customHeight="1">
      <c r="A1081" s="769"/>
      <c r="B1081" s="770"/>
      <c r="C1081" s="771"/>
      <c r="D1081" s="705"/>
      <c r="E1081" s="705"/>
      <c r="F1081" s="707"/>
      <c r="G1081" s="772"/>
      <c r="H1081" s="772"/>
      <c r="I1081" s="773"/>
      <c r="J1081" s="510"/>
      <c r="K1081" s="510"/>
      <c r="L1081" s="510"/>
      <c r="M1081" s="773"/>
      <c r="N1081" s="510"/>
      <c r="O1081" s="773"/>
      <c r="P1081" s="773"/>
      <c r="Q1081" s="705"/>
      <c r="R1081" s="754"/>
      <c r="S1081" s="789"/>
      <c r="T1081" s="705"/>
      <c r="U1081" s="755"/>
    </row>
    <row r="1082" ht="26.25" customHeight="1">
      <c r="A1082" s="769"/>
      <c r="B1082" s="770"/>
      <c r="C1082" s="771"/>
      <c r="D1082" s="705"/>
      <c r="E1082" s="705"/>
      <c r="F1082" s="707"/>
      <c r="G1082" s="772"/>
      <c r="H1082" s="772"/>
      <c r="I1082" s="773"/>
      <c r="J1082" s="510"/>
      <c r="K1082" s="510"/>
      <c r="L1082" s="510"/>
      <c r="M1082" s="773"/>
      <c r="N1082" s="510"/>
      <c r="O1082" s="773"/>
      <c r="P1082" s="773"/>
      <c r="Q1082" s="705"/>
      <c r="R1082" s="754"/>
      <c r="S1082" s="789"/>
      <c r="T1082" s="705"/>
      <c r="U1082" s="755"/>
    </row>
    <row r="1083" ht="26.25" customHeight="1">
      <c r="A1083" s="769"/>
      <c r="B1083" s="770"/>
      <c r="C1083" s="771"/>
      <c r="D1083" s="705"/>
      <c r="E1083" s="705"/>
      <c r="F1083" s="707"/>
      <c r="G1083" s="772"/>
      <c r="H1083" s="772"/>
      <c r="I1083" s="773"/>
      <c r="J1083" s="510"/>
      <c r="K1083" s="510"/>
      <c r="L1083" s="510"/>
      <c r="M1083" s="773"/>
      <c r="N1083" s="510"/>
      <c r="O1083" s="773"/>
      <c r="P1083" s="773"/>
      <c r="Q1083" s="705"/>
      <c r="R1083" s="754"/>
      <c r="S1083" s="789"/>
      <c r="T1083" s="705"/>
      <c r="U1083" s="755"/>
    </row>
    <row r="1084" ht="26.25" customHeight="1">
      <c r="A1084" s="769"/>
      <c r="B1084" s="770"/>
      <c r="C1084" s="771"/>
      <c r="D1084" s="705"/>
      <c r="E1084" s="705"/>
      <c r="F1084" s="707"/>
      <c r="G1084" s="772"/>
      <c r="H1084" s="772"/>
      <c r="I1084" s="773"/>
      <c r="J1084" s="510"/>
      <c r="K1084" s="510"/>
      <c r="L1084" s="510"/>
      <c r="M1084" s="773"/>
      <c r="N1084" s="510"/>
      <c r="O1084" s="773"/>
      <c r="P1084" s="773"/>
      <c r="Q1084" s="705"/>
      <c r="R1084" s="754"/>
      <c r="S1084" s="789"/>
      <c r="T1084" s="705"/>
      <c r="U1084" s="755"/>
    </row>
    <row r="1085" ht="26.25" customHeight="1">
      <c r="A1085" s="769"/>
      <c r="B1085" s="770"/>
      <c r="C1085" s="771"/>
      <c r="D1085" s="705"/>
      <c r="E1085" s="705"/>
      <c r="F1085" s="707"/>
      <c r="G1085" s="772"/>
      <c r="H1085" s="772"/>
      <c r="I1085" s="773"/>
      <c r="J1085" s="510"/>
      <c r="K1085" s="510"/>
      <c r="L1085" s="510"/>
      <c r="M1085" s="773"/>
      <c r="N1085" s="510"/>
      <c r="O1085" s="773"/>
      <c r="P1085" s="773"/>
      <c r="Q1085" s="705"/>
      <c r="R1085" s="754"/>
      <c r="S1085" s="789"/>
      <c r="T1085" s="705"/>
      <c r="U1085" s="755"/>
    </row>
    <row r="1086" ht="26.25" customHeight="1">
      <c r="A1086" s="769"/>
      <c r="B1086" s="770"/>
      <c r="C1086" s="771"/>
      <c r="D1086" s="705"/>
      <c r="E1086" s="705"/>
      <c r="F1086" s="707"/>
      <c r="G1086" s="772"/>
      <c r="H1086" s="772"/>
      <c r="I1086" s="773"/>
      <c r="J1086" s="510"/>
      <c r="K1086" s="510"/>
      <c r="L1086" s="510"/>
      <c r="M1086" s="773"/>
      <c r="N1086" s="510"/>
      <c r="O1086" s="773"/>
      <c r="P1086" s="773"/>
      <c r="Q1086" s="705"/>
      <c r="R1086" s="754"/>
      <c r="S1086" s="789"/>
      <c r="T1086" s="705"/>
      <c r="U1086" s="755"/>
    </row>
    <row r="1087" ht="26.25" customHeight="1">
      <c r="A1087" s="769"/>
      <c r="B1087" s="770"/>
      <c r="C1087" s="771"/>
      <c r="D1087" s="705"/>
      <c r="E1087" s="705"/>
      <c r="F1087" s="707"/>
      <c r="G1087" s="772"/>
      <c r="H1087" s="772"/>
      <c r="I1087" s="773"/>
      <c r="J1087" s="510"/>
      <c r="K1087" s="510"/>
      <c r="L1087" s="510"/>
      <c r="M1087" s="773"/>
      <c r="N1087" s="510"/>
      <c r="O1087" s="773"/>
      <c r="P1087" s="773"/>
      <c r="Q1087" s="705"/>
      <c r="R1087" s="754"/>
      <c r="S1087" s="789"/>
      <c r="T1087" s="705"/>
      <c r="U1087" s="755"/>
    </row>
    <row r="1088" ht="26.25" customHeight="1">
      <c r="A1088" s="769"/>
      <c r="B1088" s="770"/>
      <c r="C1088" s="771"/>
      <c r="D1088" s="705"/>
      <c r="E1088" s="705"/>
      <c r="F1088" s="707"/>
      <c r="G1088" s="772"/>
      <c r="H1088" s="772"/>
      <c r="I1088" s="773"/>
      <c r="J1088" s="510"/>
      <c r="K1088" s="510"/>
      <c r="L1088" s="510"/>
      <c r="M1088" s="773"/>
      <c r="N1088" s="510"/>
      <c r="O1088" s="773"/>
      <c r="P1088" s="773"/>
      <c r="Q1088" s="705"/>
      <c r="R1088" s="754"/>
      <c r="S1088" s="789"/>
      <c r="T1088" s="705"/>
      <c r="U1088" s="755"/>
    </row>
    <row r="1089" ht="26.25" customHeight="1">
      <c r="A1089" s="769"/>
      <c r="B1089" s="770"/>
      <c r="C1089" s="771"/>
      <c r="D1089" s="705"/>
      <c r="E1089" s="705"/>
      <c r="F1089" s="707"/>
      <c r="G1089" s="772"/>
      <c r="H1089" s="772"/>
      <c r="I1089" s="773"/>
      <c r="J1089" s="510"/>
      <c r="K1089" s="510"/>
      <c r="L1089" s="510"/>
      <c r="M1089" s="773"/>
      <c r="N1089" s="510"/>
      <c r="O1089" s="773"/>
      <c r="P1089" s="773"/>
      <c r="Q1089" s="705"/>
      <c r="R1089" s="754"/>
      <c r="S1089" s="789"/>
      <c r="T1089" s="705"/>
      <c r="U1089" s="755"/>
    </row>
    <row r="1090" ht="26.25" customHeight="1">
      <c r="A1090" s="769"/>
      <c r="B1090" s="770"/>
      <c r="C1090" s="771"/>
      <c r="D1090" s="705"/>
      <c r="E1090" s="705"/>
      <c r="F1090" s="707"/>
      <c r="G1090" s="772"/>
      <c r="H1090" s="772"/>
      <c r="I1090" s="773"/>
      <c r="J1090" s="510"/>
      <c r="K1090" s="510"/>
      <c r="L1090" s="510"/>
      <c r="M1090" s="773"/>
      <c r="N1090" s="510"/>
      <c r="O1090" s="773"/>
      <c r="P1090" s="773"/>
      <c r="Q1090" s="705"/>
      <c r="R1090" s="754"/>
      <c r="S1090" s="789"/>
      <c r="T1090" s="705"/>
      <c r="U1090" s="755"/>
    </row>
    <row r="1091" ht="26.25" customHeight="1">
      <c r="A1091" s="769"/>
      <c r="B1091" s="770"/>
      <c r="C1091" s="771"/>
      <c r="D1091" s="705"/>
      <c r="E1091" s="705"/>
      <c r="F1091" s="707"/>
      <c r="G1091" s="772"/>
      <c r="H1091" s="772"/>
      <c r="I1091" s="773"/>
      <c r="J1091" s="510"/>
      <c r="K1091" s="510"/>
      <c r="L1091" s="510"/>
      <c r="M1091" s="773"/>
      <c r="N1091" s="510"/>
      <c r="O1091" s="773"/>
      <c r="P1091" s="773"/>
      <c r="Q1091" s="705"/>
      <c r="R1091" s="754"/>
      <c r="S1091" s="789"/>
      <c r="T1091" s="705"/>
      <c r="U1091" s="755"/>
    </row>
    <row r="1092" ht="26.25" customHeight="1">
      <c r="A1092" s="769"/>
      <c r="B1092" s="770"/>
      <c r="C1092" s="771"/>
      <c r="D1092" s="705"/>
      <c r="E1092" s="705"/>
      <c r="F1092" s="707"/>
      <c r="G1092" s="772"/>
      <c r="H1092" s="772"/>
      <c r="I1092" s="773"/>
      <c r="J1092" s="510"/>
      <c r="K1092" s="510"/>
      <c r="L1092" s="510"/>
      <c r="M1092" s="773"/>
      <c r="N1092" s="510"/>
      <c r="O1092" s="773"/>
      <c r="P1092" s="773"/>
      <c r="Q1092" s="705"/>
      <c r="R1092" s="754"/>
      <c r="S1092" s="789"/>
      <c r="T1092" s="705"/>
      <c r="U1092" s="755"/>
    </row>
    <row r="1093" ht="26.25" customHeight="1">
      <c r="A1093" s="769"/>
      <c r="B1093" s="770"/>
      <c r="C1093" s="771"/>
      <c r="D1093" s="705"/>
      <c r="E1093" s="705"/>
      <c r="F1093" s="707"/>
      <c r="G1093" s="772"/>
      <c r="H1093" s="772"/>
      <c r="I1093" s="773"/>
      <c r="J1093" s="510"/>
      <c r="K1093" s="510"/>
      <c r="L1093" s="510"/>
      <c r="M1093" s="773"/>
      <c r="N1093" s="510"/>
      <c r="O1093" s="773"/>
      <c r="P1093" s="773"/>
      <c r="Q1093" s="705"/>
      <c r="R1093" s="754"/>
      <c r="S1093" s="789"/>
      <c r="T1093" s="705"/>
      <c r="U1093" s="755"/>
    </row>
    <row r="1094" ht="26.25" customHeight="1">
      <c r="A1094" s="769"/>
      <c r="B1094" s="770"/>
      <c r="C1094" s="771"/>
      <c r="D1094" s="705"/>
      <c r="E1094" s="705"/>
      <c r="F1094" s="707"/>
      <c r="G1094" s="772"/>
      <c r="H1094" s="772"/>
      <c r="I1094" s="773"/>
      <c r="J1094" s="510"/>
      <c r="K1094" s="510"/>
      <c r="L1094" s="510"/>
      <c r="M1094" s="773"/>
      <c r="N1094" s="510"/>
      <c r="O1094" s="773"/>
      <c r="P1094" s="773"/>
      <c r="Q1094" s="705"/>
      <c r="R1094" s="754"/>
      <c r="S1094" s="789"/>
      <c r="T1094" s="705"/>
      <c r="U1094" s="755"/>
    </row>
    <row r="1095" ht="26.25" customHeight="1">
      <c r="A1095" s="769"/>
      <c r="B1095" s="770"/>
      <c r="C1095" s="771"/>
      <c r="D1095" s="705"/>
      <c r="E1095" s="705"/>
      <c r="F1095" s="707"/>
      <c r="G1095" s="772"/>
      <c r="H1095" s="772"/>
      <c r="I1095" s="773"/>
      <c r="J1095" s="510"/>
      <c r="K1095" s="510"/>
      <c r="L1095" s="510"/>
      <c r="M1095" s="773"/>
      <c r="N1095" s="510"/>
      <c r="O1095" s="773"/>
      <c r="P1095" s="773"/>
      <c r="Q1095" s="705"/>
      <c r="R1095" s="754"/>
      <c r="S1095" s="789"/>
      <c r="T1095" s="705"/>
      <c r="U1095" s="755"/>
    </row>
    <row r="1096" ht="26.25" customHeight="1">
      <c r="A1096" s="769"/>
      <c r="B1096" s="770"/>
      <c r="C1096" s="771"/>
      <c r="D1096" s="705"/>
      <c r="E1096" s="705"/>
      <c r="F1096" s="707"/>
      <c r="G1096" s="772"/>
      <c r="H1096" s="772"/>
      <c r="I1096" s="773"/>
      <c r="J1096" s="510"/>
      <c r="K1096" s="510"/>
      <c r="L1096" s="510"/>
      <c r="M1096" s="773"/>
      <c r="N1096" s="510"/>
      <c r="O1096" s="773"/>
      <c r="P1096" s="773"/>
      <c r="Q1096" s="705"/>
      <c r="R1096" s="754"/>
      <c r="S1096" s="789"/>
      <c r="T1096" s="705"/>
      <c r="U1096" s="755"/>
    </row>
    <row r="1097" ht="26.25" customHeight="1">
      <c r="A1097" s="769"/>
      <c r="B1097" s="770"/>
      <c r="C1097" s="771"/>
      <c r="D1097" s="705"/>
      <c r="E1097" s="705"/>
      <c r="F1097" s="707"/>
      <c r="G1097" s="772"/>
      <c r="H1097" s="772"/>
      <c r="I1097" s="773"/>
      <c r="J1097" s="510"/>
      <c r="K1097" s="510"/>
      <c r="L1097" s="510"/>
      <c r="M1097" s="773"/>
      <c r="N1097" s="510"/>
      <c r="O1097" s="773"/>
      <c r="P1097" s="773"/>
      <c r="Q1097" s="705"/>
      <c r="R1097" s="754"/>
      <c r="S1097" s="789"/>
      <c r="T1097" s="705"/>
      <c r="U1097" s="755"/>
    </row>
    <row r="1098" ht="26.25" customHeight="1">
      <c r="A1098" s="769"/>
      <c r="B1098" s="770"/>
      <c r="C1098" s="771"/>
      <c r="D1098" s="705"/>
      <c r="E1098" s="705"/>
      <c r="F1098" s="707"/>
      <c r="G1098" s="772"/>
      <c r="H1098" s="772"/>
      <c r="I1098" s="773"/>
      <c r="J1098" s="510"/>
      <c r="K1098" s="510"/>
      <c r="L1098" s="510"/>
      <c r="M1098" s="773"/>
      <c r="N1098" s="510"/>
      <c r="O1098" s="773"/>
      <c r="P1098" s="773"/>
      <c r="Q1098" s="705"/>
      <c r="R1098" s="754"/>
      <c r="S1098" s="789"/>
      <c r="T1098" s="705"/>
      <c r="U1098" s="755"/>
    </row>
    <row r="1099" ht="26.25" customHeight="1">
      <c r="A1099" s="769"/>
      <c r="B1099" s="770"/>
      <c r="C1099" s="771"/>
      <c r="D1099" s="705"/>
      <c r="E1099" s="705"/>
      <c r="F1099" s="707"/>
      <c r="G1099" s="772"/>
      <c r="H1099" s="772"/>
      <c r="I1099" s="773"/>
      <c r="J1099" s="510"/>
      <c r="K1099" s="510"/>
      <c r="L1099" s="510"/>
      <c r="M1099" s="773"/>
      <c r="N1099" s="510"/>
      <c r="O1099" s="773"/>
      <c r="P1099" s="773"/>
      <c r="Q1099" s="705"/>
      <c r="R1099" s="754"/>
      <c r="S1099" s="789"/>
      <c r="T1099" s="705"/>
      <c r="U1099" s="755"/>
    </row>
    <row r="1100" ht="26.25" customHeight="1">
      <c r="A1100" s="769"/>
      <c r="B1100" s="770"/>
      <c r="C1100" s="771"/>
      <c r="D1100" s="705"/>
      <c r="E1100" s="705"/>
      <c r="F1100" s="707"/>
      <c r="G1100" s="772"/>
      <c r="H1100" s="772"/>
      <c r="I1100" s="773"/>
      <c r="J1100" s="510"/>
      <c r="K1100" s="510"/>
      <c r="L1100" s="510"/>
      <c r="M1100" s="773"/>
      <c r="N1100" s="510"/>
      <c r="O1100" s="773"/>
      <c r="P1100" s="773"/>
      <c r="Q1100" s="705"/>
      <c r="R1100" s="754"/>
      <c r="S1100" s="789"/>
      <c r="T1100" s="705"/>
      <c r="U1100" s="755"/>
    </row>
    <row r="1101" ht="26.25" customHeight="1">
      <c r="A1101" s="769"/>
      <c r="B1101" s="770"/>
      <c r="C1101" s="771"/>
      <c r="D1101" s="705"/>
      <c r="E1101" s="705"/>
      <c r="F1101" s="707"/>
      <c r="G1101" s="772"/>
      <c r="H1101" s="772"/>
      <c r="I1101" s="773"/>
      <c r="J1101" s="510"/>
      <c r="K1101" s="510"/>
      <c r="L1101" s="510"/>
      <c r="M1101" s="773"/>
      <c r="N1101" s="510"/>
      <c r="O1101" s="773"/>
      <c r="P1101" s="773"/>
      <c r="Q1101" s="705"/>
      <c r="R1101" s="754"/>
      <c r="S1101" s="789"/>
      <c r="T1101" s="705"/>
      <c r="U1101" s="755"/>
    </row>
    <row r="1102" ht="26.25" customHeight="1">
      <c r="A1102" s="769"/>
      <c r="B1102" s="770"/>
      <c r="C1102" s="771"/>
      <c r="D1102" s="705"/>
      <c r="E1102" s="705"/>
      <c r="F1102" s="707"/>
      <c r="G1102" s="772"/>
      <c r="H1102" s="772"/>
      <c r="I1102" s="773"/>
      <c r="J1102" s="510"/>
      <c r="K1102" s="510"/>
      <c r="L1102" s="510"/>
      <c r="M1102" s="773"/>
      <c r="N1102" s="510"/>
      <c r="O1102" s="773"/>
      <c r="P1102" s="773"/>
      <c r="Q1102" s="705"/>
      <c r="R1102" s="754"/>
      <c r="S1102" s="789"/>
      <c r="T1102" s="705"/>
      <c r="U1102" s="755"/>
    </row>
    <row r="1103" ht="26.25" customHeight="1">
      <c r="A1103" s="769"/>
      <c r="B1103" s="770"/>
      <c r="C1103" s="771"/>
      <c r="D1103" s="705"/>
      <c r="E1103" s="705"/>
      <c r="F1103" s="707"/>
      <c r="G1103" s="772"/>
      <c r="H1103" s="772"/>
      <c r="I1103" s="773"/>
      <c r="J1103" s="510"/>
      <c r="K1103" s="510"/>
      <c r="L1103" s="510"/>
      <c r="M1103" s="773"/>
      <c r="N1103" s="510"/>
      <c r="O1103" s="773"/>
      <c r="P1103" s="773"/>
      <c r="Q1103" s="705"/>
      <c r="R1103" s="754"/>
      <c r="S1103" s="789"/>
      <c r="T1103" s="705"/>
      <c r="U1103" s="755"/>
    </row>
    <row r="1104" ht="26.25" customHeight="1">
      <c r="A1104" s="769"/>
      <c r="B1104" s="770"/>
      <c r="C1104" s="771"/>
      <c r="D1104" s="705"/>
      <c r="E1104" s="705"/>
      <c r="F1104" s="707"/>
      <c r="G1104" s="772"/>
      <c r="H1104" s="772"/>
      <c r="I1104" s="773"/>
      <c r="J1104" s="510"/>
      <c r="K1104" s="510"/>
      <c r="L1104" s="510"/>
      <c r="M1104" s="773"/>
      <c r="N1104" s="510"/>
      <c r="O1104" s="773"/>
      <c r="P1104" s="773"/>
      <c r="Q1104" s="705"/>
      <c r="R1104" s="754"/>
      <c r="S1104" s="789"/>
      <c r="T1104" s="705"/>
      <c r="U1104" s="755"/>
    </row>
    <row r="1105" ht="26.25" customHeight="1">
      <c r="A1105" s="769"/>
      <c r="B1105" s="770"/>
      <c r="C1105" s="771"/>
      <c r="D1105" s="705"/>
      <c r="E1105" s="705"/>
      <c r="F1105" s="707"/>
      <c r="G1105" s="772"/>
      <c r="H1105" s="772"/>
      <c r="I1105" s="773"/>
      <c r="J1105" s="510"/>
      <c r="K1105" s="510"/>
      <c r="L1105" s="510"/>
      <c r="M1105" s="773"/>
      <c r="N1105" s="510"/>
      <c r="O1105" s="773"/>
      <c r="P1105" s="773"/>
      <c r="Q1105" s="705"/>
      <c r="R1105" s="754"/>
      <c r="S1105" s="789"/>
      <c r="T1105" s="705"/>
      <c r="U1105" s="755"/>
    </row>
    <row r="1106" ht="26.25" customHeight="1">
      <c r="A1106" s="769"/>
      <c r="B1106" s="770"/>
      <c r="C1106" s="771"/>
      <c r="D1106" s="705"/>
      <c r="E1106" s="705"/>
      <c r="F1106" s="707"/>
      <c r="G1106" s="772"/>
      <c r="H1106" s="772"/>
      <c r="I1106" s="773"/>
      <c r="J1106" s="510"/>
      <c r="K1106" s="510"/>
      <c r="L1106" s="510"/>
      <c r="M1106" s="773"/>
      <c r="N1106" s="510"/>
      <c r="O1106" s="773"/>
      <c r="P1106" s="773"/>
      <c r="Q1106" s="705"/>
      <c r="R1106" s="754"/>
      <c r="S1106" s="789"/>
      <c r="T1106" s="705"/>
      <c r="U1106" s="755"/>
    </row>
    <row r="1107" ht="26.25" customHeight="1">
      <c r="A1107" s="769"/>
      <c r="B1107" s="770"/>
      <c r="C1107" s="771"/>
      <c r="D1107" s="705"/>
      <c r="E1107" s="705"/>
      <c r="F1107" s="707"/>
      <c r="G1107" s="772"/>
      <c r="H1107" s="772"/>
      <c r="I1107" s="773"/>
      <c r="J1107" s="510"/>
      <c r="K1107" s="510"/>
      <c r="L1107" s="510"/>
      <c r="M1107" s="773"/>
      <c r="N1107" s="510"/>
      <c r="O1107" s="773"/>
      <c r="P1107" s="773"/>
      <c r="Q1107" s="705"/>
      <c r="R1107" s="754"/>
      <c r="S1107" s="789"/>
      <c r="T1107" s="705"/>
      <c r="U1107" s="755"/>
    </row>
    <row r="1108" ht="26.25" customHeight="1">
      <c r="A1108" s="769"/>
      <c r="B1108" s="770"/>
      <c r="C1108" s="771"/>
      <c r="D1108" s="705"/>
      <c r="E1108" s="705"/>
      <c r="F1108" s="707"/>
      <c r="G1108" s="772"/>
      <c r="H1108" s="772"/>
      <c r="I1108" s="773"/>
      <c r="J1108" s="510"/>
      <c r="K1108" s="510"/>
      <c r="L1108" s="510"/>
      <c r="M1108" s="773"/>
      <c r="N1108" s="510"/>
      <c r="O1108" s="773"/>
      <c r="P1108" s="773"/>
      <c r="Q1108" s="705"/>
      <c r="R1108" s="754"/>
      <c r="S1108" s="789"/>
      <c r="T1108" s="705"/>
      <c r="U1108" s="755"/>
    </row>
    <row r="1109" ht="26.25" customHeight="1">
      <c r="A1109" s="769"/>
      <c r="B1109" s="770"/>
      <c r="C1109" s="771"/>
      <c r="D1109" s="705"/>
      <c r="E1109" s="705"/>
      <c r="F1109" s="707"/>
      <c r="G1109" s="772"/>
      <c r="H1109" s="772"/>
      <c r="I1109" s="773"/>
      <c r="J1109" s="510"/>
      <c r="K1109" s="510"/>
      <c r="L1109" s="510"/>
      <c r="M1109" s="773"/>
      <c r="N1109" s="510"/>
      <c r="O1109" s="773"/>
      <c r="P1109" s="773"/>
      <c r="Q1109" s="705"/>
      <c r="R1109" s="754"/>
      <c r="S1109" s="789"/>
      <c r="T1109" s="705"/>
      <c r="U1109" s="755"/>
    </row>
    <row r="1110" ht="26.25" customHeight="1">
      <c r="A1110" s="769"/>
      <c r="B1110" s="770"/>
      <c r="C1110" s="771"/>
      <c r="D1110" s="705"/>
      <c r="E1110" s="705"/>
      <c r="F1110" s="707"/>
      <c r="G1110" s="772"/>
      <c r="H1110" s="772"/>
      <c r="I1110" s="773"/>
      <c r="J1110" s="510"/>
      <c r="K1110" s="510"/>
      <c r="L1110" s="510"/>
      <c r="M1110" s="773"/>
      <c r="N1110" s="510"/>
      <c r="O1110" s="773"/>
      <c r="P1110" s="773"/>
      <c r="Q1110" s="705"/>
      <c r="R1110" s="754"/>
      <c r="S1110" s="789"/>
      <c r="T1110" s="705"/>
      <c r="U1110" s="755"/>
    </row>
    <row r="1111" ht="26.25" customHeight="1">
      <c r="A1111" s="769"/>
      <c r="B1111" s="770"/>
      <c r="C1111" s="771"/>
      <c r="D1111" s="705"/>
      <c r="E1111" s="705"/>
      <c r="F1111" s="707"/>
      <c r="G1111" s="772"/>
      <c r="H1111" s="772"/>
      <c r="I1111" s="773"/>
      <c r="J1111" s="510"/>
      <c r="K1111" s="510"/>
      <c r="L1111" s="510"/>
      <c r="M1111" s="773"/>
      <c r="N1111" s="510"/>
      <c r="O1111" s="773"/>
      <c r="P1111" s="773"/>
      <c r="Q1111" s="705"/>
      <c r="R1111" s="754"/>
      <c r="S1111" s="789"/>
      <c r="T1111" s="705"/>
      <c r="U1111" s="755"/>
    </row>
    <row r="1112" ht="26.25" customHeight="1">
      <c r="A1112" s="769"/>
      <c r="B1112" s="770"/>
      <c r="C1112" s="771"/>
      <c r="D1112" s="705"/>
      <c r="E1112" s="705"/>
      <c r="F1112" s="707"/>
      <c r="G1112" s="772"/>
      <c r="H1112" s="772"/>
      <c r="I1112" s="773"/>
      <c r="J1112" s="510"/>
      <c r="K1112" s="510"/>
      <c r="L1112" s="510"/>
      <c r="M1112" s="773"/>
      <c r="N1112" s="510"/>
      <c r="O1112" s="773"/>
      <c r="P1112" s="773"/>
      <c r="Q1112" s="705"/>
      <c r="R1112" s="754"/>
      <c r="S1112" s="789"/>
      <c r="T1112" s="705"/>
      <c r="U1112" s="755"/>
    </row>
    <row r="1113" ht="26.25" customHeight="1">
      <c r="A1113" s="769"/>
      <c r="B1113" s="770"/>
      <c r="C1113" s="771"/>
      <c r="D1113" s="705"/>
      <c r="E1113" s="705"/>
      <c r="F1113" s="707"/>
      <c r="G1113" s="772"/>
      <c r="H1113" s="772"/>
      <c r="I1113" s="773"/>
      <c r="J1113" s="510"/>
      <c r="K1113" s="510"/>
      <c r="L1113" s="510"/>
      <c r="M1113" s="773"/>
      <c r="N1113" s="510"/>
      <c r="O1113" s="773"/>
      <c r="P1113" s="773"/>
      <c r="Q1113" s="705"/>
      <c r="R1113" s="754"/>
      <c r="S1113" s="789"/>
      <c r="T1113" s="705"/>
      <c r="U1113" s="755"/>
    </row>
    <row r="1114" ht="26.25" customHeight="1">
      <c r="A1114" s="769"/>
      <c r="B1114" s="770"/>
      <c r="C1114" s="771"/>
      <c r="D1114" s="705"/>
      <c r="E1114" s="705"/>
      <c r="F1114" s="707"/>
      <c r="G1114" s="772"/>
      <c r="H1114" s="772"/>
      <c r="I1114" s="773"/>
      <c r="J1114" s="510"/>
      <c r="K1114" s="510"/>
      <c r="L1114" s="510"/>
      <c r="M1114" s="773"/>
      <c r="N1114" s="510"/>
      <c r="O1114" s="773"/>
      <c r="P1114" s="773"/>
      <c r="Q1114" s="705"/>
      <c r="R1114" s="754"/>
      <c r="S1114" s="789"/>
      <c r="T1114" s="705"/>
      <c r="U1114" s="755"/>
    </row>
    <row r="1115" ht="26.25" customHeight="1">
      <c r="A1115" s="769"/>
      <c r="B1115" s="770"/>
      <c r="C1115" s="771"/>
      <c r="D1115" s="705"/>
      <c r="E1115" s="705"/>
      <c r="F1115" s="707"/>
      <c r="G1115" s="772"/>
      <c r="H1115" s="772"/>
      <c r="I1115" s="773"/>
      <c r="J1115" s="510"/>
      <c r="K1115" s="510"/>
      <c r="L1115" s="510"/>
      <c r="M1115" s="773"/>
      <c r="N1115" s="510"/>
      <c r="O1115" s="773"/>
      <c r="P1115" s="773"/>
      <c r="Q1115" s="705"/>
      <c r="R1115" s="754"/>
      <c r="S1115" s="789"/>
      <c r="T1115" s="705"/>
      <c r="U1115" s="755"/>
    </row>
    <row r="1116" ht="26.25" customHeight="1">
      <c r="A1116" s="769"/>
      <c r="B1116" s="770"/>
      <c r="C1116" s="771"/>
      <c r="D1116" s="705"/>
      <c r="E1116" s="705"/>
      <c r="F1116" s="707"/>
      <c r="G1116" s="772"/>
      <c r="H1116" s="772"/>
      <c r="I1116" s="773"/>
      <c r="J1116" s="510"/>
      <c r="K1116" s="510"/>
      <c r="L1116" s="510"/>
      <c r="M1116" s="773"/>
      <c r="N1116" s="510"/>
      <c r="O1116" s="773"/>
      <c r="P1116" s="773"/>
      <c r="Q1116" s="705"/>
      <c r="R1116" s="754"/>
      <c r="S1116" s="789"/>
      <c r="T1116" s="705"/>
      <c r="U1116" s="755"/>
    </row>
    <row r="1117" ht="26.25" customHeight="1">
      <c r="A1117" s="769"/>
      <c r="B1117" s="770"/>
      <c r="C1117" s="771"/>
      <c r="D1117" s="705"/>
      <c r="E1117" s="705"/>
      <c r="F1117" s="707"/>
      <c r="G1117" s="772"/>
      <c r="H1117" s="772"/>
      <c r="I1117" s="773"/>
      <c r="J1117" s="510"/>
      <c r="K1117" s="510"/>
      <c r="L1117" s="510"/>
      <c r="M1117" s="773"/>
      <c r="N1117" s="510"/>
      <c r="O1117" s="773"/>
      <c r="P1117" s="773"/>
      <c r="Q1117" s="705"/>
      <c r="R1117" s="754"/>
      <c r="S1117" s="789"/>
      <c r="T1117" s="705"/>
      <c r="U1117" s="755"/>
    </row>
    <row r="1118" ht="26.25" customHeight="1">
      <c r="A1118" s="769"/>
      <c r="B1118" s="770"/>
      <c r="C1118" s="771"/>
      <c r="D1118" s="705"/>
      <c r="E1118" s="705"/>
      <c r="F1118" s="707"/>
      <c r="G1118" s="772"/>
      <c r="H1118" s="772"/>
      <c r="I1118" s="773"/>
      <c r="J1118" s="510"/>
      <c r="K1118" s="510"/>
      <c r="L1118" s="510"/>
      <c r="M1118" s="773"/>
      <c r="N1118" s="510"/>
      <c r="O1118" s="773"/>
      <c r="P1118" s="773"/>
      <c r="Q1118" s="705"/>
      <c r="R1118" s="754"/>
      <c r="S1118" s="789"/>
      <c r="T1118" s="705"/>
      <c r="U1118" s="755"/>
    </row>
    <row r="1119" ht="26.25" customHeight="1">
      <c r="A1119" s="769"/>
      <c r="B1119" s="770"/>
      <c r="C1119" s="771"/>
      <c r="D1119" s="705"/>
      <c r="E1119" s="705"/>
      <c r="F1119" s="707"/>
      <c r="G1119" s="772"/>
      <c r="H1119" s="772"/>
      <c r="I1119" s="773"/>
      <c r="J1119" s="510"/>
      <c r="K1119" s="510"/>
      <c r="L1119" s="510"/>
      <c r="M1119" s="773"/>
      <c r="N1119" s="510"/>
      <c r="O1119" s="773"/>
      <c r="P1119" s="773"/>
      <c r="Q1119" s="705"/>
      <c r="R1119" s="754"/>
      <c r="S1119" s="789"/>
      <c r="T1119" s="705"/>
      <c r="U1119" s="755"/>
    </row>
    <row r="1120" ht="26.25" customHeight="1">
      <c r="A1120" s="769"/>
      <c r="B1120" s="770"/>
      <c r="C1120" s="771"/>
      <c r="D1120" s="705"/>
      <c r="E1120" s="705"/>
      <c r="F1120" s="707"/>
      <c r="G1120" s="772"/>
      <c r="H1120" s="772"/>
      <c r="I1120" s="773"/>
      <c r="J1120" s="510"/>
      <c r="K1120" s="510"/>
      <c r="L1120" s="510"/>
      <c r="M1120" s="773"/>
      <c r="N1120" s="510"/>
      <c r="O1120" s="773"/>
      <c r="P1120" s="773"/>
      <c r="Q1120" s="705"/>
      <c r="R1120" s="754"/>
      <c r="S1120" s="789"/>
      <c r="T1120" s="705"/>
      <c r="U1120" s="755"/>
    </row>
    <row r="1121" ht="26.25" customHeight="1">
      <c r="A1121" s="769"/>
      <c r="B1121" s="770"/>
      <c r="C1121" s="771"/>
      <c r="D1121" s="705"/>
      <c r="E1121" s="705"/>
      <c r="F1121" s="707"/>
      <c r="G1121" s="772"/>
      <c r="H1121" s="772"/>
      <c r="I1121" s="773"/>
      <c r="J1121" s="510"/>
      <c r="K1121" s="510"/>
      <c r="L1121" s="510"/>
      <c r="M1121" s="773"/>
      <c r="N1121" s="510"/>
      <c r="O1121" s="773"/>
      <c r="P1121" s="773"/>
      <c r="Q1121" s="705"/>
      <c r="R1121" s="754"/>
      <c r="S1121" s="789"/>
      <c r="T1121" s="705"/>
      <c r="U1121" s="755"/>
    </row>
    <row r="1122" ht="26.25" customHeight="1">
      <c r="A1122" s="769"/>
      <c r="B1122" s="770"/>
      <c r="C1122" s="771"/>
      <c r="D1122" s="705"/>
      <c r="E1122" s="705"/>
      <c r="F1122" s="707"/>
      <c r="G1122" s="772"/>
      <c r="H1122" s="772"/>
      <c r="I1122" s="773"/>
      <c r="J1122" s="510"/>
      <c r="K1122" s="510"/>
      <c r="L1122" s="510"/>
      <c r="M1122" s="773"/>
      <c r="N1122" s="510"/>
      <c r="O1122" s="773"/>
      <c r="P1122" s="773"/>
      <c r="Q1122" s="705"/>
      <c r="R1122" s="754"/>
      <c r="S1122" s="789"/>
      <c r="T1122" s="705"/>
      <c r="U1122" s="755"/>
    </row>
    <row r="1123" ht="26.25" customHeight="1">
      <c r="A1123" s="769"/>
      <c r="B1123" s="770"/>
      <c r="C1123" s="771"/>
      <c r="D1123" s="705"/>
      <c r="E1123" s="705"/>
      <c r="F1123" s="707"/>
      <c r="G1123" s="772"/>
      <c r="H1123" s="772"/>
      <c r="I1123" s="773"/>
      <c r="J1123" s="510"/>
      <c r="K1123" s="510"/>
      <c r="L1123" s="510"/>
      <c r="M1123" s="773"/>
      <c r="N1123" s="510"/>
      <c r="O1123" s="773"/>
      <c r="P1123" s="773"/>
      <c r="Q1123" s="705"/>
      <c r="R1123" s="754"/>
      <c r="S1123" s="789"/>
      <c r="T1123" s="705"/>
      <c r="U1123" s="755"/>
    </row>
    <row r="1124" ht="26.25" customHeight="1">
      <c r="A1124" s="769"/>
      <c r="B1124" s="770"/>
      <c r="C1124" s="771"/>
      <c r="D1124" s="705"/>
      <c r="E1124" s="705"/>
      <c r="F1124" s="707"/>
      <c r="G1124" s="772"/>
      <c r="H1124" s="772"/>
      <c r="I1124" s="773"/>
      <c r="J1124" s="510"/>
      <c r="K1124" s="510"/>
      <c r="L1124" s="510"/>
      <c r="M1124" s="773"/>
      <c r="N1124" s="510"/>
      <c r="O1124" s="773"/>
      <c r="P1124" s="773"/>
      <c r="Q1124" s="705"/>
      <c r="R1124" s="754"/>
      <c r="S1124" s="789"/>
      <c r="T1124" s="705"/>
      <c r="U1124" s="755"/>
    </row>
    <row r="1125" ht="26.25" customHeight="1">
      <c r="A1125" s="769"/>
      <c r="B1125" s="770"/>
      <c r="C1125" s="771"/>
      <c r="D1125" s="705"/>
      <c r="E1125" s="705"/>
      <c r="F1125" s="707"/>
      <c r="G1125" s="772"/>
      <c r="H1125" s="772"/>
      <c r="I1125" s="773"/>
      <c r="J1125" s="510"/>
      <c r="K1125" s="510"/>
      <c r="L1125" s="510"/>
      <c r="M1125" s="773"/>
      <c r="N1125" s="510"/>
      <c r="O1125" s="773"/>
      <c r="P1125" s="773"/>
      <c r="Q1125" s="705"/>
      <c r="R1125" s="754"/>
      <c r="S1125" s="789"/>
      <c r="T1125" s="705"/>
      <c r="U1125" s="755"/>
    </row>
    <row r="1126" ht="26.25" customHeight="1">
      <c r="A1126" s="769"/>
      <c r="B1126" s="770"/>
      <c r="C1126" s="771"/>
      <c r="D1126" s="705"/>
      <c r="E1126" s="705"/>
      <c r="F1126" s="707"/>
      <c r="G1126" s="772"/>
      <c r="H1126" s="772"/>
      <c r="I1126" s="773"/>
      <c r="J1126" s="510"/>
      <c r="K1126" s="510"/>
      <c r="L1126" s="510"/>
      <c r="M1126" s="773"/>
      <c r="N1126" s="510"/>
      <c r="O1126" s="773"/>
      <c r="P1126" s="773"/>
      <c r="Q1126" s="705"/>
      <c r="R1126" s="754"/>
      <c r="S1126" s="789"/>
      <c r="T1126" s="705"/>
      <c r="U1126" s="755"/>
    </row>
    <row r="1127" ht="26.25" customHeight="1">
      <c r="A1127" s="769"/>
      <c r="B1127" s="770"/>
      <c r="C1127" s="771"/>
      <c r="D1127" s="705"/>
      <c r="E1127" s="705"/>
      <c r="F1127" s="707"/>
      <c r="G1127" s="772"/>
      <c r="H1127" s="772"/>
      <c r="I1127" s="773"/>
      <c r="J1127" s="510"/>
      <c r="K1127" s="510"/>
      <c r="L1127" s="510"/>
      <c r="M1127" s="773"/>
      <c r="N1127" s="510"/>
      <c r="O1127" s="773"/>
      <c r="P1127" s="773"/>
      <c r="Q1127" s="705"/>
      <c r="R1127" s="754"/>
      <c r="S1127" s="789"/>
      <c r="T1127" s="705"/>
      <c r="U1127" s="755"/>
    </row>
    <row r="1128" ht="26.25" customHeight="1">
      <c r="A1128" s="769"/>
      <c r="B1128" s="770"/>
      <c r="C1128" s="771"/>
      <c r="D1128" s="705"/>
      <c r="E1128" s="705"/>
      <c r="F1128" s="707"/>
      <c r="G1128" s="772"/>
      <c r="H1128" s="772"/>
      <c r="I1128" s="773"/>
      <c r="J1128" s="510"/>
      <c r="K1128" s="510"/>
      <c r="L1128" s="510"/>
      <c r="M1128" s="773"/>
      <c r="N1128" s="510"/>
      <c r="O1128" s="773"/>
      <c r="P1128" s="773"/>
      <c r="Q1128" s="705"/>
      <c r="R1128" s="754"/>
      <c r="S1128" s="789"/>
      <c r="T1128" s="705"/>
      <c r="U1128" s="755"/>
    </row>
    <row r="1129" ht="26.25" customHeight="1">
      <c r="A1129" s="769"/>
      <c r="B1129" s="770"/>
      <c r="C1129" s="771"/>
      <c r="D1129" s="705"/>
      <c r="E1129" s="705"/>
      <c r="F1129" s="707"/>
      <c r="G1129" s="772"/>
      <c r="H1129" s="772"/>
      <c r="I1129" s="773"/>
      <c r="J1129" s="510"/>
      <c r="K1129" s="510"/>
      <c r="L1129" s="510"/>
      <c r="M1129" s="773"/>
      <c r="N1129" s="510"/>
      <c r="O1129" s="773"/>
      <c r="P1129" s="773"/>
      <c r="Q1129" s="705"/>
      <c r="R1129" s="754"/>
      <c r="S1129" s="789"/>
      <c r="T1129" s="705"/>
      <c r="U1129" s="755"/>
    </row>
    <row r="1130" ht="26.25" customHeight="1">
      <c r="A1130" s="769"/>
      <c r="B1130" s="770"/>
      <c r="C1130" s="771"/>
      <c r="D1130" s="705"/>
      <c r="E1130" s="705"/>
      <c r="F1130" s="707"/>
      <c r="G1130" s="772"/>
      <c r="H1130" s="772"/>
      <c r="I1130" s="773"/>
      <c r="J1130" s="510"/>
      <c r="K1130" s="510"/>
      <c r="L1130" s="510"/>
      <c r="M1130" s="773"/>
      <c r="N1130" s="510"/>
      <c r="O1130" s="773"/>
      <c r="P1130" s="773"/>
      <c r="Q1130" s="705"/>
      <c r="R1130" s="754"/>
      <c r="S1130" s="789"/>
      <c r="T1130" s="705"/>
      <c r="U1130" s="755"/>
    </row>
    <row r="1131" ht="26.25" customHeight="1">
      <c r="A1131" s="769"/>
      <c r="B1131" s="770"/>
      <c r="C1131" s="771"/>
      <c r="D1131" s="705"/>
      <c r="E1131" s="705"/>
      <c r="F1131" s="707"/>
      <c r="G1131" s="772"/>
      <c r="H1131" s="772"/>
      <c r="I1131" s="773"/>
      <c r="J1131" s="510"/>
      <c r="K1131" s="510"/>
      <c r="L1131" s="510"/>
      <c r="M1131" s="773"/>
      <c r="N1131" s="510"/>
      <c r="O1131" s="773"/>
      <c r="P1131" s="773"/>
      <c r="Q1131" s="705"/>
      <c r="R1131" s="754"/>
      <c r="S1131" s="789"/>
      <c r="T1131" s="705"/>
      <c r="U1131" s="755"/>
    </row>
    <row r="1132" ht="26.25" customHeight="1">
      <c r="A1132" s="769"/>
      <c r="B1132" s="770"/>
      <c r="C1132" s="771"/>
      <c r="D1132" s="705"/>
      <c r="E1132" s="705"/>
      <c r="F1132" s="707"/>
      <c r="G1132" s="772"/>
      <c r="H1132" s="772"/>
      <c r="I1132" s="773"/>
      <c r="J1132" s="510"/>
      <c r="K1132" s="510"/>
      <c r="L1132" s="510"/>
      <c r="M1132" s="773"/>
      <c r="N1132" s="510"/>
      <c r="O1132" s="773"/>
      <c r="P1132" s="773"/>
      <c r="Q1132" s="705"/>
      <c r="R1132" s="754"/>
      <c r="S1132" s="789"/>
      <c r="T1132" s="705"/>
      <c r="U1132" s="755"/>
    </row>
    <row r="1133" ht="26.25" customHeight="1">
      <c r="A1133" s="769"/>
      <c r="B1133" s="770"/>
      <c r="C1133" s="771"/>
      <c r="D1133" s="705"/>
      <c r="E1133" s="705"/>
      <c r="F1133" s="707"/>
      <c r="G1133" s="772"/>
      <c r="H1133" s="772"/>
      <c r="I1133" s="773"/>
      <c r="J1133" s="510"/>
      <c r="K1133" s="510"/>
      <c r="L1133" s="510"/>
      <c r="M1133" s="773"/>
      <c r="N1133" s="510"/>
      <c r="O1133" s="773"/>
      <c r="P1133" s="773"/>
      <c r="Q1133" s="705"/>
      <c r="R1133" s="754"/>
      <c r="S1133" s="789"/>
      <c r="T1133" s="705"/>
      <c r="U1133" s="755"/>
    </row>
    <row r="1134" ht="26.25" customHeight="1">
      <c r="A1134" s="769"/>
      <c r="B1134" s="770"/>
      <c r="C1134" s="771"/>
      <c r="D1134" s="705"/>
      <c r="E1134" s="705"/>
      <c r="F1134" s="707"/>
      <c r="G1134" s="772"/>
      <c r="H1134" s="772"/>
      <c r="I1134" s="773"/>
      <c r="J1134" s="510"/>
      <c r="K1134" s="510"/>
      <c r="L1134" s="510"/>
      <c r="M1134" s="773"/>
      <c r="N1134" s="510"/>
      <c r="O1134" s="773"/>
      <c r="P1134" s="773"/>
      <c r="Q1134" s="705"/>
      <c r="R1134" s="754"/>
      <c r="S1134" s="789"/>
      <c r="T1134" s="705"/>
      <c r="U1134" s="755"/>
    </row>
    <row r="1135" ht="26.25" customHeight="1">
      <c r="A1135" s="769"/>
      <c r="B1135" s="770"/>
      <c r="C1135" s="771"/>
      <c r="D1135" s="705"/>
      <c r="E1135" s="705"/>
      <c r="F1135" s="707"/>
      <c r="G1135" s="772"/>
      <c r="H1135" s="772"/>
      <c r="I1135" s="773"/>
      <c r="J1135" s="510"/>
      <c r="K1135" s="510"/>
      <c r="L1135" s="510"/>
      <c r="M1135" s="773"/>
      <c r="N1135" s="510"/>
      <c r="O1135" s="773"/>
      <c r="P1135" s="773"/>
      <c r="Q1135" s="705"/>
      <c r="R1135" s="754"/>
      <c r="S1135" s="789"/>
      <c r="T1135" s="705"/>
      <c r="U1135" s="755"/>
    </row>
    <row r="1136" ht="26.25" customHeight="1">
      <c r="A1136" s="769"/>
      <c r="B1136" s="770"/>
      <c r="C1136" s="771"/>
      <c r="D1136" s="705"/>
      <c r="E1136" s="705"/>
      <c r="F1136" s="707"/>
      <c r="G1136" s="772"/>
      <c r="H1136" s="772"/>
      <c r="I1136" s="773"/>
      <c r="J1136" s="510"/>
      <c r="K1136" s="510"/>
      <c r="L1136" s="510"/>
      <c r="M1136" s="773"/>
      <c r="N1136" s="510"/>
      <c r="O1136" s="773"/>
      <c r="P1136" s="773"/>
      <c r="Q1136" s="705"/>
      <c r="R1136" s="754"/>
      <c r="S1136" s="789"/>
      <c r="T1136" s="705"/>
      <c r="U1136" s="755"/>
    </row>
    <row r="1137" ht="26.25" customHeight="1">
      <c r="A1137" s="769"/>
      <c r="B1137" s="770"/>
      <c r="C1137" s="771"/>
      <c r="D1137" s="705"/>
      <c r="E1137" s="705"/>
      <c r="F1137" s="707"/>
      <c r="G1137" s="772"/>
      <c r="H1137" s="772"/>
      <c r="I1137" s="773"/>
      <c r="J1137" s="510"/>
      <c r="K1137" s="510"/>
      <c r="L1137" s="510"/>
      <c r="M1137" s="773"/>
      <c r="N1137" s="510"/>
      <c r="O1137" s="773"/>
      <c r="P1137" s="773"/>
      <c r="Q1137" s="705"/>
      <c r="R1137" s="754"/>
      <c r="S1137" s="789"/>
      <c r="T1137" s="705"/>
      <c r="U1137" s="755"/>
    </row>
    <row r="1138" ht="26.25" customHeight="1">
      <c r="A1138" s="769"/>
      <c r="B1138" s="770"/>
      <c r="C1138" s="771"/>
      <c r="D1138" s="705"/>
      <c r="E1138" s="705"/>
      <c r="F1138" s="707"/>
      <c r="G1138" s="772"/>
      <c r="H1138" s="772"/>
      <c r="I1138" s="773"/>
      <c r="J1138" s="510"/>
      <c r="K1138" s="510"/>
      <c r="L1138" s="510"/>
      <c r="M1138" s="773"/>
      <c r="N1138" s="510"/>
      <c r="O1138" s="773"/>
      <c r="P1138" s="773"/>
      <c r="Q1138" s="705"/>
      <c r="R1138" s="754"/>
      <c r="S1138" s="789"/>
      <c r="T1138" s="705"/>
      <c r="U1138" s="755"/>
    </row>
    <row r="1139" ht="26.25" customHeight="1">
      <c r="A1139" s="769"/>
      <c r="B1139" s="770"/>
      <c r="C1139" s="771"/>
      <c r="D1139" s="705"/>
      <c r="E1139" s="705"/>
      <c r="F1139" s="707"/>
      <c r="G1139" s="772"/>
      <c r="H1139" s="772"/>
      <c r="I1139" s="773"/>
      <c r="J1139" s="510"/>
      <c r="K1139" s="510"/>
      <c r="L1139" s="510"/>
      <c r="M1139" s="773"/>
      <c r="N1139" s="510"/>
      <c r="O1139" s="773"/>
      <c r="P1139" s="773"/>
      <c r="Q1139" s="705"/>
      <c r="R1139" s="754"/>
      <c r="S1139" s="789"/>
      <c r="T1139" s="705"/>
      <c r="U1139" s="755"/>
    </row>
    <row r="1140" ht="26.25" customHeight="1">
      <c r="A1140" s="769"/>
      <c r="B1140" s="770"/>
      <c r="C1140" s="771"/>
      <c r="D1140" s="705"/>
      <c r="E1140" s="705"/>
      <c r="F1140" s="707"/>
      <c r="G1140" s="772"/>
      <c r="H1140" s="772"/>
      <c r="I1140" s="773"/>
      <c r="J1140" s="510"/>
      <c r="K1140" s="510"/>
      <c r="L1140" s="510"/>
      <c r="M1140" s="773"/>
      <c r="N1140" s="510"/>
      <c r="O1140" s="773"/>
      <c r="P1140" s="773"/>
      <c r="Q1140" s="705"/>
      <c r="R1140" s="754"/>
      <c r="S1140" s="789"/>
      <c r="T1140" s="705"/>
      <c r="U1140" s="755"/>
    </row>
    <row r="1141" ht="26.25" customHeight="1">
      <c r="A1141" s="769"/>
      <c r="B1141" s="770"/>
      <c r="C1141" s="771"/>
      <c r="D1141" s="705"/>
      <c r="E1141" s="705"/>
      <c r="F1141" s="707"/>
      <c r="G1141" s="772"/>
      <c r="H1141" s="772"/>
      <c r="I1141" s="773"/>
      <c r="J1141" s="510"/>
      <c r="K1141" s="510"/>
      <c r="L1141" s="510"/>
      <c r="M1141" s="773"/>
      <c r="N1141" s="510"/>
      <c r="O1141" s="773"/>
      <c r="P1141" s="773"/>
      <c r="Q1141" s="705"/>
      <c r="R1141" s="754"/>
      <c r="S1141" s="789"/>
      <c r="T1141" s="705"/>
      <c r="U1141" s="755"/>
    </row>
    <row r="1142" ht="26.25" customHeight="1">
      <c r="A1142" s="769"/>
      <c r="B1142" s="770"/>
      <c r="C1142" s="771"/>
      <c r="D1142" s="705"/>
      <c r="E1142" s="705"/>
      <c r="F1142" s="707"/>
      <c r="G1142" s="772"/>
      <c r="H1142" s="772"/>
      <c r="I1142" s="773"/>
      <c r="J1142" s="510"/>
      <c r="K1142" s="510"/>
      <c r="L1142" s="510"/>
      <c r="M1142" s="773"/>
      <c r="N1142" s="510"/>
      <c r="O1142" s="773"/>
      <c r="P1142" s="773"/>
      <c r="Q1142" s="705"/>
      <c r="R1142" s="754"/>
      <c r="S1142" s="789"/>
      <c r="T1142" s="705"/>
      <c r="U1142" s="755"/>
    </row>
  </sheetData>
  <autoFilter ref="$A$1:$U$179"/>
  <conditionalFormatting sqref="U2:U121 S196">
    <cfRule type="notContainsBlanks" dxfId="7" priority="1">
      <formula>LEN(TRIM(U2))&gt;0</formula>
    </cfRule>
  </conditionalFormatting>
  <hyperlinks>
    <hyperlink r:id="rId1" ref="T2"/>
    <hyperlink r:id="rId2" ref="T3"/>
    <hyperlink r:id="rId3" ref="T4"/>
    <hyperlink r:id="rId4" ref="T5"/>
    <hyperlink r:id="rId5" ref="B6"/>
    <hyperlink r:id="rId6" ref="T6"/>
    <hyperlink r:id="rId7" ref="T7"/>
    <hyperlink r:id="rId8" ref="T8"/>
    <hyperlink r:id="rId9" ref="T9"/>
    <hyperlink r:id="rId10" ref="T10"/>
    <hyperlink r:id="rId11" ref="T11"/>
    <hyperlink r:id="rId12" ref="T12"/>
    <hyperlink r:id="rId13" ref="T13"/>
    <hyperlink r:id="rId14" ref="T14"/>
    <hyperlink r:id="rId15" ref="T18"/>
    <hyperlink r:id="rId16" ref="T19"/>
    <hyperlink r:id="rId17" ref="T20"/>
    <hyperlink r:id="rId18" ref="T22"/>
    <hyperlink r:id="rId19" ref="T23"/>
    <hyperlink r:id="rId20" ref="T24"/>
    <hyperlink r:id="rId21" ref="T25"/>
    <hyperlink r:id="rId22" ref="T26"/>
    <hyperlink r:id="rId23" ref="T27"/>
    <hyperlink r:id="rId24" ref="T28"/>
    <hyperlink r:id="rId25" ref="T30"/>
    <hyperlink r:id="rId26" ref="T31"/>
    <hyperlink r:id="rId27" ref="T32"/>
    <hyperlink r:id="rId28" ref="T33"/>
    <hyperlink r:id="rId29" ref="T34"/>
    <hyperlink r:id="rId30" ref="T35"/>
    <hyperlink r:id="rId31" ref="T36"/>
    <hyperlink r:id="rId32" ref="T37"/>
    <hyperlink r:id="rId33" ref="T38"/>
    <hyperlink r:id="rId34" ref="T39"/>
    <hyperlink r:id="rId35" ref="T40"/>
    <hyperlink r:id="rId36" ref="T41"/>
    <hyperlink r:id="rId37" ref="T42"/>
    <hyperlink r:id="rId38" ref="T44"/>
    <hyperlink r:id="rId39" ref="T45"/>
    <hyperlink r:id="rId40" ref="T46"/>
    <hyperlink r:id="rId41" ref="T47"/>
    <hyperlink r:id="rId42" ref="T48"/>
    <hyperlink r:id="rId43" ref="T49"/>
    <hyperlink r:id="rId44" ref="T50"/>
    <hyperlink r:id="rId45" ref="T51"/>
    <hyperlink r:id="rId46" ref="T52"/>
    <hyperlink r:id="rId47" ref="T63"/>
    <hyperlink r:id="rId48" ref="T65"/>
    <hyperlink r:id="rId49" ref="T66"/>
    <hyperlink r:id="rId50" ref="T67"/>
    <hyperlink r:id="rId51" ref="T68"/>
    <hyperlink r:id="rId52" ref="T69"/>
    <hyperlink r:id="rId53" ref="T70"/>
    <hyperlink r:id="rId54" ref="T71"/>
    <hyperlink r:id="rId55" ref="T72"/>
    <hyperlink r:id="rId56" ref="T73"/>
    <hyperlink r:id="rId57" ref="T74"/>
    <hyperlink r:id="rId58" ref="T75"/>
    <hyperlink r:id="rId59" ref="T76"/>
    <hyperlink r:id="rId60" ref="T78"/>
    <hyperlink r:id="rId61" ref="T79"/>
    <hyperlink r:id="rId62" ref="T80"/>
    <hyperlink r:id="rId63" ref="T81"/>
    <hyperlink r:id="rId64" ref="T82"/>
    <hyperlink r:id="rId65" ref="T83"/>
    <hyperlink r:id="rId66" ref="T86"/>
    <hyperlink r:id="rId67" ref="T87"/>
    <hyperlink r:id="rId68" ref="T88"/>
    <hyperlink r:id="rId69" ref="T89"/>
    <hyperlink r:id="rId70" ref="T90"/>
    <hyperlink r:id="rId71" ref="T91"/>
    <hyperlink r:id="rId72" ref="T93"/>
    <hyperlink r:id="rId73" ref="T94"/>
    <hyperlink r:id="rId74" location="slide=id.p8" ref="T95"/>
    <hyperlink r:id="rId75" ref="T96"/>
    <hyperlink r:id="rId76" ref="T97"/>
    <hyperlink r:id="rId77" ref="T99"/>
    <hyperlink r:id="rId78" ref="T100"/>
    <hyperlink r:id="rId79" ref="T101"/>
    <hyperlink r:id="rId80" ref="T103"/>
    <hyperlink r:id="rId81" ref="T104"/>
    <hyperlink r:id="rId82" ref="T105"/>
    <hyperlink r:id="rId83" ref="T106"/>
    <hyperlink r:id="rId84" ref="T107"/>
    <hyperlink r:id="rId85" ref="T108"/>
    <hyperlink r:id="rId86" ref="T109"/>
    <hyperlink r:id="rId87" ref="T110"/>
    <hyperlink r:id="rId88" ref="T112"/>
    <hyperlink r:id="rId89" ref="T113"/>
    <hyperlink r:id="rId90" ref="T114"/>
    <hyperlink r:id="rId91" ref="T115"/>
    <hyperlink r:id="rId92" ref="T116"/>
    <hyperlink r:id="rId93" ref="T117"/>
    <hyperlink r:id="rId94" ref="T118"/>
    <hyperlink r:id="rId95" ref="T119"/>
    <hyperlink r:id="rId96" ref="T120"/>
    <hyperlink r:id="rId97" ref="T121"/>
    <hyperlink r:id="rId98" ref="T122"/>
    <hyperlink r:id="rId99" ref="T123"/>
    <hyperlink r:id="rId100" ref="T124"/>
    <hyperlink r:id="rId101" ref="T125"/>
    <hyperlink r:id="rId102" ref="T126"/>
    <hyperlink r:id="rId103" ref="T127"/>
    <hyperlink r:id="rId104" ref="T129"/>
    <hyperlink r:id="rId105" ref="T130"/>
    <hyperlink r:id="rId106" ref="T131"/>
    <hyperlink r:id="rId107" ref="T132"/>
    <hyperlink r:id="rId108" ref="T133"/>
    <hyperlink r:id="rId109" ref="T134"/>
    <hyperlink r:id="rId110" ref="T135"/>
    <hyperlink r:id="rId111" ref="T136"/>
    <hyperlink r:id="rId112" ref="T137"/>
    <hyperlink r:id="rId113" ref="T138"/>
    <hyperlink r:id="rId114" ref="T139"/>
    <hyperlink r:id="rId115" ref="T140"/>
    <hyperlink r:id="rId116" ref="T141"/>
    <hyperlink r:id="rId117" ref="T142"/>
    <hyperlink r:id="rId118" ref="T143"/>
    <hyperlink r:id="rId119" ref="T144"/>
    <hyperlink r:id="rId120" ref="T145"/>
    <hyperlink r:id="rId121" ref="T146"/>
    <hyperlink r:id="rId122" ref="T148"/>
    <hyperlink r:id="rId123" ref="T149"/>
    <hyperlink r:id="rId124" ref="T150"/>
    <hyperlink r:id="rId125" ref="T151"/>
    <hyperlink r:id="rId126" ref="T153"/>
    <hyperlink r:id="rId127" ref="T154"/>
    <hyperlink r:id="rId128" ref="T155"/>
    <hyperlink r:id="rId129" ref="T156"/>
    <hyperlink r:id="rId130" ref="T157"/>
    <hyperlink r:id="rId131" ref="T158"/>
    <hyperlink r:id="rId132" ref="T160"/>
    <hyperlink r:id="rId133" ref="T161"/>
    <hyperlink r:id="rId134" ref="T162"/>
    <hyperlink r:id="rId135" ref="T164"/>
    <hyperlink r:id="rId136" ref="B165"/>
    <hyperlink r:id="rId137" ref="T166"/>
    <hyperlink r:id="rId138" ref="T168"/>
    <hyperlink r:id="rId139" ref="T170"/>
    <hyperlink r:id="rId140" ref="T171"/>
  </hyperlinks>
  <printOptions/>
  <pageMargins bottom="0.75" footer="0.0" header="0.0" left="0.7" right="0.7" top="0.75"/>
  <pageSetup fitToHeight="0" orientation="landscape"/>
  <drawing r:id="rId14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38"/>
    <col customWidth="1" min="2" max="2" width="39.63"/>
    <col customWidth="1" min="3" max="3" width="11.13"/>
    <col customWidth="1" min="4" max="4" width="15.5"/>
    <col customWidth="1" min="5" max="5" width="25.13"/>
    <col customWidth="1" min="6" max="6" width="7.13"/>
    <col customWidth="1" min="7" max="7" width="10.88"/>
    <col customWidth="1" min="10" max="10" width="16.63"/>
    <col customWidth="1" min="11" max="11" width="18.88"/>
    <col customWidth="1" min="12" max="12" width="15.25"/>
  </cols>
  <sheetData>
    <row r="1" ht="15.75" customHeight="1">
      <c r="A1" s="27" t="s">
        <v>36</v>
      </c>
      <c r="B1" s="32" t="s">
        <v>39</v>
      </c>
      <c r="C1" s="32" t="s">
        <v>45</v>
      </c>
      <c r="D1" s="32" t="s">
        <v>47</v>
      </c>
      <c r="E1" s="32" t="s">
        <v>48</v>
      </c>
      <c r="F1" s="32" t="s">
        <v>38</v>
      </c>
      <c r="G1" s="38" t="s">
        <v>50</v>
      </c>
      <c r="H1" s="40" t="s">
        <v>51</v>
      </c>
      <c r="I1" s="40" t="s">
        <v>52</v>
      </c>
      <c r="J1" s="10" t="s">
        <v>54</v>
      </c>
      <c r="K1" s="10" t="s">
        <v>55</v>
      </c>
      <c r="L1" s="10" t="s">
        <v>57</v>
      </c>
      <c r="M1" s="10" t="s">
        <v>60</v>
      </c>
      <c r="N1" s="10" t="s">
        <v>62</v>
      </c>
    </row>
    <row r="2" ht="15.75" customHeight="1">
      <c r="A2" s="49">
        <v>1.0</v>
      </c>
      <c r="B2" s="54" t="s">
        <v>66</v>
      </c>
      <c r="C2" s="56">
        <v>45775.0</v>
      </c>
      <c r="D2" s="58" t="s">
        <v>67</v>
      </c>
      <c r="E2" s="59" t="s">
        <v>71</v>
      </c>
      <c r="F2" s="61">
        <v>5.0</v>
      </c>
      <c r="G2" s="66" t="str">
        <f t="array" ref="G2">_xlfn.XLOOKUP(I2,' ivp'!S:S,#REF!)</f>
        <v>#N/A</v>
      </c>
      <c r="H2" s="68">
        <v>8.883035691E9</v>
      </c>
      <c r="I2" s="69" t="s">
        <v>80</v>
      </c>
      <c r="J2" s="71" t="str">
        <f t="shared" ref="J2:J221" si="1">_xlfn.XLOOKUP(I2, ivp!$K:$K, ivp!$M:$M)
</f>
        <v>#REF!</v>
      </c>
      <c r="K2" s="71" t="str">
        <f t="array" ref="K2">_xlfn.XLOOKUP(I2,Sheet2!$C$2:$C$56,Sheet2!$G$2:$G$56)</f>
        <v>#N/A</v>
      </c>
      <c r="L2" s="71"/>
      <c r="M2" s="73" t="s">
        <v>68</v>
      </c>
      <c r="N2" s="73"/>
    </row>
    <row r="3" ht="15.75" customHeight="1">
      <c r="A3" s="49">
        <v>2.0</v>
      </c>
      <c r="B3" s="54" t="s">
        <v>95</v>
      </c>
      <c r="C3" s="56">
        <v>45775.0</v>
      </c>
      <c r="D3" s="58" t="s">
        <v>67</v>
      </c>
      <c r="E3" s="59" t="s">
        <v>71</v>
      </c>
      <c r="F3" s="75">
        <v>1.0</v>
      </c>
      <c r="G3" s="66" t="str">
        <f t="array" ref="G3">_xlfn.XLOOKUP(I3,' ivp'!S:S,#REF!)</f>
        <v>#N/A</v>
      </c>
      <c r="H3" s="79">
        <v>7.812876724E9</v>
      </c>
      <c r="I3" s="69" t="s">
        <v>102</v>
      </c>
      <c r="J3" s="71" t="str">
        <f t="shared" si="1"/>
        <v>#REF!</v>
      </c>
      <c r="K3" s="71" t="str">
        <f t="array" ref="K3">_xlfn.XLOOKUP(I3,Sheet2!$C$2:$C$56,Sheet2!$G$2:$G$56)</f>
        <v>#N/A</v>
      </c>
      <c r="L3" s="73" t="s">
        <v>109</v>
      </c>
      <c r="M3" s="73" t="s">
        <v>68</v>
      </c>
      <c r="N3" s="73" t="s">
        <v>112</v>
      </c>
    </row>
    <row r="4" ht="15.75" customHeight="1">
      <c r="A4" s="49">
        <v>3.0</v>
      </c>
      <c r="B4" s="54" t="s">
        <v>95</v>
      </c>
      <c r="C4" s="56">
        <v>45775.0</v>
      </c>
      <c r="D4" s="58" t="s">
        <v>67</v>
      </c>
      <c r="E4" s="59" t="s">
        <v>114</v>
      </c>
      <c r="F4" s="61">
        <v>5.0</v>
      </c>
      <c r="G4" s="66" t="str">
        <f t="array" ref="G4">_xlfn.XLOOKUP(I4,' ivp'!S:S,#REF!)</f>
        <v>#N/A</v>
      </c>
      <c r="H4" s="68">
        <v>9.342049639E9</v>
      </c>
      <c r="I4" s="69" t="s">
        <v>59</v>
      </c>
      <c r="J4" s="71" t="str">
        <f t="shared" si="1"/>
        <v>#REF!</v>
      </c>
      <c r="K4" s="71" t="str">
        <f t="array" ref="K4">_xlfn.XLOOKUP(I4,Sheet2!$C$2:$C$56,Sheet2!$G$2:$G$56)</f>
        <v>#N/A</v>
      </c>
      <c r="L4" s="73"/>
      <c r="M4" s="73" t="s">
        <v>125</v>
      </c>
      <c r="N4" s="73"/>
    </row>
    <row r="5" ht="15.75" customHeight="1">
      <c r="A5" s="49">
        <v>4.0</v>
      </c>
      <c r="B5" s="54" t="s">
        <v>131</v>
      </c>
      <c r="C5" s="56">
        <v>45775.0</v>
      </c>
      <c r="D5" s="58" t="s">
        <v>67</v>
      </c>
      <c r="E5" s="59" t="s">
        <v>137</v>
      </c>
      <c r="F5" s="93">
        <v>6.0</v>
      </c>
      <c r="G5" s="66" t="str">
        <f t="array" ref="G5">_xlfn.XLOOKUP(I5,' ivp'!S:S,#REF!)</f>
        <v>#N/A</v>
      </c>
      <c r="H5" s="79">
        <v>7.094149367E9</v>
      </c>
      <c r="I5" s="69" t="s">
        <v>142</v>
      </c>
      <c r="J5" s="71" t="str">
        <f t="shared" si="1"/>
        <v>#REF!</v>
      </c>
      <c r="K5" s="96" t="str">
        <f t="array" ref="K5">_xlfn.XLOOKUP(I5,Sheet2!$C$2:$C$56,Sheet2!$G$2:$G$56)</f>
        <v>https://drive.google.com/open?id=1DrL3w6tkh8WgbEy3HjkfwRQ93uZiQ4Wz</v>
      </c>
      <c r="L5" s="71"/>
      <c r="M5" s="73" t="s">
        <v>68</v>
      </c>
      <c r="N5" s="73"/>
    </row>
    <row r="6" ht="15.75" customHeight="1">
      <c r="A6" s="49">
        <v>5.0</v>
      </c>
      <c r="B6" s="54" t="s">
        <v>95</v>
      </c>
      <c r="C6" s="56">
        <v>45775.0</v>
      </c>
      <c r="D6" s="58" t="s">
        <v>67</v>
      </c>
      <c r="E6" s="59" t="s">
        <v>71</v>
      </c>
      <c r="F6" s="100">
        <v>3.0</v>
      </c>
      <c r="G6" s="66" t="str">
        <f t="array" ref="G6">_xlfn.XLOOKUP(I6,' ivp'!S:S,#REF!)</f>
        <v>#N/A</v>
      </c>
      <c r="H6" s="68">
        <v>7.200939492E9</v>
      </c>
      <c r="I6" s="69" t="s">
        <v>163</v>
      </c>
      <c r="J6" s="71" t="str">
        <f t="shared" si="1"/>
        <v>#REF!</v>
      </c>
      <c r="K6" s="96" t="str">
        <f t="array" ref="K6">_xlfn.XLOOKUP(I6,Sheet2!$C$2:$C$56,Sheet2!$G$2:$G$56)</f>
        <v>https://drive.google.com/open?id=1Rbchip-rj68Va3SjmYraQyLPBDxUK_cI</v>
      </c>
      <c r="L6" s="71"/>
      <c r="M6" s="73" t="s">
        <v>68</v>
      </c>
      <c r="N6" s="73"/>
    </row>
    <row r="7" ht="15.75" customHeight="1">
      <c r="A7" s="49">
        <v>6.0</v>
      </c>
      <c r="B7" s="54" t="s">
        <v>173</v>
      </c>
      <c r="C7" s="56">
        <v>45775.0</v>
      </c>
      <c r="D7" s="58" t="s">
        <v>67</v>
      </c>
      <c r="E7" s="59" t="s">
        <v>180</v>
      </c>
      <c r="F7" s="75">
        <v>1.0</v>
      </c>
      <c r="G7" s="66" t="str">
        <f t="array" ref="G7">_xlfn.XLOOKUP(I7,' ivp'!S:S,#REF!)</f>
        <v>#N/A</v>
      </c>
      <c r="H7" s="68">
        <v>9.342177824E9</v>
      </c>
      <c r="I7" s="69" t="s">
        <v>183</v>
      </c>
      <c r="J7" s="71" t="str">
        <f t="shared" si="1"/>
        <v>#REF!</v>
      </c>
      <c r="K7" s="71" t="str">
        <f t="array" ref="K7">_xlfn.XLOOKUP(I7,Sheet2!$C$2:$C$56,Sheet2!$G$2:$G$56)</f>
        <v>#N/A</v>
      </c>
      <c r="L7" s="73" t="s">
        <v>109</v>
      </c>
      <c r="M7" s="73" t="s">
        <v>68</v>
      </c>
      <c r="N7" s="73" t="s">
        <v>187</v>
      </c>
    </row>
    <row r="8" ht="15.75" hidden="1" customHeight="1">
      <c r="A8" s="49">
        <v>7.0</v>
      </c>
      <c r="B8" s="54" t="s">
        <v>193</v>
      </c>
      <c r="C8" s="56">
        <v>45776.0</v>
      </c>
      <c r="D8" s="114" t="s">
        <v>195</v>
      </c>
      <c r="E8" s="59" t="s">
        <v>198</v>
      </c>
      <c r="F8" s="75">
        <v>1.0</v>
      </c>
      <c r="G8" s="66" t="str">
        <f t="array" ref="G8">_xlfn.XLOOKUP(I8,' ivp'!S:S,#REF!)</f>
        <v>#N/A</v>
      </c>
      <c r="H8" s="68">
        <v>7.868945597E9</v>
      </c>
      <c r="I8" s="69" t="s">
        <v>202</v>
      </c>
      <c r="J8" s="71" t="str">
        <f t="shared" si="1"/>
        <v>#REF!</v>
      </c>
      <c r="K8" s="71" t="str">
        <f t="array" ref="K8">_xlfn.XLOOKUP(I8,Sheet2!$C$2:$C$56,Sheet2!$G$2:$G$56)</f>
        <v>#N/A</v>
      </c>
      <c r="L8" s="117"/>
      <c r="M8" s="118" t="s">
        <v>68</v>
      </c>
      <c r="N8" s="118"/>
      <c r="O8" s="119" t="s">
        <v>212</v>
      </c>
    </row>
    <row r="9" ht="15.75" customHeight="1">
      <c r="A9" s="49">
        <v>8.0</v>
      </c>
      <c r="B9" s="54" t="s">
        <v>216</v>
      </c>
      <c r="C9" s="56">
        <v>45776.0</v>
      </c>
      <c r="D9" s="58" t="s">
        <v>67</v>
      </c>
      <c r="E9" s="59" t="s">
        <v>218</v>
      </c>
      <c r="F9" s="75">
        <v>1.0</v>
      </c>
      <c r="G9" s="66" t="str">
        <f t="array" ref="G9">_xlfn.XLOOKUP(I9,' ivp'!S:S,#REF!)</f>
        <v>#N/A</v>
      </c>
      <c r="H9" s="68">
        <v>9.123551408E9</v>
      </c>
      <c r="I9" s="69" t="s">
        <v>223</v>
      </c>
      <c r="J9" s="71" t="str">
        <f t="shared" si="1"/>
        <v>#REF!</v>
      </c>
      <c r="K9" s="71" t="str">
        <f t="array" ref="K9">_xlfn.XLOOKUP(I9,Sheet2!$C$2:$C$56,Sheet2!$G$2:$G$56)</f>
        <v>#N/A</v>
      </c>
      <c r="L9" s="118" t="s">
        <v>109</v>
      </c>
      <c r="M9" s="118" t="s">
        <v>68</v>
      </c>
      <c r="N9" s="118"/>
    </row>
    <row r="10" ht="15.75" customHeight="1">
      <c r="A10" s="49">
        <v>9.0</v>
      </c>
      <c r="B10" s="54" t="s">
        <v>231</v>
      </c>
      <c r="C10" s="56">
        <v>45776.0</v>
      </c>
      <c r="D10" s="58" t="s">
        <v>67</v>
      </c>
      <c r="E10" s="59" t="s">
        <v>180</v>
      </c>
      <c r="F10" s="75">
        <v>1.0</v>
      </c>
      <c r="G10" s="66" t="str">
        <f t="array" ref="G10">_xlfn.XLOOKUP(I10,' ivp'!S:S,#REF!)</f>
        <v>#N/A</v>
      </c>
      <c r="H10" s="68" t="s">
        <v>240</v>
      </c>
      <c r="I10" s="69" t="s">
        <v>241</v>
      </c>
      <c r="J10" s="71" t="str">
        <f t="shared" si="1"/>
        <v>#REF!</v>
      </c>
      <c r="K10" s="71" t="str">
        <f t="array" ref="K10">_xlfn.XLOOKUP(I10,Sheet2!$C$2:$C$56,Sheet2!$G$2:$G$56)</f>
        <v>#N/A</v>
      </c>
      <c r="L10" s="73" t="s">
        <v>245</v>
      </c>
      <c r="M10" s="118" t="s">
        <v>68</v>
      </c>
      <c r="N10" s="118" t="s">
        <v>246</v>
      </c>
    </row>
    <row r="11" ht="15.75" hidden="1" customHeight="1">
      <c r="A11" s="49">
        <v>10.0</v>
      </c>
      <c r="B11" s="54" t="s">
        <v>247</v>
      </c>
      <c r="C11" s="56">
        <v>45776.0</v>
      </c>
      <c r="D11" s="114" t="s">
        <v>195</v>
      </c>
      <c r="E11" s="59" t="s">
        <v>251</v>
      </c>
      <c r="F11" s="75">
        <v>1.0</v>
      </c>
      <c r="G11" s="66" t="str">
        <f t="array" ref="G11">_xlfn.XLOOKUP(I11,' ivp'!S:S,#REF!)</f>
        <v>#N/A</v>
      </c>
      <c r="H11" s="68">
        <v>8.438784753E9</v>
      </c>
      <c r="I11" s="69" t="s">
        <v>258</v>
      </c>
      <c r="J11" s="71" t="str">
        <f t="shared" si="1"/>
        <v>#REF!</v>
      </c>
      <c r="K11" s="71" t="str">
        <f t="array" ref="K11">_xlfn.XLOOKUP(I11,Sheet2!$C$2:$C$56,Sheet2!$G$2:$G$56)</f>
        <v>#N/A</v>
      </c>
      <c r="L11" s="73" t="s">
        <v>262</v>
      </c>
      <c r="M11" s="118" t="s">
        <v>125</v>
      </c>
      <c r="N11" s="118"/>
    </row>
    <row r="12" ht="15.75" hidden="1" customHeight="1">
      <c r="A12" s="49">
        <v>11.0</v>
      </c>
      <c r="B12" s="54" t="s">
        <v>263</v>
      </c>
      <c r="C12" s="56">
        <v>45776.0</v>
      </c>
      <c r="D12" s="114" t="s">
        <v>195</v>
      </c>
      <c r="E12" s="59" t="s">
        <v>71</v>
      </c>
      <c r="F12" s="75">
        <v>1.0</v>
      </c>
      <c r="G12" s="66" t="str">
        <f t="array" ref="G12">_xlfn.XLOOKUP(I12,' ivp'!S:S,#REF!)</f>
        <v>#N/A</v>
      </c>
      <c r="H12" s="68">
        <v>9.600430853E9</v>
      </c>
      <c r="I12" s="69" t="s">
        <v>272</v>
      </c>
      <c r="J12" s="71" t="str">
        <f t="shared" si="1"/>
        <v>#REF!</v>
      </c>
      <c r="K12" s="71" t="str">
        <f t="array" ref="K12">_xlfn.XLOOKUP(I12,Sheet2!$C$2:$C$56,Sheet2!$G$2:$G$56)</f>
        <v>#N/A</v>
      </c>
      <c r="L12" s="117"/>
      <c r="M12" s="118" t="s">
        <v>68</v>
      </c>
      <c r="N12" s="118"/>
    </row>
    <row r="13" ht="15.75" customHeight="1">
      <c r="A13" s="49">
        <v>12.0</v>
      </c>
      <c r="B13" s="54" t="s">
        <v>95</v>
      </c>
      <c r="C13" s="56">
        <v>45776.0</v>
      </c>
      <c r="D13" s="58" t="s">
        <v>67</v>
      </c>
      <c r="E13" s="59" t="s">
        <v>281</v>
      </c>
      <c r="F13" s="100">
        <v>3.0</v>
      </c>
      <c r="G13" s="66" t="str">
        <f t="array" ref="G13">_xlfn.XLOOKUP(I13,' ivp'!S:S,#REF!)</f>
        <v>#N/A</v>
      </c>
      <c r="H13" s="68">
        <v>8.639764726E9</v>
      </c>
      <c r="I13" s="69" t="s">
        <v>287</v>
      </c>
      <c r="J13" s="71" t="str">
        <f t="shared" si="1"/>
        <v>#REF!</v>
      </c>
      <c r="K13" s="71" t="str">
        <f t="array" ref="K13">_xlfn.XLOOKUP(I13,Sheet2!$C$2:$C$56,Sheet2!$G$2:$G$56)</f>
        <v>#N/A</v>
      </c>
      <c r="L13" s="162"/>
      <c r="M13" s="73" t="s">
        <v>68</v>
      </c>
      <c r="N13" s="73"/>
      <c r="O13" s="167"/>
      <c r="P13" s="167"/>
      <c r="Q13" s="167"/>
    </row>
    <row r="14" ht="15.75" hidden="1" customHeight="1">
      <c r="A14" s="49">
        <v>13.0</v>
      </c>
      <c r="B14" s="54" t="s">
        <v>295</v>
      </c>
      <c r="C14" s="56">
        <v>45776.0</v>
      </c>
      <c r="D14" s="114" t="s">
        <v>195</v>
      </c>
      <c r="E14" s="59" t="s">
        <v>198</v>
      </c>
      <c r="F14" s="75">
        <v>1.0</v>
      </c>
      <c r="G14" s="66" t="str">
        <f t="array" ref="G14">_xlfn.XLOOKUP(I14,' ivp'!S:S,#REF!)</f>
        <v>#N/A</v>
      </c>
      <c r="H14" s="68">
        <v>7.3396149E9</v>
      </c>
      <c r="I14" s="69" t="s">
        <v>305</v>
      </c>
      <c r="J14" s="71" t="str">
        <f t="shared" si="1"/>
        <v>#REF!</v>
      </c>
      <c r="K14" s="71" t="str">
        <f t="array" ref="K14">_xlfn.XLOOKUP(I14,Sheet2!$C$2:$C$56,Sheet2!$G$2:$G$56)</f>
        <v>#N/A</v>
      </c>
      <c r="L14" s="162"/>
      <c r="M14" s="73" t="s">
        <v>68</v>
      </c>
      <c r="N14" s="73"/>
      <c r="O14" s="167"/>
      <c r="P14" s="167"/>
      <c r="Q14" s="167"/>
    </row>
    <row r="15" ht="15.75" customHeight="1">
      <c r="A15" s="49">
        <v>14.0</v>
      </c>
      <c r="B15" s="54" t="s">
        <v>312</v>
      </c>
      <c r="C15" s="179">
        <v>45841.0</v>
      </c>
      <c r="D15" s="58" t="s">
        <v>67</v>
      </c>
      <c r="E15" s="59" t="s">
        <v>218</v>
      </c>
      <c r="F15" s="183">
        <v>6.0</v>
      </c>
      <c r="G15" s="66" t="str">
        <f t="array" ref="G15">_xlfn.XLOOKUP(I15,' ivp'!S:S,#REF!)</f>
        <v>#N/A</v>
      </c>
      <c r="H15" s="68">
        <v>8.148522265E9</v>
      </c>
      <c r="I15" s="69" t="s">
        <v>316</v>
      </c>
      <c r="J15" s="71" t="str">
        <f t="shared" si="1"/>
        <v>#REF!</v>
      </c>
      <c r="K15" s="96" t="str">
        <f t="array" ref="K15">_xlfn.XLOOKUP(I15,Sheet2!$C$2:$C$56,Sheet2!$G$2:$G$56)</f>
        <v>https://drive.google.com/open?id=1VWhrxq4im2ROTVEhW3mI93TDMyUbpKfn</v>
      </c>
      <c r="L15" s="71"/>
      <c r="M15" s="73" t="s">
        <v>68</v>
      </c>
      <c r="N15" s="73"/>
    </row>
    <row r="16" ht="15.75" hidden="1" customHeight="1">
      <c r="A16" s="49">
        <v>15.0</v>
      </c>
      <c r="B16" s="186" t="s">
        <v>321</v>
      </c>
      <c r="C16" s="56">
        <v>45776.0</v>
      </c>
      <c r="D16" s="114" t="s">
        <v>195</v>
      </c>
      <c r="E16" s="59" t="s">
        <v>218</v>
      </c>
      <c r="F16" s="75">
        <v>1.0</v>
      </c>
      <c r="G16" s="66" t="str">
        <f t="array" ref="G16">_xlfn.XLOOKUP(I16,' ivp'!S:S,#REF!)</f>
        <v>#N/A</v>
      </c>
      <c r="H16" s="68">
        <v>7.695916662E9</v>
      </c>
      <c r="I16" s="69" t="s">
        <v>325</v>
      </c>
      <c r="J16" s="71" t="str">
        <f t="shared" si="1"/>
        <v>#REF!</v>
      </c>
      <c r="K16" s="71" t="str">
        <f t="array" ref="K16">_xlfn.XLOOKUP(I16,Sheet2!$C$2:$C$56,Sheet2!$G$2:$G$56)</f>
        <v>#N/A</v>
      </c>
      <c r="L16" s="71"/>
      <c r="M16" s="73" t="s">
        <v>68</v>
      </c>
      <c r="N16" s="73"/>
    </row>
    <row r="17" ht="15.75" customHeight="1">
      <c r="A17" s="49">
        <v>16.0</v>
      </c>
      <c r="B17" s="186" t="s">
        <v>330</v>
      </c>
      <c r="C17" s="56">
        <v>45777.0</v>
      </c>
      <c r="D17" s="58" t="s">
        <v>67</v>
      </c>
      <c r="E17" s="59" t="s">
        <v>333</v>
      </c>
      <c r="F17" s="61">
        <v>5.0</v>
      </c>
      <c r="G17" s="66" t="str">
        <f t="array" ref="G17">_xlfn.XLOOKUP(I17,' ivp'!S:S,#REF!)</f>
        <v>#N/A</v>
      </c>
      <c r="H17" s="68">
        <v>7.305567239E9</v>
      </c>
      <c r="I17" s="69" t="s">
        <v>151</v>
      </c>
      <c r="J17" s="71" t="str">
        <f t="shared" si="1"/>
        <v>#REF!</v>
      </c>
      <c r="K17" s="96" t="str">
        <f t="array" ref="K17">_xlfn.XLOOKUP(I17,Sheet2!$C$2:$C$56,Sheet2!$G$2:$G$56)</f>
        <v>https://drive.google.com/open?id=1zZYNJcw9kwJdoQmeNNB9xPR9xS-vA50l</v>
      </c>
      <c r="L17" s="73"/>
      <c r="M17" s="73" t="s">
        <v>125</v>
      </c>
      <c r="N17" s="73"/>
    </row>
    <row r="18" ht="15.75" customHeight="1">
      <c r="A18" s="49">
        <v>17.0</v>
      </c>
      <c r="B18" s="186" t="s">
        <v>338</v>
      </c>
      <c r="C18" s="56">
        <v>45777.0</v>
      </c>
      <c r="D18" s="58" t="s">
        <v>67</v>
      </c>
      <c r="E18" s="59" t="s">
        <v>340</v>
      </c>
      <c r="F18" s="100">
        <v>3.0</v>
      </c>
      <c r="G18" s="66" t="str">
        <f t="array" ref="G18">_xlfn.XLOOKUP(I18,' ivp'!S:S,#REF!)</f>
        <v>#N/A</v>
      </c>
      <c r="H18" s="68">
        <v>6.381784015E9</v>
      </c>
      <c r="I18" s="69" t="s">
        <v>345</v>
      </c>
      <c r="J18" s="71" t="str">
        <f t="shared" si="1"/>
        <v>#REF!</v>
      </c>
      <c r="K18" s="71" t="str">
        <f t="array" ref="K18">_xlfn.XLOOKUP(I18,Sheet2!$C$2:$C$56,Sheet2!$G$2:$G$56)</f>
        <v>#N/A</v>
      </c>
      <c r="L18" s="71"/>
      <c r="M18" s="73" t="s">
        <v>68</v>
      </c>
      <c r="N18" s="73"/>
    </row>
    <row r="19" ht="15.75" hidden="1" customHeight="1">
      <c r="A19" s="49">
        <v>18.0</v>
      </c>
      <c r="B19" s="186" t="s">
        <v>349</v>
      </c>
      <c r="C19" s="56">
        <v>45777.0</v>
      </c>
      <c r="D19" s="114" t="s">
        <v>195</v>
      </c>
      <c r="E19" s="59" t="s">
        <v>218</v>
      </c>
      <c r="F19" s="75">
        <v>1.0</v>
      </c>
      <c r="G19" s="66" t="str">
        <f t="array" ref="G19">_xlfn.XLOOKUP(I19,' ivp'!S:S,#REF!)</f>
        <v>#N/A</v>
      </c>
      <c r="H19" s="68">
        <v>9.00318118E9</v>
      </c>
      <c r="I19" s="69" t="s">
        <v>354</v>
      </c>
      <c r="J19" s="71" t="str">
        <f t="shared" si="1"/>
        <v>#REF!</v>
      </c>
      <c r="K19" s="71" t="str">
        <f t="array" ref="K19">_xlfn.XLOOKUP(I19,Sheet2!$C$2:$C$56,Sheet2!$G$2:$G$56)</f>
        <v>#N/A</v>
      </c>
      <c r="L19" s="73"/>
      <c r="M19" s="73" t="s">
        <v>125</v>
      </c>
      <c r="N19" s="73"/>
    </row>
    <row r="20" ht="15.75" customHeight="1">
      <c r="A20" s="49">
        <v>19.0</v>
      </c>
      <c r="B20" s="186" t="s">
        <v>356</v>
      </c>
      <c r="C20" s="56">
        <v>45777.0</v>
      </c>
      <c r="D20" s="58" t="s">
        <v>67</v>
      </c>
      <c r="E20" s="59" t="s">
        <v>358</v>
      </c>
      <c r="F20" s="75">
        <v>1.0</v>
      </c>
      <c r="G20" s="66" t="str">
        <f t="array" ref="G20">_xlfn.XLOOKUP(I20,' ivp'!S:S,#REF!)</f>
        <v>#N/A</v>
      </c>
      <c r="H20" s="68">
        <v>7.395964806E9</v>
      </c>
      <c r="I20" s="69" t="s">
        <v>365</v>
      </c>
      <c r="J20" s="71" t="str">
        <f t="shared" si="1"/>
        <v>#REF!</v>
      </c>
      <c r="K20" s="71" t="str">
        <f t="array" ref="K20">_xlfn.XLOOKUP(I20,Sheet2!$C$2:$C$56,Sheet2!$G$2:$G$56)</f>
        <v>#N/A</v>
      </c>
      <c r="L20" s="73" t="s">
        <v>109</v>
      </c>
      <c r="M20" s="73" t="s">
        <v>68</v>
      </c>
      <c r="N20" s="73"/>
    </row>
    <row r="21" ht="15.75" customHeight="1">
      <c r="A21" s="49">
        <v>20.0</v>
      </c>
      <c r="B21" s="186" t="s">
        <v>338</v>
      </c>
      <c r="C21" s="56">
        <v>45777.0</v>
      </c>
      <c r="D21" s="58" t="s">
        <v>67</v>
      </c>
      <c r="E21" s="59" t="s">
        <v>218</v>
      </c>
      <c r="F21" s="75">
        <v>1.0</v>
      </c>
      <c r="G21" s="66" t="str">
        <f t="array" ref="G21">_xlfn.XLOOKUP(I21,' ivp'!S:S,#REF!)</f>
        <v>#N/A</v>
      </c>
      <c r="H21" s="68">
        <v>8.01537575E9</v>
      </c>
      <c r="I21" s="69" t="s">
        <v>374</v>
      </c>
      <c r="J21" s="71" t="str">
        <f t="shared" si="1"/>
        <v>#REF!</v>
      </c>
      <c r="K21" s="96" t="str">
        <f t="array" ref="K21">_xlfn.XLOOKUP(I21,Sheet2!$C$2:$C$56,Sheet2!$G$2:$G$56)</f>
        <v>https://drive.google.com/open?id=1NXq1MT1nOZOwoEwzjtHP8wfEw4HrFKUH</v>
      </c>
      <c r="L21" s="73" t="s">
        <v>377</v>
      </c>
      <c r="M21" s="73" t="s">
        <v>68</v>
      </c>
      <c r="N21" s="73"/>
    </row>
    <row r="22" ht="15.75" customHeight="1">
      <c r="A22" s="49">
        <v>21.0</v>
      </c>
      <c r="B22" s="186" t="s">
        <v>381</v>
      </c>
      <c r="C22" s="221">
        <v>45778.0</v>
      </c>
      <c r="D22" s="58" t="s">
        <v>67</v>
      </c>
      <c r="E22" s="59" t="s">
        <v>218</v>
      </c>
      <c r="F22" s="75">
        <v>1.0</v>
      </c>
      <c r="G22" s="66" t="str">
        <f t="array" ref="G22">_xlfn.XLOOKUP(I22,' ivp'!S:S,#REF!)</f>
        <v>#N/A</v>
      </c>
      <c r="H22" s="68">
        <v>9.677277149E9</v>
      </c>
      <c r="I22" s="69" t="s">
        <v>385</v>
      </c>
      <c r="J22" s="71" t="str">
        <f t="shared" si="1"/>
        <v>#REF!</v>
      </c>
      <c r="K22" s="71" t="str">
        <f t="array" ref="K22">_xlfn.XLOOKUP(I22,Sheet2!$C$2:$C$56,Sheet2!$G$2:$G$56)</f>
        <v>#N/A</v>
      </c>
      <c r="L22" s="73" t="s">
        <v>109</v>
      </c>
      <c r="M22" s="73" t="s">
        <v>68</v>
      </c>
      <c r="N22" s="73"/>
    </row>
    <row r="23" ht="15.75" customHeight="1">
      <c r="A23" s="49">
        <v>22.0</v>
      </c>
      <c r="B23" s="186" t="s">
        <v>390</v>
      </c>
      <c r="C23" s="221">
        <v>45778.0</v>
      </c>
      <c r="D23" s="58" t="s">
        <v>67</v>
      </c>
      <c r="E23" s="59" t="s">
        <v>393</v>
      </c>
      <c r="F23" s="100">
        <v>3.0</v>
      </c>
      <c r="G23" s="66" t="str">
        <f t="array" ref="G23">_xlfn.XLOOKUP(I23,' ivp'!S:S,#REF!)</f>
        <v>#N/A</v>
      </c>
      <c r="H23" s="68">
        <v>7.845414195E9</v>
      </c>
      <c r="I23" s="69" t="s">
        <v>398</v>
      </c>
      <c r="J23" s="71" t="str">
        <f t="shared" si="1"/>
        <v>#REF!</v>
      </c>
      <c r="K23" s="71" t="str">
        <f t="array" ref="K23">_xlfn.XLOOKUP(I23,Sheet2!$C$2:$C$56,Sheet2!$G$2:$G$56)</f>
        <v>#N/A</v>
      </c>
      <c r="L23" s="73"/>
      <c r="M23" s="73" t="s">
        <v>125</v>
      </c>
      <c r="N23" s="73"/>
    </row>
    <row r="24" ht="15.75" customHeight="1">
      <c r="A24" s="49">
        <v>23.0</v>
      </c>
      <c r="B24" s="186" t="s">
        <v>399</v>
      </c>
      <c r="C24" s="221">
        <v>45778.0</v>
      </c>
      <c r="D24" s="58" t="s">
        <v>67</v>
      </c>
      <c r="E24" s="59" t="s">
        <v>251</v>
      </c>
      <c r="F24" s="100">
        <v>3.0</v>
      </c>
      <c r="G24" s="66" t="str">
        <f t="array" ref="G24">_xlfn.XLOOKUP(I24,' ivp'!S:S,#REF!)</f>
        <v>#N/A</v>
      </c>
      <c r="H24" s="68">
        <v>9.361054415E9</v>
      </c>
      <c r="I24" s="69" t="s">
        <v>405</v>
      </c>
      <c r="J24" s="71" t="str">
        <f t="shared" si="1"/>
        <v>#REF!</v>
      </c>
      <c r="K24" s="96" t="str">
        <f t="array" ref="K24">_xlfn.XLOOKUP(I24,Sheet2!$C$2:$C$56,Sheet2!$G$2:$G$56)</f>
        <v>https://drive.google.com/open?id=1zH7oPcHBU2ypBkNZMJ-UzIHydcevpHCz</v>
      </c>
      <c r="L24" s="73"/>
      <c r="M24" s="73" t="s">
        <v>125</v>
      </c>
      <c r="N24" s="73"/>
    </row>
    <row r="25" ht="15.75" hidden="1" customHeight="1">
      <c r="A25" s="49">
        <v>24.0</v>
      </c>
      <c r="B25" s="186" t="s">
        <v>381</v>
      </c>
      <c r="C25" s="221">
        <v>45779.0</v>
      </c>
      <c r="D25" s="227" t="s">
        <v>195</v>
      </c>
      <c r="E25" s="59" t="s">
        <v>218</v>
      </c>
      <c r="F25" s="75">
        <v>1.0</v>
      </c>
      <c r="G25" s="66" t="str">
        <f t="array" ref="G25">_xlfn.XLOOKUP(I25,' ivp'!S:S,#REF!)</f>
        <v>#N/A</v>
      </c>
      <c r="H25" s="68">
        <v>8.610937637E9</v>
      </c>
      <c r="I25" s="69" t="s">
        <v>412</v>
      </c>
      <c r="J25" s="71" t="str">
        <f t="shared" si="1"/>
        <v>#REF!</v>
      </c>
      <c r="K25" s="71" t="str">
        <f t="array" ref="K25">_xlfn.XLOOKUP(I25,Sheet2!$C$2:$C$56,Sheet2!$G$2:$G$56)</f>
        <v>#N/A</v>
      </c>
      <c r="L25" s="71"/>
      <c r="M25" s="73" t="s">
        <v>68</v>
      </c>
      <c r="N25" s="73"/>
    </row>
    <row r="26" ht="15.75" hidden="1" customHeight="1">
      <c r="A26" s="49">
        <v>25.0</v>
      </c>
      <c r="B26" s="186" t="s">
        <v>312</v>
      </c>
      <c r="C26" s="221">
        <v>45779.0</v>
      </c>
      <c r="D26" s="227" t="s">
        <v>195</v>
      </c>
      <c r="E26" s="59" t="s">
        <v>218</v>
      </c>
      <c r="F26" s="75">
        <v>1.0</v>
      </c>
      <c r="G26" s="66" t="str">
        <f t="array" ref="G26">_xlfn.XLOOKUP(I26,' ivp'!S:S,#REF!)</f>
        <v>#N/A</v>
      </c>
      <c r="H26" s="68">
        <v>7.418496591E9</v>
      </c>
      <c r="I26" s="69" t="s">
        <v>420</v>
      </c>
      <c r="J26" s="71" t="str">
        <f t="shared" si="1"/>
        <v>#REF!</v>
      </c>
      <c r="K26" s="71" t="str">
        <f t="array" ref="K26">_xlfn.XLOOKUP(I26,Sheet2!$C$2:$C$56,Sheet2!$G$2:$G$56)</f>
        <v>#N/A</v>
      </c>
      <c r="L26" s="73" t="s">
        <v>262</v>
      </c>
      <c r="M26" s="73" t="s">
        <v>125</v>
      </c>
      <c r="N26" s="73"/>
    </row>
    <row r="27" ht="15.75" hidden="1" customHeight="1">
      <c r="A27" s="49">
        <v>26.0</v>
      </c>
      <c r="B27" s="186" t="s">
        <v>381</v>
      </c>
      <c r="C27" s="221">
        <v>45779.0</v>
      </c>
      <c r="D27" s="227" t="s">
        <v>195</v>
      </c>
      <c r="E27" s="59" t="s">
        <v>218</v>
      </c>
      <c r="F27" s="75">
        <v>1.0</v>
      </c>
      <c r="G27" s="66" t="str">
        <f t="array" ref="G27">_xlfn.XLOOKUP(I27,' ivp'!S:S,#REF!)</f>
        <v>#N/A</v>
      </c>
      <c r="H27" s="68">
        <v>8.838118951E9</v>
      </c>
      <c r="I27" s="69" t="s">
        <v>430</v>
      </c>
      <c r="J27" s="71" t="str">
        <f t="shared" si="1"/>
        <v>#REF!</v>
      </c>
      <c r="K27" s="71" t="str">
        <f t="array" ref="K27">_xlfn.XLOOKUP(I27,Sheet2!$C$2:$C$56,Sheet2!$G$2:$G$56)</f>
        <v>#N/A</v>
      </c>
      <c r="L27" s="73"/>
      <c r="M27" s="73" t="s">
        <v>125</v>
      </c>
      <c r="N27" s="73"/>
    </row>
    <row r="28" ht="15.75" customHeight="1">
      <c r="A28" s="49">
        <v>27.0</v>
      </c>
      <c r="B28" s="186" t="s">
        <v>432</v>
      </c>
      <c r="C28" s="221">
        <v>45779.0</v>
      </c>
      <c r="D28" s="58" t="s">
        <v>67</v>
      </c>
      <c r="E28" s="59" t="s">
        <v>218</v>
      </c>
      <c r="F28" s="75">
        <v>1.0</v>
      </c>
      <c r="G28" s="66" t="str">
        <f t="array" ref="G28">_xlfn.XLOOKUP(I28,' ivp'!S:S,#REF!)</f>
        <v>#N/A</v>
      </c>
      <c r="H28" s="68">
        <v>7.695851661E9</v>
      </c>
      <c r="I28" s="69" t="s">
        <v>437</v>
      </c>
      <c r="J28" s="71" t="str">
        <f t="shared" si="1"/>
        <v>#REF!</v>
      </c>
      <c r="K28" s="71" t="str">
        <f t="array" ref="K28">_xlfn.XLOOKUP(I28,Sheet2!$C$2:$C$56,Sheet2!$G$2:$G$56)</f>
        <v>#N/A</v>
      </c>
      <c r="L28" s="73" t="s">
        <v>109</v>
      </c>
      <c r="M28" s="73" t="s">
        <v>68</v>
      </c>
      <c r="N28" s="73"/>
    </row>
    <row r="29" ht="15.75" customHeight="1">
      <c r="A29" s="49">
        <v>28.0</v>
      </c>
      <c r="B29" s="186" t="s">
        <v>442</v>
      </c>
      <c r="C29" s="221">
        <v>45779.0</v>
      </c>
      <c r="D29" s="58" t="s">
        <v>67</v>
      </c>
      <c r="E29" s="59" t="s">
        <v>333</v>
      </c>
      <c r="F29" s="75">
        <v>1.0</v>
      </c>
      <c r="G29" s="66" t="str">
        <f t="array" ref="G29">_xlfn.XLOOKUP(I29,' ivp'!S:S,#REF!)</f>
        <v>#N/A</v>
      </c>
      <c r="H29" s="68">
        <v>8.610254655E9</v>
      </c>
      <c r="I29" s="69" t="s">
        <v>448</v>
      </c>
      <c r="J29" s="71" t="str">
        <f t="shared" si="1"/>
        <v>#REF!</v>
      </c>
      <c r="K29" s="71" t="str">
        <f t="array" ref="K29">_xlfn.XLOOKUP(I29,Sheet2!$C$2:$C$56,Sheet2!$G$2:$G$56)</f>
        <v>#N/A</v>
      </c>
      <c r="L29" s="73" t="s">
        <v>109</v>
      </c>
      <c r="M29" s="73" t="s">
        <v>125</v>
      </c>
      <c r="N29" s="73"/>
    </row>
    <row r="30" ht="15.75" customHeight="1">
      <c r="A30" s="49">
        <v>29.0</v>
      </c>
      <c r="B30" s="186" t="s">
        <v>453</v>
      </c>
      <c r="C30" s="221">
        <v>45779.0</v>
      </c>
      <c r="D30" s="58" t="s">
        <v>67</v>
      </c>
      <c r="E30" s="59" t="s">
        <v>251</v>
      </c>
      <c r="F30" s="93">
        <v>6.0</v>
      </c>
      <c r="G30" s="66" t="str">
        <f t="array" ref="G30">_xlfn.XLOOKUP(I30,' ivp'!S:S,#REF!)</f>
        <v>#N/A</v>
      </c>
      <c r="H30" s="68">
        <v>6.385256271E9</v>
      </c>
      <c r="I30" s="69" t="s">
        <v>455</v>
      </c>
      <c r="J30" s="71" t="str">
        <f t="shared" si="1"/>
        <v>#REF!</v>
      </c>
      <c r="K30" s="96" t="str">
        <f t="array" ref="K30">_xlfn.XLOOKUP(I30,Sheet2!$C$2:$C$56,Sheet2!$G$2:$G$56)</f>
        <v>https://drive.google.com/open?id=12RsdTu1tH7jx2uQYyNA2C3v1dFMkZU0H</v>
      </c>
      <c r="L30" s="73" t="s">
        <v>460</v>
      </c>
      <c r="M30" s="73" t="s">
        <v>125</v>
      </c>
      <c r="N30" s="73"/>
    </row>
    <row r="31" ht="12.0" customHeight="1">
      <c r="A31" s="49">
        <v>30.0</v>
      </c>
      <c r="B31" s="186" t="s">
        <v>381</v>
      </c>
      <c r="C31" s="221">
        <v>45779.0</v>
      </c>
      <c r="D31" s="58" t="s">
        <v>67</v>
      </c>
      <c r="E31" s="59" t="s">
        <v>114</v>
      </c>
      <c r="F31" s="100">
        <v>3.0</v>
      </c>
      <c r="G31" s="66" t="str">
        <f t="array" ref="G31">_xlfn.XLOOKUP(I31,' ivp'!S:S,#REF!)</f>
        <v>#N/A</v>
      </c>
      <c r="H31" s="68">
        <v>9.952048318E9</v>
      </c>
      <c r="I31" s="69" t="s">
        <v>144</v>
      </c>
      <c r="J31" s="71" t="str">
        <f t="shared" si="1"/>
        <v>#REF!</v>
      </c>
      <c r="K31" s="96" t="str">
        <f t="array" ref="K31">_xlfn.XLOOKUP(I31,Sheet2!$C$2:$C$56,Sheet2!$G$2:$G$56)</f>
        <v>https://docs.google.com/presentation/d/1r_uJDDSgeSqdewnxUdc17ddlmhNFHjj7/edit?usp=sharing&amp;ouid=104277249549708518105&amp;rtpof=true&amp;sd=true</v>
      </c>
      <c r="L31" s="71"/>
      <c r="M31" s="73" t="s">
        <v>68</v>
      </c>
      <c r="N31" s="73"/>
    </row>
    <row r="32" ht="12.0" customHeight="1">
      <c r="A32" s="49">
        <v>31.0</v>
      </c>
      <c r="B32" s="186" t="s">
        <v>381</v>
      </c>
      <c r="C32" s="221">
        <v>45779.0</v>
      </c>
      <c r="D32" s="58" t="s">
        <v>67</v>
      </c>
      <c r="E32" s="59" t="s">
        <v>218</v>
      </c>
      <c r="F32" s="75">
        <v>1.0</v>
      </c>
      <c r="G32" s="66" t="str">
        <f t="array" ref="G32">_xlfn.XLOOKUP(I32,' ivp'!S:S,#REF!)</f>
        <v>#N/A</v>
      </c>
      <c r="H32" s="68">
        <v>9.788606171E9</v>
      </c>
      <c r="I32" s="69" t="s">
        <v>478</v>
      </c>
      <c r="J32" s="71" t="str">
        <f t="shared" si="1"/>
        <v>#REF!</v>
      </c>
      <c r="K32" s="71" t="str">
        <f t="array" ref="K32">_xlfn.XLOOKUP(I32,Sheet2!$C$2:$C$56,Sheet2!$G$2:$G$56)</f>
        <v>#N/A</v>
      </c>
      <c r="L32" s="73" t="s">
        <v>109</v>
      </c>
      <c r="M32" s="73" t="s">
        <v>68</v>
      </c>
      <c r="N32" s="73" t="s">
        <v>187</v>
      </c>
    </row>
    <row r="33" ht="12.0" customHeight="1">
      <c r="A33" s="49">
        <v>32.0</v>
      </c>
      <c r="B33" s="186" t="s">
        <v>381</v>
      </c>
      <c r="C33" s="221">
        <v>45779.0</v>
      </c>
      <c r="D33" s="58" t="s">
        <v>67</v>
      </c>
      <c r="E33" s="59" t="s">
        <v>218</v>
      </c>
      <c r="F33" s="75">
        <v>1.0</v>
      </c>
      <c r="G33" s="66" t="str">
        <f t="array" ref="G33">_xlfn.XLOOKUP(I33,' ivp'!S:S,#REF!)</f>
        <v>#N/A</v>
      </c>
      <c r="H33" s="68">
        <v>8.82540026E9</v>
      </c>
      <c r="I33" s="69" t="s">
        <v>487</v>
      </c>
      <c r="J33" s="71" t="str">
        <f t="shared" si="1"/>
        <v>#REF!</v>
      </c>
      <c r="K33" s="71" t="str">
        <f t="array" ref="K33">_xlfn.XLOOKUP(I33,Sheet2!$C$2:$C$56,Sheet2!$G$2:$G$56)</f>
        <v>#N/A</v>
      </c>
      <c r="L33" s="73" t="s">
        <v>109</v>
      </c>
      <c r="M33" s="73" t="s">
        <v>68</v>
      </c>
      <c r="N33" s="73" t="s">
        <v>492</v>
      </c>
    </row>
    <row r="34" ht="12.0" hidden="1" customHeight="1">
      <c r="A34" s="49">
        <v>33.0</v>
      </c>
      <c r="B34" s="186" t="s">
        <v>493</v>
      </c>
      <c r="C34" s="221">
        <v>45779.0</v>
      </c>
      <c r="D34" s="227" t="s">
        <v>195</v>
      </c>
      <c r="E34" s="59" t="s">
        <v>71</v>
      </c>
      <c r="F34" s="75">
        <v>1.0</v>
      </c>
      <c r="G34" s="66" t="str">
        <f t="array" ref="G34">_xlfn.XLOOKUP(I34,' ivp'!S:S,#REF!)</f>
        <v>#N/A</v>
      </c>
      <c r="H34" s="68">
        <v>9.02545645E9</v>
      </c>
      <c r="I34" s="69" t="s">
        <v>498</v>
      </c>
      <c r="J34" s="71" t="str">
        <f t="shared" si="1"/>
        <v>#REF!</v>
      </c>
      <c r="K34" s="71" t="str">
        <f t="array" ref="K34">_xlfn.XLOOKUP(I34,Sheet2!$C$2:$C$56,Sheet2!$G$2:$G$56)</f>
        <v>#N/A</v>
      </c>
      <c r="L34" s="71"/>
      <c r="M34" s="73" t="s">
        <v>68</v>
      </c>
      <c r="N34" s="73"/>
    </row>
    <row r="35" ht="12.0" customHeight="1">
      <c r="A35" s="49">
        <v>34.0</v>
      </c>
      <c r="B35" s="186" t="s">
        <v>506</v>
      </c>
      <c r="C35" s="262">
        <v>45960.0</v>
      </c>
      <c r="D35" s="58" t="s">
        <v>67</v>
      </c>
      <c r="E35" s="263" t="s">
        <v>509</v>
      </c>
      <c r="F35" s="264">
        <v>3.0</v>
      </c>
      <c r="G35" s="66" t="str">
        <f t="array" ref="G35">_xlfn.XLOOKUP(I35,' ivp'!S:S,#REF!)</f>
        <v>#N/A</v>
      </c>
      <c r="H35" s="68">
        <v>6.374990762E9</v>
      </c>
      <c r="I35" s="69" t="s">
        <v>511</v>
      </c>
      <c r="J35" s="71" t="str">
        <f t="shared" si="1"/>
        <v>#REF!</v>
      </c>
      <c r="K35" s="71" t="str">
        <f t="array" ref="K35">_xlfn.XLOOKUP(I35,Sheet2!$C$2:$C$56,Sheet2!$G$2:$G$56)</f>
        <v>#N/A</v>
      </c>
      <c r="L35" s="73" t="s">
        <v>109</v>
      </c>
      <c r="M35" s="73" t="s">
        <v>68</v>
      </c>
      <c r="N35" s="73" t="s">
        <v>517</v>
      </c>
    </row>
    <row r="36" ht="12.0" hidden="1" customHeight="1">
      <c r="A36" s="49">
        <v>35.0</v>
      </c>
      <c r="B36" s="186" t="s">
        <v>518</v>
      </c>
      <c r="C36" s="221">
        <v>45780.0</v>
      </c>
      <c r="D36" s="227" t="s">
        <v>195</v>
      </c>
      <c r="E36" s="263" t="s">
        <v>509</v>
      </c>
      <c r="F36" s="75">
        <v>1.0</v>
      </c>
      <c r="G36" s="66" t="str">
        <f t="array" ref="G36">_xlfn.XLOOKUP(I36,' ivp'!S:S,#REF!)</f>
        <v>#N/A</v>
      </c>
      <c r="H36" s="68">
        <v>9.360341516E9</v>
      </c>
      <c r="I36" s="69" t="s">
        <v>523</v>
      </c>
      <c r="J36" s="71" t="str">
        <f t="shared" si="1"/>
        <v>#REF!</v>
      </c>
      <c r="K36" s="71" t="str">
        <f t="array" ref="K36">_xlfn.XLOOKUP(I36,Sheet2!$C$2:$C$56,Sheet2!$G$2:$G$56)</f>
        <v>#N/A</v>
      </c>
      <c r="L36" s="73" t="s">
        <v>262</v>
      </c>
      <c r="M36" s="73" t="s">
        <v>125</v>
      </c>
      <c r="N36" s="73"/>
    </row>
    <row r="37" ht="12.0" customHeight="1">
      <c r="A37" s="49">
        <v>36.0</v>
      </c>
      <c r="B37" s="54" t="s">
        <v>530</v>
      </c>
      <c r="C37" s="221">
        <v>45780.0</v>
      </c>
      <c r="D37" s="58" t="s">
        <v>67</v>
      </c>
      <c r="E37" s="59" t="s">
        <v>532</v>
      </c>
      <c r="F37" s="75">
        <v>1.0</v>
      </c>
      <c r="G37" s="66" t="str">
        <f t="array" ref="G37">_xlfn.XLOOKUP(I37,' ivp'!S:S,#REF!)</f>
        <v>#N/A</v>
      </c>
      <c r="H37" s="68">
        <v>8.940116891E9</v>
      </c>
      <c r="I37" s="69" t="s">
        <v>535</v>
      </c>
      <c r="J37" s="71" t="str">
        <f t="shared" si="1"/>
        <v>#REF!</v>
      </c>
      <c r="K37" s="71" t="str">
        <f t="array" ref="K37">_xlfn.XLOOKUP(I37,Sheet2!$C$2:$C$56,Sheet2!$G$2:$G$56)</f>
        <v>#N/A</v>
      </c>
      <c r="L37" s="73" t="s">
        <v>109</v>
      </c>
      <c r="M37" s="73" t="s">
        <v>125</v>
      </c>
      <c r="N37" s="73" t="s">
        <v>542</v>
      </c>
    </row>
    <row r="38" ht="12.0" customHeight="1">
      <c r="A38" s="49">
        <v>37.0</v>
      </c>
      <c r="B38" s="186" t="s">
        <v>543</v>
      </c>
      <c r="C38" s="221">
        <v>45780.0</v>
      </c>
      <c r="D38" s="58" t="s">
        <v>67</v>
      </c>
      <c r="E38" s="59" t="s">
        <v>547</v>
      </c>
      <c r="F38" s="75">
        <v>1.0</v>
      </c>
      <c r="G38" s="66" t="str">
        <f t="array" ref="G38">_xlfn.XLOOKUP(I38,' ivp'!S:S,#REF!)</f>
        <v>#N/A</v>
      </c>
      <c r="H38" s="68">
        <v>8.148232205E9</v>
      </c>
      <c r="I38" s="69" t="s">
        <v>484</v>
      </c>
      <c r="J38" s="71" t="str">
        <f t="shared" si="1"/>
        <v>#REF!</v>
      </c>
      <c r="K38" s="96" t="str">
        <f t="array" ref="K38">_xlfn.XLOOKUP(I38,Sheet2!$C$2:$C$56,Sheet2!$G$2:$G$56)</f>
        <v>https://drive.google.com/open?id=1Kkw_iTDBFZV0hwN1-vITM_lwyEMhi6Dw</v>
      </c>
      <c r="L38" s="73" t="s">
        <v>109</v>
      </c>
      <c r="M38" s="73" t="s">
        <v>125</v>
      </c>
      <c r="N38" s="73"/>
    </row>
    <row r="39" ht="12.0" hidden="1" customHeight="1">
      <c r="A39" s="49">
        <v>38.0</v>
      </c>
      <c r="B39" s="186" t="s">
        <v>321</v>
      </c>
      <c r="C39" s="221">
        <v>45782.0</v>
      </c>
      <c r="D39" s="227" t="s">
        <v>195</v>
      </c>
      <c r="E39" s="59" t="s">
        <v>71</v>
      </c>
      <c r="F39" s="75">
        <v>1.0</v>
      </c>
      <c r="G39" s="66" t="str">
        <f t="array" ref="G39">_xlfn.XLOOKUP(I39,' ivp'!S:S,#REF!)</f>
        <v>#N/A</v>
      </c>
      <c r="H39" s="68">
        <v>9.360119932E9</v>
      </c>
      <c r="I39" s="69" t="s">
        <v>559</v>
      </c>
      <c r="J39" s="71" t="str">
        <f t="shared" si="1"/>
        <v>#REF!</v>
      </c>
      <c r="K39" s="96" t="str">
        <f t="array" ref="K39">_xlfn.XLOOKUP(I39,Sheet2!$C$2:$C$56,Sheet2!$G$2:$G$56)</f>
        <v>https://drive.google.com/open?id=1nOtcqzNxnN1cVZZNgYC7O4pMceJ1vuq4</v>
      </c>
      <c r="L39" s="71"/>
      <c r="M39" s="73" t="s">
        <v>68</v>
      </c>
      <c r="N39" s="73"/>
    </row>
    <row r="40" ht="12.0" customHeight="1">
      <c r="A40" s="49">
        <v>39.0</v>
      </c>
      <c r="B40" s="186" t="s">
        <v>381</v>
      </c>
      <c r="C40" s="221">
        <v>45782.0</v>
      </c>
      <c r="D40" s="58" t="s">
        <v>67</v>
      </c>
      <c r="E40" s="59" t="s">
        <v>71</v>
      </c>
      <c r="F40" s="100">
        <v>3.0</v>
      </c>
      <c r="G40" s="66" t="str">
        <f t="array" ref="G40">_xlfn.XLOOKUP(I40,' ivp'!S:S,#REF!)</f>
        <v>#N/A</v>
      </c>
      <c r="H40" s="68">
        <v>7.708365986E9</v>
      </c>
      <c r="I40" s="69" t="s">
        <v>126</v>
      </c>
      <c r="J40" s="71" t="str">
        <f t="shared" si="1"/>
        <v>#REF!</v>
      </c>
      <c r="K40" s="96" t="str">
        <f t="array" ref="K40">_xlfn.XLOOKUP(I40,Sheet2!$C$2:$C$56,Sheet2!$G$2:$G$56)</f>
        <v>https://drive.google.com/open?id=1VorSWnUlyM-hZbEwKD3-ydU3amct_rNZ</v>
      </c>
      <c r="L40" s="71"/>
      <c r="M40" s="73" t="s">
        <v>68</v>
      </c>
      <c r="N40" s="73"/>
    </row>
    <row r="41" ht="12.0" customHeight="1">
      <c r="A41" s="49">
        <v>40.0</v>
      </c>
      <c r="B41" s="186" t="s">
        <v>584</v>
      </c>
      <c r="C41" s="221">
        <v>45782.0</v>
      </c>
      <c r="D41" s="58" t="s">
        <v>67</v>
      </c>
      <c r="E41" s="59" t="s">
        <v>218</v>
      </c>
      <c r="F41" s="75">
        <v>1.0</v>
      </c>
      <c r="G41" s="66" t="str">
        <f t="array" ref="G41">_xlfn.XLOOKUP(I41,' ivp'!S:S,#REF!)</f>
        <v>#N/A</v>
      </c>
      <c r="H41" s="68">
        <v>9.383475378E9</v>
      </c>
      <c r="I41" s="69" t="s">
        <v>585</v>
      </c>
      <c r="J41" s="71" t="str">
        <f t="shared" si="1"/>
        <v>#REF!</v>
      </c>
      <c r="K41" s="96" t="str">
        <f t="array" ref="K41">_xlfn.XLOOKUP(I41,Sheet2!$C$2:$C$56,Sheet2!$G$2:$G$56)</f>
        <v>https://drive.google.com/open?id=1X3kRolb3adDdEW7REfueac7cptP6jieD</v>
      </c>
      <c r="L41" s="73" t="s">
        <v>109</v>
      </c>
      <c r="M41" s="73" t="s">
        <v>68</v>
      </c>
      <c r="N41" s="73"/>
    </row>
    <row r="42" ht="12.0" customHeight="1">
      <c r="A42" s="49">
        <v>41.0</v>
      </c>
      <c r="B42" s="186" t="s">
        <v>356</v>
      </c>
      <c r="C42" s="221">
        <v>45783.0</v>
      </c>
      <c r="D42" s="58" t="s">
        <v>67</v>
      </c>
      <c r="E42" s="59" t="s">
        <v>393</v>
      </c>
      <c r="F42" s="75">
        <v>1.0</v>
      </c>
      <c r="G42" s="66" t="str">
        <f t="array" ref="G42">_xlfn.XLOOKUP(I42,' ivp'!S:S,#REF!)</f>
        <v>#N/A</v>
      </c>
      <c r="H42" s="68">
        <v>8.754864334E9</v>
      </c>
      <c r="I42" s="69" t="s">
        <v>603</v>
      </c>
      <c r="J42" s="71" t="str">
        <f t="shared" si="1"/>
        <v>#REF!</v>
      </c>
      <c r="K42" s="71" t="str">
        <f t="array" ref="K42">_xlfn.XLOOKUP(I42,Sheet2!$C$2:$C$56,Sheet2!$G$2:$G$56)</f>
        <v>#N/A</v>
      </c>
      <c r="L42" s="73" t="s">
        <v>377</v>
      </c>
      <c r="M42" s="73" t="s">
        <v>68</v>
      </c>
      <c r="N42" s="73"/>
    </row>
    <row r="43" ht="12.0" customHeight="1">
      <c r="A43" s="49">
        <v>42.0</v>
      </c>
      <c r="B43" s="186" t="s">
        <v>442</v>
      </c>
      <c r="C43" s="221">
        <v>45783.0</v>
      </c>
      <c r="D43" s="58" t="s">
        <v>67</v>
      </c>
      <c r="E43" s="59" t="s">
        <v>616</v>
      </c>
      <c r="F43" s="75">
        <v>1.0</v>
      </c>
      <c r="G43" s="66" t="str">
        <f t="array" ref="G43">_xlfn.XLOOKUP(I43,' ivp'!S:S,#REF!)</f>
        <v>#N/A</v>
      </c>
      <c r="H43" s="68">
        <v>9.345856926E9</v>
      </c>
      <c r="I43" s="69" t="s">
        <v>621</v>
      </c>
      <c r="J43" s="71" t="str">
        <f t="shared" si="1"/>
        <v>#REF!</v>
      </c>
      <c r="K43" s="71" t="str">
        <f t="array" ref="K43">_xlfn.XLOOKUP(I43,Sheet2!$C$2:$C$56,Sheet2!$G$2:$G$56)</f>
        <v>#N/A</v>
      </c>
      <c r="L43" s="73" t="s">
        <v>109</v>
      </c>
      <c r="M43" s="73" t="s">
        <v>68</v>
      </c>
      <c r="N43" s="73"/>
    </row>
    <row r="44" ht="12.0" customHeight="1">
      <c r="A44" s="49">
        <v>43.0</v>
      </c>
      <c r="B44" s="186" t="s">
        <v>630</v>
      </c>
      <c r="C44" s="221">
        <v>45784.0</v>
      </c>
      <c r="D44" s="58" t="s">
        <v>67</v>
      </c>
      <c r="E44" s="59" t="s">
        <v>218</v>
      </c>
      <c r="F44" s="75">
        <v>1.0</v>
      </c>
      <c r="G44" s="66" t="str">
        <f t="array" ref="G44">_xlfn.XLOOKUP(I44,' ivp'!S:S,#REF!)</f>
        <v>#N/A</v>
      </c>
      <c r="H44" s="322">
        <v>7.010637848E9</v>
      </c>
      <c r="I44" s="69" t="s">
        <v>646</v>
      </c>
      <c r="J44" s="71" t="str">
        <f t="shared" si="1"/>
        <v>#REF!</v>
      </c>
      <c r="K44" s="71" t="str">
        <f t="array" ref="K44">_xlfn.XLOOKUP(I44,Sheet2!$C$2:$C$56,Sheet2!$G$2:$G$56)</f>
        <v>#N/A</v>
      </c>
      <c r="L44" s="73" t="s">
        <v>109</v>
      </c>
      <c r="M44" s="71"/>
      <c r="N44" s="71"/>
    </row>
    <row r="45" ht="12.0" customHeight="1">
      <c r="A45" s="49">
        <v>44.0</v>
      </c>
      <c r="B45" s="186" t="s">
        <v>630</v>
      </c>
      <c r="C45" s="221">
        <v>45784.0</v>
      </c>
      <c r="D45" s="58" t="s">
        <v>67</v>
      </c>
      <c r="E45" s="59" t="s">
        <v>218</v>
      </c>
      <c r="F45" s="183">
        <v>6.0</v>
      </c>
      <c r="G45" s="66" t="str">
        <f t="array" ref="G45">_xlfn.XLOOKUP(I45,' ivp'!S:S,#REF!)</f>
        <v>#N/A</v>
      </c>
      <c r="H45" s="68">
        <v>9.042871766E9</v>
      </c>
      <c r="I45" s="69" t="s">
        <v>293</v>
      </c>
      <c r="J45" s="71" t="str">
        <f t="shared" si="1"/>
        <v>#REF!</v>
      </c>
      <c r="K45" s="96" t="str">
        <f t="array" ref="K45">_xlfn.XLOOKUP(I45,Sheet2!$C$2:$C$56,Sheet2!$G$2:$G$56)</f>
        <v>https://drive.google.com/open?id=149HppxiF5fWSdC5NDButuJX_m6yEKHIP</v>
      </c>
      <c r="L45" s="73"/>
      <c r="M45" s="73" t="s">
        <v>125</v>
      </c>
      <c r="N45" s="73"/>
    </row>
    <row r="46" ht="12.0" hidden="1" customHeight="1">
      <c r="A46" s="49">
        <v>45.0</v>
      </c>
      <c r="B46" s="186" t="s">
        <v>677</v>
      </c>
      <c r="C46" s="221">
        <v>45784.0</v>
      </c>
      <c r="D46" s="227" t="s">
        <v>195</v>
      </c>
      <c r="E46" s="59" t="s">
        <v>680</v>
      </c>
      <c r="F46" s="75">
        <v>1.0</v>
      </c>
      <c r="G46" s="66" t="str">
        <f t="array" ref="G46">_xlfn.XLOOKUP(I46,' ivp'!S:S,#REF!)</f>
        <v>#N/A</v>
      </c>
      <c r="H46" s="68">
        <v>9.025377096E9</v>
      </c>
      <c r="I46" s="69" t="s">
        <v>684</v>
      </c>
      <c r="J46" s="71" t="str">
        <f t="shared" si="1"/>
        <v>#REF!</v>
      </c>
      <c r="K46" s="71" t="str">
        <f t="array" ref="K46">_xlfn.XLOOKUP(I46,Sheet2!$C$2:$C$56,Sheet2!$G$2:$G$56)</f>
        <v>#N/A</v>
      </c>
      <c r="L46" s="71"/>
      <c r="M46" s="73" t="s">
        <v>68</v>
      </c>
      <c r="N46" s="73"/>
    </row>
    <row r="47" ht="12.0" customHeight="1">
      <c r="A47" s="49">
        <v>46.0</v>
      </c>
      <c r="B47" s="186" t="s">
        <v>66</v>
      </c>
      <c r="C47" s="262">
        <v>45959.0</v>
      </c>
      <c r="D47" s="58" t="s">
        <v>67</v>
      </c>
      <c r="E47" s="59" t="s">
        <v>393</v>
      </c>
      <c r="F47" s="264">
        <v>5.0</v>
      </c>
      <c r="G47" s="66" t="str">
        <f t="array" ref="G47">_xlfn.XLOOKUP(I47,' ivp'!S:S,#REF!)</f>
        <v>#N/A</v>
      </c>
      <c r="H47" s="68">
        <v>9.841454141E9</v>
      </c>
      <c r="I47" s="69" t="s">
        <v>702</v>
      </c>
      <c r="J47" s="71" t="str">
        <f t="shared" si="1"/>
        <v>#REF!</v>
      </c>
      <c r="K47" s="71" t="str">
        <f t="array" ref="K47">_xlfn.XLOOKUP(I47,Sheet2!$C$2:$C$56,Sheet2!$G$2:$G$56)</f>
        <v>#N/A</v>
      </c>
      <c r="L47" s="73" t="s">
        <v>109</v>
      </c>
      <c r="M47" s="73" t="s">
        <v>68</v>
      </c>
      <c r="N47" s="73"/>
    </row>
    <row r="48" ht="12.0" hidden="1" customHeight="1">
      <c r="A48" s="49">
        <v>47.0</v>
      </c>
      <c r="B48" s="186" t="s">
        <v>708</v>
      </c>
      <c r="C48" s="221">
        <v>45784.0</v>
      </c>
      <c r="D48" s="227" t="s">
        <v>195</v>
      </c>
      <c r="E48" s="59" t="s">
        <v>71</v>
      </c>
      <c r="F48" s="75">
        <v>1.0</v>
      </c>
      <c r="G48" s="66" t="str">
        <f t="array" ref="G48">_xlfn.XLOOKUP(I48,' ivp'!S:S,#REF!)</f>
        <v>#N/A</v>
      </c>
      <c r="H48" s="68">
        <v>9.361077566E9</v>
      </c>
      <c r="I48" s="69" t="s">
        <v>719</v>
      </c>
      <c r="J48" s="71" t="str">
        <f t="shared" si="1"/>
        <v>#REF!</v>
      </c>
      <c r="K48" s="71" t="str">
        <f t="array" ref="K48">_xlfn.XLOOKUP(I48,Sheet2!$C$2:$C$56,Sheet2!$G$2:$G$56)</f>
        <v>#N/A</v>
      </c>
      <c r="L48" s="73" t="s">
        <v>262</v>
      </c>
      <c r="M48" s="73" t="s">
        <v>125</v>
      </c>
      <c r="N48" s="73"/>
    </row>
    <row r="49" ht="12.0" hidden="1" customHeight="1">
      <c r="A49" s="49">
        <v>48.0</v>
      </c>
      <c r="B49" s="186" t="s">
        <v>727</v>
      </c>
      <c r="C49" s="338">
        <v>45787.0</v>
      </c>
      <c r="D49" s="227" t="s">
        <v>195</v>
      </c>
      <c r="E49" s="59" t="s">
        <v>218</v>
      </c>
      <c r="F49" s="75">
        <v>1.0</v>
      </c>
      <c r="G49" s="66" t="str">
        <f t="array" ref="G49">_xlfn.XLOOKUP(I49,' ivp'!S:S,#REF!)</f>
        <v>#N/A</v>
      </c>
      <c r="H49" s="68">
        <v>6.383142129E9</v>
      </c>
      <c r="I49" s="69" t="s">
        <v>743</v>
      </c>
      <c r="J49" s="71" t="str">
        <f t="shared" si="1"/>
        <v>#REF!</v>
      </c>
      <c r="K49" s="71" t="str">
        <f t="array" ref="K49">_xlfn.XLOOKUP(I49,Sheet2!$C$2:$C$56,Sheet2!$G$2:$G$56)</f>
        <v>#N/A</v>
      </c>
      <c r="L49" s="73" t="s">
        <v>262</v>
      </c>
      <c r="M49" s="73" t="s">
        <v>125</v>
      </c>
      <c r="N49" s="73"/>
    </row>
    <row r="50" ht="12.0" customHeight="1">
      <c r="A50" s="49">
        <v>49.0</v>
      </c>
      <c r="B50" s="186" t="s">
        <v>295</v>
      </c>
      <c r="C50" s="338">
        <v>45787.0</v>
      </c>
      <c r="D50" s="58" t="s">
        <v>67</v>
      </c>
      <c r="E50" s="59" t="s">
        <v>198</v>
      </c>
      <c r="F50" s="264">
        <v>1.0</v>
      </c>
      <c r="G50" s="66" t="str">
        <f t="array" ref="G50">_xlfn.XLOOKUP(I50,' ivp'!S:S,#REF!)</f>
        <v>#N/A</v>
      </c>
      <c r="H50" s="68">
        <v>9.360124106E9</v>
      </c>
      <c r="I50" s="69" t="s">
        <v>761</v>
      </c>
      <c r="J50" s="71" t="str">
        <f t="shared" si="1"/>
        <v>#REF!</v>
      </c>
      <c r="K50" s="71" t="str">
        <f t="array" ref="K50">_xlfn.XLOOKUP(I50,Sheet2!$C$2:$C$56,Sheet2!$G$2:$G$56)</f>
        <v>#N/A</v>
      </c>
      <c r="L50" s="71"/>
      <c r="M50" s="73" t="s">
        <v>68</v>
      </c>
      <c r="N50" s="73"/>
    </row>
    <row r="51" ht="12.0" customHeight="1">
      <c r="A51" s="49">
        <v>50.0</v>
      </c>
      <c r="B51" s="186" t="s">
        <v>506</v>
      </c>
      <c r="C51" s="338">
        <v>45789.0</v>
      </c>
      <c r="D51" s="58" t="s">
        <v>67</v>
      </c>
      <c r="E51" s="59" t="s">
        <v>71</v>
      </c>
      <c r="F51" s="183">
        <v>6.0</v>
      </c>
      <c r="G51" s="66" t="str">
        <f t="array" ref="G51">_xlfn.XLOOKUP(I51,' ivp'!S:S,#REF!)</f>
        <v>#N/A</v>
      </c>
      <c r="H51" s="68">
        <v>9.025314278E9</v>
      </c>
      <c r="I51" s="69" t="s">
        <v>763</v>
      </c>
      <c r="J51" s="71" t="str">
        <f t="shared" si="1"/>
        <v>#REF!</v>
      </c>
      <c r="K51" s="71" t="str">
        <f t="array" ref="K51">_xlfn.XLOOKUP(I51,Sheet2!$C$2:$C$56,Sheet2!$G$2:$G$56)</f>
        <v>#N/A</v>
      </c>
      <c r="L51" s="73"/>
      <c r="M51" s="73" t="s">
        <v>125</v>
      </c>
      <c r="N51" s="73"/>
    </row>
    <row r="52" ht="12.0" customHeight="1">
      <c r="A52" s="49">
        <v>51.0</v>
      </c>
      <c r="B52" s="186" t="s">
        <v>95</v>
      </c>
      <c r="C52" s="338">
        <v>45789.0</v>
      </c>
      <c r="D52" s="58" t="s">
        <v>67</v>
      </c>
      <c r="E52" s="59" t="s">
        <v>71</v>
      </c>
      <c r="F52" s="75">
        <v>1.0</v>
      </c>
      <c r="G52" s="66" t="str">
        <f t="array" ref="G52">_xlfn.XLOOKUP(I52,' ivp'!S:S,#REF!)</f>
        <v>#N/A</v>
      </c>
      <c r="H52" s="68">
        <v>8.667282961E9</v>
      </c>
      <c r="I52" s="69" t="s">
        <v>795</v>
      </c>
      <c r="J52" s="71" t="str">
        <f t="shared" si="1"/>
        <v>#REF!</v>
      </c>
      <c r="K52" s="71" t="str">
        <f t="array" ref="K52">_xlfn.XLOOKUP(I52,Sheet2!$C$2:$C$56,Sheet2!$G$2:$G$56)</f>
        <v>#N/A</v>
      </c>
      <c r="L52" s="73" t="s">
        <v>109</v>
      </c>
      <c r="M52" s="73" t="s">
        <v>68</v>
      </c>
      <c r="N52" s="73"/>
    </row>
    <row r="53" ht="12.0" customHeight="1">
      <c r="A53" s="49">
        <v>52.0</v>
      </c>
      <c r="B53" s="186" t="s">
        <v>95</v>
      </c>
      <c r="C53" s="338">
        <v>45789.0</v>
      </c>
      <c r="D53" s="58" t="s">
        <v>67</v>
      </c>
      <c r="E53" s="59" t="s">
        <v>198</v>
      </c>
      <c r="F53" s="350">
        <v>1.0</v>
      </c>
      <c r="G53" s="66" t="str">
        <f t="array" ref="G53">_xlfn.XLOOKUP(I53,' ivp'!S:S,#REF!)</f>
        <v>#N/A</v>
      </c>
      <c r="H53" s="351">
        <v>9.790339415E9</v>
      </c>
      <c r="I53" s="69" t="s">
        <v>594</v>
      </c>
      <c r="J53" s="71" t="str">
        <f t="shared" si="1"/>
        <v>#REF!</v>
      </c>
      <c r="K53" s="71" t="str">
        <f t="array" ref="K53">_xlfn.XLOOKUP(I53,Sheet2!$C$2:$C$56,Sheet2!$G$2:$G$56)</f>
        <v>#N/A</v>
      </c>
      <c r="L53" s="73" t="s">
        <v>811</v>
      </c>
      <c r="M53" s="73" t="s">
        <v>68</v>
      </c>
      <c r="N53" s="73"/>
    </row>
    <row r="54" ht="12.0" customHeight="1">
      <c r="A54" s="354">
        <v>53.0</v>
      </c>
      <c r="B54" s="355" t="s">
        <v>816</v>
      </c>
      <c r="C54" s="356">
        <v>45789.0</v>
      </c>
      <c r="D54" s="357" t="s">
        <v>67</v>
      </c>
      <c r="E54" s="358" t="s">
        <v>820</v>
      </c>
      <c r="F54" s="359">
        <v>0.0</v>
      </c>
      <c r="G54" s="66" t="str">
        <f t="array" ref="G54">_xlfn.XLOOKUP(I54,' ivp'!S:S,#REF!)</f>
        <v>#N/A</v>
      </c>
      <c r="H54" s="360" t="s">
        <v>164</v>
      </c>
      <c r="I54" s="362" t="s">
        <v>828</v>
      </c>
      <c r="J54" s="71" t="str">
        <f t="shared" si="1"/>
        <v>#REF!</v>
      </c>
      <c r="K54" s="365" t="str">
        <f t="array" ref="K54">_xlfn.XLOOKUP(I54,Sheet2!$C$2:$C$56,Sheet2!$G$2:$G$56)</f>
        <v>#N/A</v>
      </c>
      <c r="L54" s="365"/>
      <c r="M54" s="365"/>
      <c r="N54" s="365"/>
    </row>
    <row r="55" ht="12.0" hidden="1" customHeight="1">
      <c r="A55" s="49">
        <v>54.0</v>
      </c>
      <c r="B55" s="186" t="s">
        <v>295</v>
      </c>
      <c r="C55" s="338">
        <v>45796.0</v>
      </c>
      <c r="D55" s="227" t="s">
        <v>195</v>
      </c>
      <c r="E55" s="59" t="s">
        <v>114</v>
      </c>
      <c r="F55" s="75">
        <v>1.0</v>
      </c>
      <c r="G55" s="66" t="str">
        <f t="array" ref="G55">_xlfn.XLOOKUP(I55,' ivp'!S:S,#REF!)</f>
        <v>#N/A</v>
      </c>
      <c r="H55" s="68">
        <v>9.361584129E9</v>
      </c>
      <c r="I55" s="69" t="s">
        <v>846</v>
      </c>
      <c r="J55" s="71" t="str">
        <f t="shared" si="1"/>
        <v>#REF!</v>
      </c>
      <c r="K55" s="71" t="str">
        <f t="array" ref="K55">_xlfn.XLOOKUP(I55,Sheet2!$C$2:$C$56,Sheet2!$G$2:$G$56)</f>
        <v>#N/A</v>
      </c>
      <c r="L55" s="73" t="s">
        <v>262</v>
      </c>
      <c r="M55" s="73" t="s">
        <v>125</v>
      </c>
      <c r="N55" s="73"/>
    </row>
    <row r="56" ht="12.0" hidden="1" customHeight="1">
      <c r="A56" s="49">
        <v>55.0</v>
      </c>
      <c r="B56" s="186" t="s">
        <v>95</v>
      </c>
      <c r="C56" s="338">
        <v>45796.0</v>
      </c>
      <c r="D56" s="227" t="s">
        <v>195</v>
      </c>
      <c r="E56" s="59" t="s">
        <v>71</v>
      </c>
      <c r="F56" s="75">
        <v>1.0</v>
      </c>
      <c r="G56" s="66" t="str">
        <f t="array" ref="G56">_xlfn.XLOOKUP(I56,' ivp'!S:S,#REF!)</f>
        <v>#N/A</v>
      </c>
      <c r="H56" s="68">
        <v>9.363402924E9</v>
      </c>
      <c r="I56" s="69" t="s">
        <v>863</v>
      </c>
      <c r="J56" s="71" t="str">
        <f t="shared" si="1"/>
        <v>#REF!</v>
      </c>
      <c r="K56" s="71" t="str">
        <f t="array" ref="K56">_xlfn.XLOOKUP(I56,Sheet2!$C$2:$C$56,Sheet2!$G$2:$G$56)</f>
        <v>#N/A</v>
      </c>
      <c r="L56" s="73" t="s">
        <v>262</v>
      </c>
      <c r="M56" s="73" t="s">
        <v>125</v>
      </c>
      <c r="N56" s="73"/>
    </row>
    <row r="57" ht="12.0" customHeight="1">
      <c r="A57" s="49">
        <v>56.0</v>
      </c>
      <c r="B57" s="186" t="s">
        <v>216</v>
      </c>
      <c r="C57" s="338">
        <v>45796.0</v>
      </c>
      <c r="D57" s="58" t="s">
        <v>67</v>
      </c>
      <c r="E57" s="59" t="s">
        <v>71</v>
      </c>
      <c r="F57" s="264">
        <v>2.0</v>
      </c>
      <c r="G57" s="66" t="str">
        <f t="array" ref="G57">_xlfn.XLOOKUP(I57,' ivp'!S:S,#REF!)</f>
        <v>#N/A</v>
      </c>
      <c r="H57" s="68">
        <v>6.382725434E9</v>
      </c>
      <c r="I57" s="69" t="s">
        <v>754</v>
      </c>
      <c r="J57" s="71" t="str">
        <f t="shared" si="1"/>
        <v>#REF!</v>
      </c>
      <c r="K57" s="96" t="str">
        <f t="array" ref="K57">_xlfn.XLOOKUP(I57,Sheet2!$C$2:$C$56,Sheet2!$G$2:$G$56)</f>
        <v>https://drive.google.com/open?id=1b4go98skQmw_jcdiLt8kXyKtdRkgpWCV</v>
      </c>
      <c r="L57" s="73" t="s">
        <v>377</v>
      </c>
      <c r="M57" s="73" t="s">
        <v>68</v>
      </c>
      <c r="N57" s="73" t="s">
        <v>888</v>
      </c>
    </row>
    <row r="58" ht="12.0" customHeight="1">
      <c r="A58" s="49">
        <v>57.0</v>
      </c>
      <c r="B58" s="186" t="s">
        <v>891</v>
      </c>
      <c r="C58" s="338">
        <v>45796.0</v>
      </c>
      <c r="D58" s="58" t="s">
        <v>67</v>
      </c>
      <c r="E58" s="59" t="s">
        <v>71</v>
      </c>
      <c r="F58" s="75">
        <v>1.0</v>
      </c>
      <c r="G58" s="66" t="str">
        <f t="array" ref="G58">_xlfn.XLOOKUP(I58,' ivp'!S:S,#REF!)</f>
        <v>#N/A</v>
      </c>
      <c r="H58" s="387">
        <v>6.364057474E9</v>
      </c>
      <c r="I58" s="69" t="s">
        <v>905</v>
      </c>
      <c r="J58" s="71" t="str">
        <f t="shared" si="1"/>
        <v>#REF!</v>
      </c>
      <c r="K58" s="71" t="str">
        <f t="array" ref="K58">_xlfn.XLOOKUP(I58,Sheet2!$C$2:$C$56,Sheet2!$G$2:$G$56)</f>
        <v>#N/A</v>
      </c>
      <c r="L58" s="73" t="s">
        <v>377</v>
      </c>
      <c r="M58" s="73" t="s">
        <v>125</v>
      </c>
      <c r="N58" s="73"/>
    </row>
    <row r="59" ht="12.0" customHeight="1">
      <c r="A59" s="49">
        <v>58.0</v>
      </c>
      <c r="B59" s="186" t="s">
        <v>915</v>
      </c>
      <c r="C59" s="338">
        <v>45797.0</v>
      </c>
      <c r="D59" s="58" t="s">
        <v>67</v>
      </c>
      <c r="E59" s="59" t="s">
        <v>921</v>
      </c>
      <c r="F59" s="75">
        <v>1.0</v>
      </c>
      <c r="G59" s="66" t="str">
        <f t="array" ref="G59">_xlfn.XLOOKUP(I59,' ivp'!S:S,#REF!)</f>
        <v>#N/A</v>
      </c>
      <c r="H59" s="68">
        <v>9.176775477E9</v>
      </c>
      <c r="I59" s="69" t="s">
        <v>929</v>
      </c>
      <c r="J59" s="71" t="str">
        <f t="shared" si="1"/>
        <v>#REF!</v>
      </c>
      <c r="K59" s="71" t="str">
        <f t="array" ref="K59">_xlfn.XLOOKUP(I59,Sheet2!$C$2:$C$56,Sheet2!$G$2:$G$56)</f>
        <v>#N/A</v>
      </c>
      <c r="L59" s="71"/>
      <c r="M59" s="73" t="s">
        <v>68</v>
      </c>
      <c r="N59" s="73"/>
    </row>
    <row r="60" ht="12.0" hidden="1" customHeight="1">
      <c r="A60" s="49">
        <v>59.0</v>
      </c>
      <c r="B60" s="186" t="s">
        <v>937</v>
      </c>
      <c r="C60" s="338">
        <v>45797.0</v>
      </c>
      <c r="D60" s="227" t="s">
        <v>195</v>
      </c>
      <c r="E60" s="59" t="s">
        <v>251</v>
      </c>
      <c r="F60" s="75">
        <v>1.0</v>
      </c>
      <c r="G60" s="66" t="str">
        <f t="array" ref="G60">_xlfn.XLOOKUP(I60,' ivp'!S:S,#REF!)</f>
        <v>#N/A</v>
      </c>
      <c r="H60" s="68">
        <v>9.994614891E9</v>
      </c>
      <c r="I60" s="69" t="s">
        <v>945</v>
      </c>
      <c r="J60" s="71" t="str">
        <f t="shared" si="1"/>
        <v>#REF!</v>
      </c>
      <c r="K60" s="71" t="str">
        <f t="array" ref="K60">_xlfn.XLOOKUP(I60,Sheet2!$C$2:$C$56,Sheet2!$G$2:$G$56)</f>
        <v>#N/A</v>
      </c>
      <c r="L60" s="73" t="s">
        <v>262</v>
      </c>
      <c r="M60" s="73" t="s">
        <v>125</v>
      </c>
      <c r="N60" s="73"/>
    </row>
    <row r="61" ht="12.0" hidden="1" customHeight="1">
      <c r="A61" s="49">
        <v>61.0</v>
      </c>
      <c r="B61" s="186" t="s">
        <v>295</v>
      </c>
      <c r="C61" s="338">
        <v>45797.0</v>
      </c>
      <c r="D61" s="227" t="s">
        <v>195</v>
      </c>
      <c r="E61" s="59" t="s">
        <v>114</v>
      </c>
      <c r="F61" s="75">
        <v>1.0</v>
      </c>
      <c r="G61" s="66" t="str">
        <f t="array" ref="G61">_xlfn.XLOOKUP(I61,' ivp'!S:S,#REF!)</f>
        <v>#N/A</v>
      </c>
      <c r="H61" s="68">
        <v>9.042059598E9</v>
      </c>
      <c r="I61" s="69" t="s">
        <v>959</v>
      </c>
      <c r="J61" s="71" t="str">
        <f t="shared" si="1"/>
        <v>#REF!</v>
      </c>
      <c r="K61" s="71" t="str">
        <f t="array" ref="K61">_xlfn.XLOOKUP(I61,Sheet2!$C$2:$C$56,Sheet2!$G$2:$G$56)</f>
        <v>#N/A</v>
      </c>
      <c r="L61" s="71"/>
      <c r="M61" s="73" t="s">
        <v>68</v>
      </c>
      <c r="N61" s="73"/>
    </row>
    <row r="62" ht="12.0" customHeight="1">
      <c r="A62" s="49">
        <v>62.0</v>
      </c>
      <c r="B62" s="186" t="s">
        <v>381</v>
      </c>
      <c r="C62" s="338">
        <v>45797.0</v>
      </c>
      <c r="D62" s="58" t="s">
        <v>67</v>
      </c>
      <c r="E62" s="59" t="s">
        <v>333</v>
      </c>
      <c r="F62" s="75">
        <v>1.0</v>
      </c>
      <c r="G62" s="66" t="str">
        <f t="array" ref="G62">_xlfn.XLOOKUP(I62,' ivp'!S:S,#REF!)</f>
        <v>#N/A</v>
      </c>
      <c r="H62" s="68">
        <v>9.15062444E9</v>
      </c>
      <c r="I62" s="69" t="s">
        <v>974</v>
      </c>
      <c r="J62" s="71" t="str">
        <f t="shared" si="1"/>
        <v>#REF!</v>
      </c>
      <c r="K62" s="71" t="str">
        <f t="array" ref="K62">_xlfn.XLOOKUP(I62,Sheet2!$C$2:$C$56,Sheet2!$G$2:$G$56)</f>
        <v>#N/A</v>
      </c>
      <c r="L62" s="73" t="s">
        <v>109</v>
      </c>
      <c r="M62" s="73" t="s">
        <v>68</v>
      </c>
      <c r="N62" s="73" t="s">
        <v>112</v>
      </c>
    </row>
    <row r="63" ht="12.0" hidden="1" customHeight="1">
      <c r="A63" s="49">
        <v>63.0</v>
      </c>
      <c r="B63" s="186" t="s">
        <v>983</v>
      </c>
      <c r="C63" s="338">
        <v>45799.0</v>
      </c>
      <c r="D63" s="227" t="s">
        <v>195</v>
      </c>
      <c r="E63" s="59" t="s">
        <v>921</v>
      </c>
      <c r="F63" s="75">
        <v>1.0</v>
      </c>
      <c r="G63" s="66" t="str">
        <f t="array" ref="G63">_xlfn.XLOOKUP(I63,' ivp'!S:S,#REF!)</f>
        <v>#N/A</v>
      </c>
      <c r="H63" s="68">
        <v>9.094949411E9</v>
      </c>
      <c r="I63" s="69" t="s">
        <v>990</v>
      </c>
      <c r="J63" s="71" t="str">
        <f t="shared" si="1"/>
        <v>#REF!</v>
      </c>
      <c r="K63" s="71" t="str">
        <f t="array" ref="K63">_xlfn.XLOOKUP(I63,Sheet2!$C$2:$C$56,Sheet2!$G$2:$G$56)</f>
        <v>#N/A</v>
      </c>
      <c r="L63" s="71"/>
      <c r="M63" s="73" t="s">
        <v>68</v>
      </c>
      <c r="N63" s="73"/>
    </row>
    <row r="64" ht="12.0" hidden="1" customHeight="1">
      <c r="A64" s="49">
        <v>64.0</v>
      </c>
      <c r="B64" s="186" t="s">
        <v>295</v>
      </c>
      <c r="C64" s="338">
        <v>45799.0</v>
      </c>
      <c r="D64" s="227" t="s">
        <v>195</v>
      </c>
      <c r="E64" s="59" t="s">
        <v>218</v>
      </c>
      <c r="F64" s="75">
        <v>1.0</v>
      </c>
      <c r="G64" s="66" t="str">
        <f t="array" ref="G64">_xlfn.XLOOKUP(I64,' ivp'!S:S,#REF!)</f>
        <v>#N/A</v>
      </c>
      <c r="H64" s="68">
        <v>9.629862664E9</v>
      </c>
      <c r="I64" s="69" t="s">
        <v>1005</v>
      </c>
      <c r="J64" s="71" t="str">
        <f t="shared" si="1"/>
        <v>#REF!</v>
      </c>
      <c r="K64" s="71" t="str">
        <f t="array" ref="K64">_xlfn.XLOOKUP(I64,Sheet2!$C$2:$C$56,Sheet2!$G$2:$G$56)</f>
        <v>#N/A</v>
      </c>
      <c r="L64" s="73" t="s">
        <v>262</v>
      </c>
      <c r="M64" s="73" t="s">
        <v>125</v>
      </c>
      <c r="N64" s="73"/>
    </row>
    <row r="65" ht="12.0" hidden="1" customHeight="1">
      <c r="A65" s="49">
        <v>65.0</v>
      </c>
      <c r="B65" s="186" t="s">
        <v>1013</v>
      </c>
      <c r="C65" s="338">
        <v>45799.0</v>
      </c>
      <c r="D65" s="227" t="s">
        <v>195</v>
      </c>
      <c r="E65" s="59" t="s">
        <v>198</v>
      </c>
      <c r="F65" s="75">
        <v>1.0</v>
      </c>
      <c r="G65" s="66" t="str">
        <f t="array" ref="G65">_xlfn.XLOOKUP(I65,' ivp'!S:S,#REF!)</f>
        <v>#N/A</v>
      </c>
      <c r="H65" s="68">
        <v>6.369969575E9</v>
      </c>
      <c r="I65" s="69" t="s">
        <v>1021</v>
      </c>
      <c r="J65" s="71" t="str">
        <f t="shared" si="1"/>
        <v>#REF!</v>
      </c>
      <c r="K65" s="71" t="str">
        <f t="array" ref="K65">_xlfn.XLOOKUP(I65,Sheet2!$C$2:$C$56,Sheet2!$G$2:$G$56)</f>
        <v>#N/A</v>
      </c>
      <c r="L65" s="71"/>
      <c r="M65" s="73" t="s">
        <v>68</v>
      </c>
      <c r="N65" s="73"/>
    </row>
    <row r="66" ht="12.0" customHeight="1">
      <c r="A66" s="49">
        <v>66.0</v>
      </c>
      <c r="B66" s="186" t="s">
        <v>1016</v>
      </c>
      <c r="C66" s="338">
        <v>45801.0</v>
      </c>
      <c r="D66" s="58" t="s">
        <v>67</v>
      </c>
      <c r="E66" s="59" t="s">
        <v>333</v>
      </c>
      <c r="F66" s="75">
        <v>1.0</v>
      </c>
      <c r="G66" s="66" t="str">
        <f t="array" ref="G66">_xlfn.XLOOKUP(I66,' ivp'!S:S,#REF!)</f>
        <v>#N/A</v>
      </c>
      <c r="H66" s="68">
        <v>9.361579843E9</v>
      </c>
      <c r="I66" s="69" t="s">
        <v>1035</v>
      </c>
      <c r="J66" s="71" t="str">
        <f t="shared" si="1"/>
        <v>#REF!</v>
      </c>
      <c r="K66" s="71" t="str">
        <f t="array" ref="K66">_xlfn.XLOOKUP(I66,Sheet2!$C$2:$C$56,Sheet2!$G$2:$G$56)</f>
        <v>#N/A</v>
      </c>
      <c r="L66" s="71"/>
      <c r="M66" s="73" t="s">
        <v>68</v>
      </c>
      <c r="N66" s="73"/>
    </row>
    <row r="67" ht="12.0" customHeight="1">
      <c r="A67" s="49">
        <v>67.0</v>
      </c>
      <c r="B67" s="186" t="s">
        <v>95</v>
      </c>
      <c r="C67" s="338">
        <v>45801.0</v>
      </c>
      <c r="D67" s="58" t="s">
        <v>67</v>
      </c>
      <c r="E67" s="59" t="s">
        <v>333</v>
      </c>
      <c r="F67" s="75">
        <v>1.0</v>
      </c>
      <c r="G67" s="66" t="str">
        <f t="array" ref="G67">_xlfn.XLOOKUP(I67,' ivp'!S:S,#REF!)</f>
        <v>#N/A</v>
      </c>
      <c r="H67" s="68">
        <v>8.438646623E9</v>
      </c>
      <c r="I67" s="69" t="s">
        <v>314</v>
      </c>
      <c r="J67" s="71" t="str">
        <f t="shared" si="1"/>
        <v>#REF!</v>
      </c>
      <c r="K67" s="96" t="str">
        <f t="array" ref="K67">_xlfn.XLOOKUP(I67,Sheet2!$C$2:$C$56,Sheet2!$G$2:$G$56)</f>
        <v>https://drive.google.com/open?id=1yhwdGyqyQaxxCpTdhazJmfT0qeGAy4je</v>
      </c>
      <c r="L67" s="73" t="s">
        <v>109</v>
      </c>
      <c r="M67" s="73" t="s">
        <v>68</v>
      </c>
      <c r="N67" s="73" t="s">
        <v>1055</v>
      </c>
    </row>
    <row r="68" ht="12.0" customHeight="1">
      <c r="A68" s="49">
        <v>68.0</v>
      </c>
      <c r="B68" s="186" t="s">
        <v>1061</v>
      </c>
      <c r="C68" s="338">
        <v>45801.0</v>
      </c>
      <c r="D68" s="58" t="s">
        <v>67</v>
      </c>
      <c r="E68" s="59" t="s">
        <v>218</v>
      </c>
      <c r="F68" s="75">
        <v>1.0</v>
      </c>
      <c r="G68" s="66" t="str">
        <f t="array" ref="G68">_xlfn.XLOOKUP(I68,' ivp'!S:S,#REF!)</f>
        <v>#N/A</v>
      </c>
      <c r="H68" s="68">
        <v>6.369115585E9</v>
      </c>
      <c r="I68" s="69" t="s">
        <v>1072</v>
      </c>
      <c r="J68" s="71" t="str">
        <f t="shared" si="1"/>
        <v>#REF!</v>
      </c>
      <c r="K68" s="71" t="str">
        <f t="array" ref="K68">_xlfn.XLOOKUP(I68,Sheet2!$C$2:$C$56,Sheet2!$G$2:$G$56)</f>
        <v>#N/A</v>
      </c>
      <c r="L68" s="73" t="s">
        <v>109</v>
      </c>
      <c r="M68" s="73" t="s">
        <v>68</v>
      </c>
      <c r="N68" s="73"/>
    </row>
    <row r="69" ht="12.0" hidden="1" customHeight="1">
      <c r="A69" s="49">
        <v>69.0</v>
      </c>
      <c r="B69" s="186" t="s">
        <v>518</v>
      </c>
      <c r="C69" s="338">
        <v>45801.0</v>
      </c>
      <c r="D69" s="227" t="s">
        <v>195</v>
      </c>
      <c r="E69" s="59" t="s">
        <v>1083</v>
      </c>
      <c r="F69" s="75">
        <v>1.0</v>
      </c>
      <c r="G69" s="66" t="str">
        <f t="array" ref="G69">_xlfn.XLOOKUP(I69,' ivp'!S:S,#REF!)</f>
        <v>#N/A</v>
      </c>
      <c r="H69" s="68">
        <v>9.176591451E9</v>
      </c>
      <c r="I69" s="69" t="s">
        <v>1093</v>
      </c>
      <c r="J69" s="71" t="str">
        <f t="shared" si="1"/>
        <v>#REF!</v>
      </c>
      <c r="K69" s="71" t="str">
        <f t="array" ref="K69">_xlfn.XLOOKUP(I69,Sheet2!$C$2:$C$56,Sheet2!$G$2:$G$56)</f>
        <v>#N/A</v>
      </c>
      <c r="L69" s="71"/>
      <c r="M69" s="73" t="s">
        <v>68</v>
      </c>
      <c r="N69" s="73"/>
    </row>
    <row r="70" ht="12.0" customHeight="1">
      <c r="A70" s="49">
        <v>70.0</v>
      </c>
      <c r="B70" s="186" t="s">
        <v>645</v>
      </c>
      <c r="C70" s="338">
        <v>45803.0</v>
      </c>
      <c r="D70" s="58" t="s">
        <v>67</v>
      </c>
      <c r="E70" s="59" t="s">
        <v>1106</v>
      </c>
      <c r="F70" s="183">
        <v>6.0</v>
      </c>
      <c r="G70" s="66" t="str">
        <f t="array" ref="G70">_xlfn.XLOOKUP(I70,' ivp'!S:S,#REF!)</f>
        <v>#N/A</v>
      </c>
      <c r="H70" s="68">
        <v>7.395956159E9</v>
      </c>
      <c r="I70" s="69" t="s">
        <v>83</v>
      </c>
      <c r="J70" s="71" t="str">
        <f t="shared" si="1"/>
        <v>#REF!</v>
      </c>
      <c r="K70" s="71" t="str">
        <f t="array" ref="K70">_xlfn.XLOOKUP(I70,Sheet2!$C$2:$C$56,Sheet2!$G$2:$G$56)</f>
        <v>#N/A</v>
      </c>
      <c r="L70" s="71"/>
      <c r="M70" s="73" t="s">
        <v>68</v>
      </c>
      <c r="N70" s="73"/>
    </row>
    <row r="71" ht="12.0" customHeight="1">
      <c r="A71" s="49">
        <v>71.0</v>
      </c>
      <c r="B71" s="186" t="s">
        <v>844</v>
      </c>
      <c r="C71" s="338">
        <v>45803.0</v>
      </c>
      <c r="D71" s="58" t="s">
        <v>67</v>
      </c>
      <c r="E71" s="59" t="s">
        <v>768</v>
      </c>
      <c r="F71" s="264">
        <v>3.0</v>
      </c>
      <c r="G71" s="66" t="str">
        <f t="array" ref="G71">_xlfn.XLOOKUP(I71,' ivp'!S:S,#REF!)</f>
        <v>#N/A</v>
      </c>
      <c r="H71" s="68">
        <v>8.825987128E9</v>
      </c>
      <c r="I71" s="69" t="s">
        <v>568</v>
      </c>
      <c r="J71" s="71" t="str">
        <f t="shared" si="1"/>
        <v>#REF!</v>
      </c>
      <c r="K71" s="96" t="str">
        <f t="array" ref="K71">_xlfn.XLOOKUP(I71,Sheet2!$C$2:$C$56,Sheet2!$G$2:$G$56)</f>
        <v>https://drive.google.com/open?id=1nHZJs4i8lSAPFeGmnNbmIfUuscVuCEPM</v>
      </c>
      <c r="L71" s="73" t="s">
        <v>109</v>
      </c>
      <c r="M71" s="73" t="s">
        <v>68</v>
      </c>
      <c r="N71" s="73"/>
    </row>
    <row r="72" ht="12.0" customHeight="1">
      <c r="A72" s="49">
        <v>72.0</v>
      </c>
      <c r="B72" s="186" t="s">
        <v>661</v>
      </c>
      <c r="C72" s="338">
        <v>45803.0</v>
      </c>
      <c r="D72" s="58" t="s">
        <v>67</v>
      </c>
      <c r="E72" s="59" t="s">
        <v>198</v>
      </c>
      <c r="F72" s="75">
        <v>1.0</v>
      </c>
      <c r="G72" s="66" t="str">
        <f t="array" ref="G72">_xlfn.XLOOKUP(I72,' ivp'!S:S,#REF!)</f>
        <v>#N/A</v>
      </c>
      <c r="H72" s="68">
        <v>8.438532004E9</v>
      </c>
      <c r="I72" s="69" t="s">
        <v>659</v>
      </c>
      <c r="J72" s="71" t="str">
        <f t="shared" si="1"/>
        <v>#REF!</v>
      </c>
      <c r="K72" s="71" t="str">
        <f t="array" ref="K72">_xlfn.XLOOKUP(I72,Sheet2!$C$2:$C$56,Sheet2!$G$2:$G$56)</f>
        <v>#N/A</v>
      </c>
      <c r="L72" s="73" t="s">
        <v>811</v>
      </c>
      <c r="M72" s="73" t="s">
        <v>68</v>
      </c>
      <c r="N72" s="73"/>
    </row>
    <row r="73" ht="12.0" customHeight="1">
      <c r="A73" s="49">
        <v>73.0</v>
      </c>
      <c r="B73" s="186" t="s">
        <v>518</v>
      </c>
      <c r="C73" s="338">
        <v>45803.0</v>
      </c>
      <c r="D73" s="58" t="s">
        <v>67</v>
      </c>
      <c r="E73" s="59" t="s">
        <v>218</v>
      </c>
      <c r="F73" s="75">
        <v>1.0</v>
      </c>
      <c r="G73" s="66" t="str">
        <f t="array" ref="G73">_xlfn.XLOOKUP(I73,' ivp'!S:S,#REF!)</f>
        <v>#N/A</v>
      </c>
      <c r="H73" s="68">
        <v>9.89441186E9</v>
      </c>
      <c r="I73" s="69" t="s">
        <v>1207</v>
      </c>
      <c r="J73" s="71" t="str">
        <f t="shared" si="1"/>
        <v>#REF!</v>
      </c>
      <c r="K73" s="71" t="str">
        <f t="array" ref="K73">_xlfn.XLOOKUP(I73,Sheet2!$C$2:$C$56,Sheet2!$G$2:$G$56)</f>
        <v>#N/A</v>
      </c>
      <c r="L73" s="73" t="s">
        <v>811</v>
      </c>
      <c r="M73" s="73" t="s">
        <v>68</v>
      </c>
      <c r="N73" s="73"/>
    </row>
    <row r="74" ht="12.0" customHeight="1">
      <c r="A74" s="49">
        <v>74.0</v>
      </c>
      <c r="B74" s="186" t="s">
        <v>231</v>
      </c>
      <c r="C74" s="338">
        <v>45803.0</v>
      </c>
      <c r="D74" s="58" t="s">
        <v>67</v>
      </c>
      <c r="E74" s="59" t="s">
        <v>251</v>
      </c>
      <c r="F74" s="75">
        <v>1.0</v>
      </c>
      <c r="G74" s="66" t="str">
        <f t="array" ref="G74">_xlfn.XLOOKUP(I74,' ivp'!S:S,#REF!)</f>
        <v>#N/A</v>
      </c>
      <c r="H74" s="68">
        <v>6.383245425E9</v>
      </c>
      <c r="I74" s="69" t="s">
        <v>1235</v>
      </c>
      <c r="J74" s="71" t="str">
        <f t="shared" si="1"/>
        <v>#REF!</v>
      </c>
      <c r="K74" s="71" t="str">
        <f t="array" ref="K74">_xlfn.XLOOKUP(I74,Sheet2!$C$2:$C$56,Sheet2!$G$2:$G$56)</f>
        <v>#N/A</v>
      </c>
      <c r="L74" s="73" t="s">
        <v>109</v>
      </c>
      <c r="M74" s="73" t="s">
        <v>68</v>
      </c>
      <c r="N74" s="73"/>
    </row>
    <row r="75" ht="12.0" customHeight="1">
      <c r="A75" s="49">
        <v>75.0</v>
      </c>
      <c r="B75" s="186" t="s">
        <v>1246</v>
      </c>
      <c r="C75" s="338">
        <v>45803.0</v>
      </c>
      <c r="D75" s="58" t="s">
        <v>67</v>
      </c>
      <c r="E75" s="59" t="s">
        <v>768</v>
      </c>
      <c r="F75" s="75">
        <v>1.0</v>
      </c>
      <c r="G75" s="66" t="str">
        <f t="array" ref="G75">_xlfn.XLOOKUP(I75,' ivp'!S:S,#REF!)</f>
        <v>#N/A</v>
      </c>
      <c r="H75" s="68">
        <v>8.072959463E9</v>
      </c>
      <c r="I75" s="69" t="s">
        <v>1253</v>
      </c>
      <c r="J75" s="71" t="str">
        <f t="shared" si="1"/>
        <v>#REF!</v>
      </c>
      <c r="K75" s="71" t="str">
        <f t="array" ref="K75">_xlfn.XLOOKUP(I75,Sheet2!$C$2:$C$56,Sheet2!$G$2:$G$56)</f>
        <v>#N/A</v>
      </c>
      <c r="L75" s="73" t="s">
        <v>109</v>
      </c>
      <c r="M75" s="73" t="s">
        <v>68</v>
      </c>
      <c r="N75" s="73" t="s">
        <v>112</v>
      </c>
    </row>
    <row r="76" ht="12.0" hidden="1" customHeight="1">
      <c r="A76" s="49">
        <v>76.0</v>
      </c>
      <c r="B76" s="186" t="s">
        <v>1262</v>
      </c>
      <c r="C76" s="338">
        <v>45806.0</v>
      </c>
      <c r="D76" s="227" t="s">
        <v>195</v>
      </c>
      <c r="E76" s="263" t="s">
        <v>509</v>
      </c>
      <c r="F76" s="75">
        <v>1.0</v>
      </c>
      <c r="G76" s="66" t="str">
        <f t="array" ref="G76">_xlfn.XLOOKUP(I76,' ivp'!S:S,#REF!)</f>
        <v>#N/A</v>
      </c>
      <c r="H76" s="68">
        <v>6.383284218E9</v>
      </c>
      <c r="I76" s="69" t="s">
        <v>1274</v>
      </c>
      <c r="J76" s="71" t="str">
        <f t="shared" si="1"/>
        <v>#REF!</v>
      </c>
      <c r="K76" s="71" t="str">
        <f t="array" ref="K76">_xlfn.XLOOKUP(I76,Sheet2!$C$2:$C$56,Sheet2!$G$2:$G$56)</f>
        <v>#N/A</v>
      </c>
      <c r="L76" s="73" t="s">
        <v>262</v>
      </c>
      <c r="M76" s="73" t="s">
        <v>125</v>
      </c>
      <c r="N76" s="73"/>
    </row>
    <row r="77" ht="12.0" customHeight="1">
      <c r="A77" s="49">
        <v>77.0</v>
      </c>
      <c r="B77" s="186" t="s">
        <v>1284</v>
      </c>
      <c r="C77" s="338">
        <v>45806.0</v>
      </c>
      <c r="D77" s="58" t="s">
        <v>67</v>
      </c>
      <c r="E77" s="263" t="s">
        <v>509</v>
      </c>
      <c r="F77" s="75">
        <v>1.0</v>
      </c>
      <c r="G77" s="66" t="str">
        <f t="array" ref="G77">_xlfn.XLOOKUP(I77,' ivp'!S:S,#REF!)</f>
        <v>#N/A</v>
      </c>
      <c r="H77" s="68">
        <v>9.360169224E9</v>
      </c>
      <c r="I77" s="69" t="s">
        <v>1294</v>
      </c>
      <c r="J77" s="71" t="str">
        <f t="shared" si="1"/>
        <v>#REF!</v>
      </c>
      <c r="K77" s="71" t="str">
        <f t="array" ref="K77">_xlfn.XLOOKUP(I77,Sheet2!$C$2:$C$56,Sheet2!$G$2:$G$56)</f>
        <v>#N/A</v>
      </c>
      <c r="L77" s="73" t="s">
        <v>109</v>
      </c>
      <c r="M77" s="73" t="s">
        <v>68</v>
      </c>
      <c r="N77" s="73"/>
    </row>
    <row r="78" ht="12.0" customHeight="1">
      <c r="A78" s="49">
        <v>78.0</v>
      </c>
      <c r="B78" s="186" t="s">
        <v>295</v>
      </c>
      <c r="C78" s="338">
        <v>45806.0</v>
      </c>
      <c r="D78" s="58" t="s">
        <v>67</v>
      </c>
      <c r="E78" s="263" t="s">
        <v>509</v>
      </c>
      <c r="F78" s="75">
        <v>1.0</v>
      </c>
      <c r="G78" s="66" t="str">
        <f t="array" ref="G78">_xlfn.XLOOKUP(I78,' ivp'!S:S,#REF!)</f>
        <v>#N/A</v>
      </c>
      <c r="H78" s="68">
        <v>9.342579223E9</v>
      </c>
      <c r="I78" s="69" t="s">
        <v>322</v>
      </c>
      <c r="J78" s="71" t="str">
        <f t="shared" si="1"/>
        <v>#REF!</v>
      </c>
      <c r="K78" s="96" t="str">
        <f t="array" ref="K78">_xlfn.XLOOKUP(I78,Sheet2!$C$2:$C$56,Sheet2!$G$2:$G$56)</f>
        <v>https://drive.google.com/open?id=1eSK4TMygEDUwydtw3Bz8FhlF3MQxJlQy</v>
      </c>
      <c r="L78" s="73" t="s">
        <v>811</v>
      </c>
      <c r="M78" s="73" t="s">
        <v>68</v>
      </c>
      <c r="N78" s="73"/>
    </row>
    <row r="79" ht="12.0" customHeight="1">
      <c r="A79" s="49">
        <v>79.0</v>
      </c>
      <c r="B79" s="186" t="s">
        <v>231</v>
      </c>
      <c r="C79" s="338">
        <v>45806.0</v>
      </c>
      <c r="D79" s="58" t="s">
        <v>67</v>
      </c>
      <c r="E79" s="263" t="s">
        <v>509</v>
      </c>
      <c r="F79" s="75">
        <v>1.0</v>
      </c>
      <c r="G79" s="66" t="str">
        <f t="array" ref="G79">_xlfn.XLOOKUP(I79,' ivp'!S:S,#REF!)</f>
        <v>#N/A</v>
      </c>
      <c r="H79" s="68">
        <v>9.597870425E9</v>
      </c>
      <c r="I79" s="69" t="s">
        <v>1319</v>
      </c>
      <c r="J79" s="71" t="str">
        <f t="shared" si="1"/>
        <v>#REF!</v>
      </c>
      <c r="K79" s="71" t="str">
        <f t="array" ref="K79">_xlfn.XLOOKUP(I79,Sheet2!$C$2:$C$56,Sheet2!$G$2:$G$56)</f>
        <v>#N/A</v>
      </c>
      <c r="L79" s="73" t="s">
        <v>109</v>
      </c>
      <c r="M79" s="73" t="s">
        <v>68</v>
      </c>
      <c r="N79" s="73" t="s">
        <v>1322</v>
      </c>
    </row>
    <row r="80" ht="12.0" customHeight="1">
      <c r="A80" s="49">
        <v>80.0</v>
      </c>
      <c r="B80" s="186" t="s">
        <v>1053</v>
      </c>
      <c r="C80" s="338">
        <v>45808.0</v>
      </c>
      <c r="D80" s="58" t="s">
        <v>67</v>
      </c>
      <c r="E80" s="59" t="s">
        <v>251</v>
      </c>
      <c r="F80" s="75">
        <v>1.0</v>
      </c>
      <c r="G80" s="66" t="str">
        <f t="array" ref="G80">_xlfn.XLOOKUP(I80,' ivp'!S:S,#REF!)</f>
        <v>#N/A</v>
      </c>
      <c r="H80" s="68">
        <v>8.610961896E9</v>
      </c>
      <c r="I80" s="69" t="s">
        <v>1327</v>
      </c>
      <c r="J80" s="71" t="str">
        <f t="shared" si="1"/>
        <v>#REF!</v>
      </c>
      <c r="K80" s="71" t="str">
        <f t="array" ref="K80">_xlfn.XLOOKUP(I80,Sheet2!$C$2:$C$56,Sheet2!$G$2:$G$56)</f>
        <v>#N/A</v>
      </c>
      <c r="L80" s="73" t="s">
        <v>109</v>
      </c>
      <c r="M80" s="73" t="s">
        <v>68</v>
      </c>
      <c r="N80" s="73" t="s">
        <v>1330</v>
      </c>
    </row>
    <row r="81" ht="12.0" hidden="1" customHeight="1">
      <c r="A81" s="557">
        <v>81.0</v>
      </c>
      <c r="B81" s="559" t="s">
        <v>231</v>
      </c>
      <c r="C81" s="561">
        <v>45808.0</v>
      </c>
      <c r="D81" s="563" t="s">
        <v>1335</v>
      </c>
      <c r="E81" s="263" t="s">
        <v>509</v>
      </c>
      <c r="F81" s="566">
        <v>0.0</v>
      </c>
      <c r="G81" s="66" t="str">
        <f t="array" ref="G81">_xlfn.XLOOKUP(I81,' ivp'!S:S,#REF!)</f>
        <v>#N/A</v>
      </c>
      <c r="H81" s="567">
        <v>4.562235104E9</v>
      </c>
      <c r="I81" s="568" t="s">
        <v>1340</v>
      </c>
      <c r="J81" s="71" t="str">
        <f t="shared" si="1"/>
        <v>#REF!</v>
      </c>
      <c r="K81" s="569" t="str">
        <f t="array" ref="K81">_xlfn.XLOOKUP(I81,Sheet2!$C$2:$C$56,Sheet2!$G$2:$G$56)</f>
        <v>#N/A</v>
      </c>
      <c r="L81" s="569"/>
      <c r="M81" s="569"/>
      <c r="N81" s="569"/>
    </row>
    <row r="82" ht="12.0" customHeight="1">
      <c r="A82" s="49">
        <v>82.0</v>
      </c>
      <c r="B82" s="186" t="s">
        <v>493</v>
      </c>
      <c r="C82" s="338">
        <v>45808.0</v>
      </c>
      <c r="D82" s="58" t="s">
        <v>67</v>
      </c>
      <c r="E82" s="59" t="s">
        <v>1344</v>
      </c>
      <c r="F82" s="75">
        <v>1.0</v>
      </c>
      <c r="G82" s="66" t="str">
        <f t="array" ref="G82">_xlfn.XLOOKUP(I82,' ivp'!S:S,#REF!)</f>
        <v>#N/A</v>
      </c>
      <c r="H82" s="68">
        <v>8.807506879E9</v>
      </c>
      <c r="I82" s="69" t="s">
        <v>409</v>
      </c>
      <c r="J82" s="71" t="str">
        <f t="shared" si="1"/>
        <v>#REF!</v>
      </c>
      <c r="K82" s="96" t="str">
        <f t="array" ref="K82">_xlfn.XLOOKUP(I82,Sheet2!$C$2:$C$56,Sheet2!$G$2:$G$56)</f>
        <v>https://drive.google.com/open?id=1OLvPZ68ByXNy7YfpMPQm7yBxDzWSn8pt</v>
      </c>
      <c r="L82" s="73" t="s">
        <v>377</v>
      </c>
      <c r="M82" s="73" t="s">
        <v>68</v>
      </c>
      <c r="N82" s="73"/>
    </row>
    <row r="83" ht="12.0" hidden="1" customHeight="1">
      <c r="A83" s="49">
        <v>83.0</v>
      </c>
      <c r="B83" s="186" t="s">
        <v>628</v>
      </c>
      <c r="C83" s="56">
        <v>45819.0</v>
      </c>
      <c r="D83" s="227" t="s">
        <v>195</v>
      </c>
      <c r="E83" s="59" t="s">
        <v>333</v>
      </c>
      <c r="F83" s="75">
        <v>1.0</v>
      </c>
      <c r="G83" s="66" t="str">
        <f t="array" ref="G83">_xlfn.XLOOKUP(I83,' ivp'!S:S,#REF!)</f>
        <v>#N/A</v>
      </c>
      <c r="H83" s="68">
        <v>9.345520711E9</v>
      </c>
      <c r="I83" s="69" t="s">
        <v>1352</v>
      </c>
      <c r="J83" s="71" t="str">
        <f t="shared" si="1"/>
        <v>#REF!</v>
      </c>
      <c r="K83" s="71" t="str">
        <f t="array" ref="K83">_xlfn.XLOOKUP(I83,Sheet2!$C$2:$C$56,Sheet2!$G$2:$G$56)</f>
        <v>#N/A</v>
      </c>
      <c r="L83" s="71"/>
      <c r="M83" s="73" t="s">
        <v>68</v>
      </c>
      <c r="N83" s="73"/>
    </row>
    <row r="84" ht="12.0" hidden="1" customHeight="1">
      <c r="A84" s="49">
        <v>84.0</v>
      </c>
      <c r="B84" s="186" t="s">
        <v>1355</v>
      </c>
      <c r="C84" s="56">
        <v>45819.0</v>
      </c>
      <c r="D84" s="227" t="s">
        <v>195</v>
      </c>
      <c r="E84" s="59" t="s">
        <v>700</v>
      </c>
      <c r="F84" s="75">
        <v>1.0</v>
      </c>
      <c r="G84" s="66" t="str">
        <f t="array" ref="G84">_xlfn.XLOOKUP(I84,' ivp'!S:S,#REF!)</f>
        <v>#N/A</v>
      </c>
      <c r="H84" s="68">
        <v>9.17623288E9</v>
      </c>
      <c r="I84" s="69" t="s">
        <v>1359</v>
      </c>
      <c r="J84" s="71" t="str">
        <f t="shared" si="1"/>
        <v>#REF!</v>
      </c>
      <c r="K84" s="71" t="str">
        <f t="array" ref="K84">_xlfn.XLOOKUP(I84,Sheet2!$C$2:$C$56,Sheet2!$G$2:$G$56)</f>
        <v>#N/A</v>
      </c>
      <c r="L84" s="71"/>
      <c r="M84" s="73" t="s">
        <v>68</v>
      </c>
      <c r="N84" s="73"/>
    </row>
    <row r="85" ht="12.0" customHeight="1">
      <c r="A85" s="49">
        <v>85.0</v>
      </c>
      <c r="B85" s="186" t="s">
        <v>1364</v>
      </c>
      <c r="C85" s="56">
        <v>45819.0</v>
      </c>
      <c r="D85" s="58" t="s">
        <v>67</v>
      </c>
      <c r="E85" s="59" t="s">
        <v>251</v>
      </c>
      <c r="F85" s="75">
        <v>1.0</v>
      </c>
      <c r="G85" s="66" t="str">
        <f t="array" ref="G85">_xlfn.XLOOKUP(I85,' ivp'!S:S,#REF!)</f>
        <v>#N/A</v>
      </c>
      <c r="H85" s="68">
        <v>8.63744962E9</v>
      </c>
      <c r="I85" s="69" t="s">
        <v>1370</v>
      </c>
      <c r="J85" s="71" t="str">
        <f t="shared" si="1"/>
        <v>#REF!</v>
      </c>
      <c r="K85" s="71" t="str">
        <f t="array" ref="K85">_xlfn.XLOOKUP(I85,Sheet2!$C$2:$C$56,Sheet2!$G$2:$G$56)</f>
        <v>#N/A</v>
      </c>
      <c r="L85" s="73" t="s">
        <v>109</v>
      </c>
      <c r="M85" s="73" t="s">
        <v>68</v>
      </c>
      <c r="N85" s="73"/>
    </row>
    <row r="86" ht="12.0" customHeight="1">
      <c r="A86" s="49">
        <v>86.0</v>
      </c>
      <c r="B86" s="186" t="s">
        <v>493</v>
      </c>
      <c r="C86" s="56">
        <v>45820.0</v>
      </c>
      <c r="D86" s="58" t="s">
        <v>67</v>
      </c>
      <c r="E86" s="59" t="s">
        <v>1373</v>
      </c>
      <c r="F86" s="75">
        <v>1.0</v>
      </c>
      <c r="G86" s="66" t="str">
        <f t="array" ref="G86">_xlfn.XLOOKUP(I86,' ivp'!S:S,#REF!)</f>
        <v>#N/A</v>
      </c>
      <c r="H86" s="68" t="s">
        <v>1374</v>
      </c>
      <c r="I86" s="69" t="s">
        <v>1375</v>
      </c>
      <c r="J86" s="71" t="str">
        <f t="shared" si="1"/>
        <v>#REF!</v>
      </c>
      <c r="K86" s="71" t="str">
        <f t="array" ref="K86">_xlfn.XLOOKUP(I86,Sheet2!$C$2:$C$56,Sheet2!$G$2:$G$56)</f>
        <v>#N/A</v>
      </c>
      <c r="L86" s="73" t="s">
        <v>245</v>
      </c>
      <c r="M86" s="73" t="s">
        <v>68</v>
      </c>
      <c r="N86" s="73"/>
    </row>
    <row r="87" ht="12.0" customHeight="1">
      <c r="A87" s="49">
        <v>87.0</v>
      </c>
      <c r="B87" s="186" t="s">
        <v>1381</v>
      </c>
      <c r="C87" s="56">
        <v>45820.0</v>
      </c>
      <c r="D87" s="58" t="s">
        <v>67</v>
      </c>
      <c r="E87" s="59" t="s">
        <v>333</v>
      </c>
      <c r="F87" s="75">
        <v>1.0</v>
      </c>
      <c r="G87" s="66" t="str">
        <f t="array" ref="G87">_xlfn.XLOOKUP(I87,' ivp'!S:S,#REF!)</f>
        <v>#N/A</v>
      </c>
      <c r="H87" s="68">
        <v>9.821350641E9</v>
      </c>
      <c r="I87" s="69" t="s">
        <v>648</v>
      </c>
      <c r="J87" s="71" t="str">
        <f t="shared" si="1"/>
        <v>#REF!</v>
      </c>
      <c r="K87" s="96" t="str">
        <f t="array" ref="K87">_xlfn.XLOOKUP(I87,Sheet2!$C$2:$C$56,Sheet2!$G$2:$G$56)</f>
        <v>https://drive.google.com/open?id=1-9Wakw9eAXg6Our-F86qHsC68NeKtp7A</v>
      </c>
      <c r="L87" s="73" t="s">
        <v>109</v>
      </c>
      <c r="M87" s="73" t="s">
        <v>68</v>
      </c>
      <c r="N87" s="73" t="s">
        <v>1390</v>
      </c>
    </row>
    <row r="88" ht="12.0" customHeight="1">
      <c r="A88" s="49">
        <v>88.0</v>
      </c>
      <c r="B88" s="186" t="s">
        <v>95</v>
      </c>
      <c r="C88" s="56">
        <v>45821.0</v>
      </c>
      <c r="D88" s="58" t="s">
        <v>67</v>
      </c>
      <c r="E88" s="59" t="s">
        <v>780</v>
      </c>
      <c r="F88" s="75">
        <v>1.0</v>
      </c>
      <c r="G88" s="66" t="str">
        <f t="array" ref="G88">_xlfn.XLOOKUP(I88,' ivp'!S:S,#REF!)</f>
        <v>#N/A</v>
      </c>
      <c r="H88" s="68">
        <v>9.750821151E9</v>
      </c>
      <c r="I88" s="69" t="s">
        <v>1392</v>
      </c>
      <c r="J88" s="71" t="str">
        <f t="shared" si="1"/>
        <v>#REF!</v>
      </c>
      <c r="K88" s="71" t="str">
        <f t="array" ref="K88">_xlfn.XLOOKUP(I88,Sheet2!$C$2:$C$56,Sheet2!$G$2:$G$56)</f>
        <v>#N/A</v>
      </c>
      <c r="L88" s="73" t="s">
        <v>109</v>
      </c>
      <c r="M88" s="73" t="s">
        <v>68</v>
      </c>
      <c r="N88" s="73" t="s">
        <v>112</v>
      </c>
    </row>
    <row r="89" ht="12.0" customHeight="1">
      <c r="A89" s="49">
        <v>89.0</v>
      </c>
      <c r="B89" s="186" t="s">
        <v>1396</v>
      </c>
      <c r="C89" s="56">
        <v>45821.0</v>
      </c>
      <c r="D89" s="58" t="s">
        <v>67</v>
      </c>
      <c r="E89" s="59" t="s">
        <v>333</v>
      </c>
      <c r="F89" s="75">
        <v>1.0</v>
      </c>
      <c r="G89" s="66" t="str">
        <f t="array" ref="G89">_xlfn.XLOOKUP(I89,' ivp'!S:S,#REF!)</f>
        <v>#N/A</v>
      </c>
      <c r="H89" s="68">
        <v>7.358998645E9</v>
      </c>
      <c r="I89" s="69" t="s">
        <v>1397</v>
      </c>
      <c r="J89" s="71" t="str">
        <f t="shared" si="1"/>
        <v>#REF!</v>
      </c>
      <c r="K89" s="71" t="str">
        <f t="array" ref="K89">_xlfn.XLOOKUP(I89,Sheet2!$C$2:$C$56,Sheet2!$G$2:$G$56)</f>
        <v>#N/A</v>
      </c>
      <c r="L89" s="71"/>
      <c r="M89" s="73" t="s">
        <v>68</v>
      </c>
      <c r="N89" s="73"/>
    </row>
    <row r="90" ht="12.0" customHeight="1">
      <c r="A90" s="49">
        <v>90.0</v>
      </c>
      <c r="B90" s="186" t="s">
        <v>493</v>
      </c>
      <c r="C90" s="56">
        <v>45821.0</v>
      </c>
      <c r="D90" s="58" t="s">
        <v>67</v>
      </c>
      <c r="E90" s="263" t="s">
        <v>509</v>
      </c>
      <c r="F90" s="75">
        <v>1.0</v>
      </c>
      <c r="G90" s="66" t="str">
        <f t="array" ref="G90">_xlfn.XLOOKUP(I90,' ivp'!S:S,#REF!)</f>
        <v>#N/A</v>
      </c>
      <c r="H90" s="68">
        <v>8.807821116E9</v>
      </c>
      <c r="I90" s="69" t="s">
        <v>731</v>
      </c>
      <c r="J90" s="71" t="str">
        <f t="shared" si="1"/>
        <v>#REF!</v>
      </c>
      <c r="K90" s="96" t="str">
        <f t="array" ref="K90">_xlfn.XLOOKUP(I90,Sheet2!$C$2:$C$56,Sheet2!$G$2:$G$56)</f>
        <v>https://drive.google.com/open?id=1tWJh1aNqjYXJaB4xffewaxs0cTIYca-r</v>
      </c>
      <c r="L90" s="73" t="s">
        <v>109</v>
      </c>
      <c r="M90" s="73" t="s">
        <v>68</v>
      </c>
      <c r="N90" s="73"/>
    </row>
    <row r="91" ht="12.0" customHeight="1">
      <c r="A91" s="49">
        <v>91.0</v>
      </c>
      <c r="B91" s="186" t="s">
        <v>381</v>
      </c>
      <c r="C91" s="56">
        <v>45821.0</v>
      </c>
      <c r="D91" s="58" t="s">
        <v>67</v>
      </c>
      <c r="E91" s="59" t="s">
        <v>218</v>
      </c>
      <c r="F91" s="75">
        <v>1.0</v>
      </c>
      <c r="G91" s="66" t="str">
        <f t="array" ref="G91">_xlfn.XLOOKUP(I91,' ivp'!S:S,#REF!)</f>
        <v>#N/A</v>
      </c>
      <c r="H91" s="68">
        <v>9.150479903E9</v>
      </c>
      <c r="I91" s="69" t="s">
        <v>1229</v>
      </c>
      <c r="J91" s="71" t="str">
        <f t="shared" si="1"/>
        <v>#REF!</v>
      </c>
      <c r="K91" s="71" t="str">
        <f t="array" ref="K91">_xlfn.XLOOKUP(I91,Sheet2!$C$2:$C$56,Sheet2!$G$2:$G$56)</f>
        <v>#N/A</v>
      </c>
      <c r="L91" s="73" t="s">
        <v>1415</v>
      </c>
      <c r="M91" s="73" t="s">
        <v>68</v>
      </c>
      <c r="N91" s="73"/>
    </row>
    <row r="92" ht="12.0" hidden="1" customHeight="1">
      <c r="A92" s="49">
        <v>92.0</v>
      </c>
      <c r="B92" s="186" t="s">
        <v>493</v>
      </c>
      <c r="C92" s="56">
        <v>45822.0</v>
      </c>
      <c r="D92" s="227" t="s">
        <v>195</v>
      </c>
      <c r="E92" s="263" t="s">
        <v>509</v>
      </c>
      <c r="F92" s="75">
        <v>1.0</v>
      </c>
      <c r="G92" s="66" t="str">
        <f t="array" ref="G92">_xlfn.XLOOKUP(I92,' ivp'!S:S,#REF!)</f>
        <v>#N/A</v>
      </c>
      <c r="H92" s="68">
        <v>8.838863843E9</v>
      </c>
      <c r="I92" s="69" t="s">
        <v>1421</v>
      </c>
      <c r="J92" s="71" t="str">
        <f t="shared" si="1"/>
        <v>#REF!</v>
      </c>
      <c r="K92" s="71" t="str">
        <f t="array" ref="K92">_xlfn.XLOOKUP(I92,Sheet2!$C$2:$C$56,Sheet2!$G$2:$G$56)</f>
        <v>#N/A</v>
      </c>
      <c r="L92" s="73"/>
      <c r="M92" s="73" t="s">
        <v>125</v>
      </c>
      <c r="N92" s="73"/>
      <c r="O92" s="604"/>
      <c r="P92" s="604"/>
      <c r="Q92" s="604"/>
      <c r="R92" s="604"/>
      <c r="S92" s="604"/>
      <c r="T92" s="604"/>
      <c r="U92" s="604"/>
      <c r="V92" s="604"/>
      <c r="W92" s="604"/>
      <c r="X92" s="604"/>
      <c r="Y92" s="604"/>
      <c r="Z92" s="604"/>
      <c r="AA92" s="604"/>
      <c r="AB92" s="604"/>
      <c r="AC92" s="604"/>
      <c r="AD92" s="604"/>
      <c r="AE92" s="604"/>
    </row>
    <row r="93" ht="12.0" customHeight="1">
      <c r="A93" s="49">
        <v>93.0</v>
      </c>
      <c r="B93" s="186" t="s">
        <v>349</v>
      </c>
      <c r="C93" s="56">
        <v>45822.0</v>
      </c>
      <c r="D93" s="58" t="s">
        <v>67</v>
      </c>
      <c r="E93" s="59" t="s">
        <v>198</v>
      </c>
      <c r="F93" s="100">
        <v>3.0</v>
      </c>
      <c r="G93" s="66" t="str">
        <f t="array" ref="G93">_xlfn.XLOOKUP(I93,' ivp'!S:S,#REF!)</f>
        <v>#N/A</v>
      </c>
      <c r="H93" s="68">
        <v>7.539960504E9</v>
      </c>
      <c r="I93" s="69" t="s">
        <v>454</v>
      </c>
      <c r="J93" s="71" t="str">
        <f t="shared" si="1"/>
        <v>#REF!</v>
      </c>
      <c r="K93" s="96" t="str">
        <f t="array" ref="K93">_xlfn.XLOOKUP(I93,Sheet2!$C$2:$C$56,Sheet2!$G$2:$G$56)</f>
        <v>https://drive.google.com/open?id=1oVGXQB851bH8GxkM8Q2Ul1WD3_NojREl</v>
      </c>
      <c r="L93" s="71"/>
      <c r="M93" s="73" t="s">
        <v>68</v>
      </c>
      <c r="N93" s="73"/>
    </row>
    <row r="94" ht="12.0" hidden="1" customHeight="1">
      <c r="A94" s="49">
        <v>94.0</v>
      </c>
      <c r="B94" s="186" t="s">
        <v>1436</v>
      </c>
      <c r="C94" s="56">
        <v>45822.0</v>
      </c>
      <c r="D94" s="227" t="s">
        <v>195</v>
      </c>
      <c r="E94" s="59" t="s">
        <v>333</v>
      </c>
      <c r="F94" s="75">
        <v>1.0</v>
      </c>
      <c r="G94" s="66" t="str">
        <f t="array" ref="G94">_xlfn.XLOOKUP(I94,' ivp'!S:S,#REF!)</f>
        <v>#N/A</v>
      </c>
      <c r="H94" s="68">
        <v>9.498451242E9</v>
      </c>
      <c r="I94" s="69" t="s">
        <v>1443</v>
      </c>
      <c r="J94" s="71" t="str">
        <f t="shared" si="1"/>
        <v>#REF!</v>
      </c>
      <c r="K94" s="71" t="str">
        <f t="array" ref="K94">_xlfn.XLOOKUP(I94,Sheet2!$C$2:$C$56,Sheet2!$G$2:$G$56)</f>
        <v>#N/A</v>
      </c>
      <c r="L94" s="71"/>
      <c r="M94" s="73" t="s">
        <v>68</v>
      </c>
      <c r="N94" s="73"/>
    </row>
    <row r="95" ht="12.0" hidden="1" customHeight="1">
      <c r="A95" s="49">
        <v>95.0</v>
      </c>
      <c r="B95" s="186" t="s">
        <v>639</v>
      </c>
      <c r="C95" s="56">
        <v>45822.0</v>
      </c>
      <c r="D95" s="227" t="s">
        <v>195</v>
      </c>
      <c r="E95" s="59" t="s">
        <v>768</v>
      </c>
      <c r="F95" s="75">
        <v>1.0</v>
      </c>
      <c r="G95" s="66" t="str">
        <f t="array" ref="G95">_xlfn.XLOOKUP(I95,' ivp'!S:S,#REF!)</f>
        <v>#N/A</v>
      </c>
      <c r="H95" s="68">
        <v>8.778446189E9</v>
      </c>
      <c r="I95" s="69" t="s">
        <v>1453</v>
      </c>
      <c r="J95" s="71" t="str">
        <f t="shared" si="1"/>
        <v>#REF!</v>
      </c>
      <c r="K95" s="71" t="str">
        <f t="array" ref="K95">_xlfn.XLOOKUP(I95,Sheet2!$C$2:$C$56,Sheet2!$G$2:$G$56)</f>
        <v>#N/A</v>
      </c>
      <c r="L95" s="73" t="s">
        <v>262</v>
      </c>
      <c r="M95" s="73" t="s">
        <v>125</v>
      </c>
      <c r="N95" s="73"/>
    </row>
    <row r="96" ht="12.0" customHeight="1">
      <c r="A96" s="49">
        <v>96.0</v>
      </c>
      <c r="B96" s="186" t="s">
        <v>518</v>
      </c>
      <c r="C96" s="56">
        <v>45825.0</v>
      </c>
      <c r="D96" s="58" t="s">
        <v>67</v>
      </c>
      <c r="E96" s="59" t="s">
        <v>251</v>
      </c>
      <c r="F96" s="75">
        <v>1.0</v>
      </c>
      <c r="G96" s="66" t="str">
        <f t="array" ref="G96">_xlfn.XLOOKUP(I96,' ivp'!S:S,#REF!)</f>
        <v>#N/A</v>
      </c>
      <c r="H96" s="68">
        <v>9.384899474E9</v>
      </c>
      <c r="I96" s="69" t="s">
        <v>1466</v>
      </c>
      <c r="J96" s="71" t="str">
        <f t="shared" si="1"/>
        <v>#REF!</v>
      </c>
      <c r="K96" s="71" t="str">
        <f t="array" ref="K96">_xlfn.XLOOKUP(I96,Sheet2!$C$2:$C$56,Sheet2!$G$2:$G$56)</f>
        <v>#N/A</v>
      </c>
      <c r="L96" s="73" t="s">
        <v>377</v>
      </c>
      <c r="M96" s="73" t="s">
        <v>68</v>
      </c>
      <c r="N96" s="73"/>
    </row>
    <row r="97" ht="12.0" customHeight="1">
      <c r="A97" s="49">
        <v>97.0</v>
      </c>
      <c r="B97" s="186" t="s">
        <v>356</v>
      </c>
      <c r="C97" s="56">
        <v>45825.0</v>
      </c>
      <c r="D97" s="58" t="s">
        <v>67</v>
      </c>
      <c r="E97" s="263" t="s">
        <v>509</v>
      </c>
      <c r="F97" s="75">
        <v>1.0</v>
      </c>
      <c r="G97" s="66" t="str">
        <f t="array" ref="G97">_xlfn.XLOOKUP(I97,' ivp'!S:S,#REF!)</f>
        <v>#N/A</v>
      </c>
      <c r="H97" s="68">
        <v>7.305714848E9</v>
      </c>
      <c r="I97" s="69" t="s">
        <v>1002</v>
      </c>
      <c r="J97" s="71" t="str">
        <f t="shared" si="1"/>
        <v>#REF!</v>
      </c>
      <c r="K97" s="71" t="str">
        <f t="array" ref="K97">_xlfn.XLOOKUP(I97,Sheet2!$C$2:$C$56,Sheet2!$G$2:$G$56)</f>
        <v>#N/A</v>
      </c>
      <c r="L97" s="73" t="s">
        <v>109</v>
      </c>
      <c r="M97" s="73" t="s">
        <v>68</v>
      </c>
      <c r="N97" s="73" t="s">
        <v>187</v>
      </c>
    </row>
    <row r="98" ht="12.0" customHeight="1">
      <c r="A98" s="49">
        <v>98.0</v>
      </c>
      <c r="B98" s="186" t="s">
        <v>844</v>
      </c>
      <c r="C98" s="56">
        <v>45826.0</v>
      </c>
      <c r="D98" s="58" t="s">
        <v>67</v>
      </c>
      <c r="E98" s="59" t="s">
        <v>340</v>
      </c>
      <c r="F98" s="75">
        <v>1.0</v>
      </c>
      <c r="G98" s="66" t="str">
        <f t="array" ref="G98">_xlfn.XLOOKUP(I98,' ivp'!S:S,#REF!)</f>
        <v>#N/A</v>
      </c>
      <c r="H98" s="68">
        <v>8.056096632E9</v>
      </c>
      <c r="I98" s="69" t="s">
        <v>1222</v>
      </c>
      <c r="J98" s="71" t="str">
        <f t="shared" si="1"/>
        <v>#REF!</v>
      </c>
      <c r="K98" s="71" t="str">
        <f t="array" ref="K98">_xlfn.XLOOKUP(I98,Sheet2!$C$2:$C$56,Sheet2!$G$2:$G$56)</f>
        <v>#N/A</v>
      </c>
      <c r="L98" s="73" t="s">
        <v>109</v>
      </c>
      <c r="M98" s="73" t="s">
        <v>68</v>
      </c>
      <c r="N98" s="73"/>
    </row>
    <row r="99" ht="12.0" customHeight="1">
      <c r="A99" s="49">
        <v>99.0</v>
      </c>
      <c r="B99" s="186" t="s">
        <v>1489</v>
      </c>
      <c r="C99" s="56">
        <v>45826.0</v>
      </c>
      <c r="D99" s="58" t="s">
        <v>67</v>
      </c>
      <c r="E99" s="263" t="s">
        <v>509</v>
      </c>
      <c r="F99" s="75">
        <v>1.0</v>
      </c>
      <c r="G99" s="66" t="str">
        <f t="array" ref="G99">_xlfn.XLOOKUP(I99,' ivp'!S:S,#REF!)</f>
        <v>#N/A</v>
      </c>
      <c r="H99" s="68">
        <v>8.925481638E9</v>
      </c>
      <c r="I99" s="69" t="s">
        <v>1495</v>
      </c>
      <c r="J99" s="71" t="str">
        <f t="shared" si="1"/>
        <v>#REF!</v>
      </c>
      <c r="K99" s="71" t="str">
        <f t="array" ref="K99">_xlfn.XLOOKUP(I99,Sheet2!$C$2:$C$56,Sheet2!$G$2:$G$56)</f>
        <v>#N/A</v>
      </c>
      <c r="L99" s="73" t="s">
        <v>109</v>
      </c>
      <c r="M99" s="73" t="s">
        <v>125</v>
      </c>
      <c r="N99" s="73" t="s">
        <v>1500</v>
      </c>
    </row>
    <row r="100" ht="12.0" customHeight="1">
      <c r="A100" s="49">
        <v>100.0</v>
      </c>
      <c r="B100" s="186" t="s">
        <v>639</v>
      </c>
      <c r="C100" s="56">
        <v>45826.0</v>
      </c>
      <c r="D100" s="58" t="s">
        <v>67</v>
      </c>
      <c r="E100" s="59" t="s">
        <v>637</v>
      </c>
      <c r="F100" s="183">
        <v>6.0</v>
      </c>
      <c r="G100" s="66" t="str">
        <f t="array" ref="G100">_xlfn.XLOOKUP(I100,' ivp'!S:S,#REF!)</f>
        <v>#N/A</v>
      </c>
      <c r="H100" s="68">
        <v>8.122302503E9</v>
      </c>
      <c r="I100" s="69" t="s">
        <v>796</v>
      </c>
      <c r="J100" s="71" t="str">
        <f t="shared" si="1"/>
        <v>#REF!</v>
      </c>
      <c r="K100" s="71" t="str">
        <f t="array" ref="K100">_xlfn.XLOOKUP(I100,Sheet2!$C$2:$C$56,Sheet2!$G$2:$G$56)</f>
        <v>#N/A</v>
      </c>
      <c r="L100" s="71"/>
      <c r="M100" s="73" t="s">
        <v>68</v>
      </c>
      <c r="N100" s="73"/>
    </row>
    <row r="101" ht="12.0" customHeight="1">
      <c r="A101" s="49">
        <v>101.0</v>
      </c>
      <c r="B101" s="186" t="s">
        <v>639</v>
      </c>
      <c r="C101" s="56">
        <v>45826.0</v>
      </c>
      <c r="D101" s="58" t="s">
        <v>67</v>
      </c>
      <c r="E101" s="59" t="s">
        <v>637</v>
      </c>
      <c r="F101" s="183">
        <v>6.0</v>
      </c>
      <c r="G101" s="66" t="str">
        <f t="array" ref="G101">_xlfn.XLOOKUP(I101,' ivp'!S:S,#REF!)</f>
        <v>#N/A</v>
      </c>
      <c r="H101" s="68">
        <v>8.681879364E9</v>
      </c>
      <c r="I101" s="69" t="s">
        <v>634</v>
      </c>
      <c r="J101" s="71" t="str">
        <f t="shared" si="1"/>
        <v>#REF!</v>
      </c>
      <c r="K101" s="96" t="str">
        <f t="array" ref="K101">_xlfn.XLOOKUP(I101,Sheet2!$C$2:$C$56,Sheet2!$G$2:$G$56)</f>
        <v>https://drive.google.com/open?id=18z-76Mx5ICtmDs3BWvgoQi21dn9ekcDy</v>
      </c>
      <c r="L101" s="71"/>
      <c r="M101" s="73" t="s">
        <v>68</v>
      </c>
      <c r="N101" s="73"/>
    </row>
    <row r="102" ht="12.0" customHeight="1">
      <c r="A102" s="49">
        <v>102.0</v>
      </c>
      <c r="B102" s="186" t="s">
        <v>1013</v>
      </c>
      <c r="C102" s="56">
        <v>45826.0</v>
      </c>
      <c r="D102" s="58" t="s">
        <v>67</v>
      </c>
      <c r="E102" s="263" t="s">
        <v>509</v>
      </c>
      <c r="F102" s="75">
        <v>1.0</v>
      </c>
      <c r="G102" s="66" t="str">
        <f t="array" ref="G102">_xlfn.XLOOKUP(I102,' ivp'!S:S,#REF!)</f>
        <v>#N/A</v>
      </c>
      <c r="H102" s="68">
        <v>7.288958205E9</v>
      </c>
      <c r="I102" s="69" t="s">
        <v>1525</v>
      </c>
      <c r="J102" s="71" t="str">
        <f t="shared" si="1"/>
        <v>#REF!</v>
      </c>
      <c r="K102" s="71" t="str">
        <f t="array" ref="K102">_xlfn.XLOOKUP(I102,Sheet2!$C$2:$C$56,Sheet2!$G$2:$G$56)</f>
        <v>#N/A</v>
      </c>
      <c r="L102" s="73" t="s">
        <v>811</v>
      </c>
      <c r="M102" s="73" t="s">
        <v>68</v>
      </c>
      <c r="N102" s="73" t="s">
        <v>112</v>
      </c>
    </row>
    <row r="103" ht="12.0" customHeight="1">
      <c r="A103" s="49">
        <v>103.0</v>
      </c>
      <c r="B103" s="186" t="s">
        <v>381</v>
      </c>
      <c r="C103" s="56">
        <v>45830.0</v>
      </c>
      <c r="D103" s="58" t="s">
        <v>67</v>
      </c>
      <c r="E103" s="59" t="s">
        <v>218</v>
      </c>
      <c r="F103" s="75">
        <v>1.0</v>
      </c>
      <c r="G103" s="66" t="str">
        <f t="array" ref="G103">_xlfn.XLOOKUP(I103,' ivp'!S:S,#REF!)</f>
        <v>#N/A</v>
      </c>
      <c r="H103" s="68">
        <v>6.379291049E9</v>
      </c>
      <c r="I103" s="69" t="s">
        <v>1534</v>
      </c>
      <c r="J103" s="71" t="str">
        <f t="shared" si="1"/>
        <v>#REF!</v>
      </c>
      <c r="K103" s="71" t="str">
        <f t="array" ref="K103">_xlfn.XLOOKUP(I103,Sheet2!$C$2:$C$56,Sheet2!$G$2:$G$56)</f>
        <v>#N/A</v>
      </c>
      <c r="L103" s="73" t="s">
        <v>109</v>
      </c>
      <c r="M103" s="73" t="s">
        <v>68</v>
      </c>
      <c r="N103" s="73"/>
    </row>
    <row r="104" ht="12.0" customHeight="1">
      <c r="A104" s="49">
        <v>104.0</v>
      </c>
      <c r="B104" s="186" t="s">
        <v>1540</v>
      </c>
      <c r="C104" s="56">
        <v>45830.0</v>
      </c>
      <c r="D104" s="58" t="s">
        <v>67</v>
      </c>
      <c r="E104" s="59" t="s">
        <v>1541</v>
      </c>
      <c r="F104" s="75">
        <v>1.0</v>
      </c>
      <c r="G104" s="66" t="str">
        <f t="array" ref="G104">_xlfn.XLOOKUP(I104,' ivp'!S:S,#REF!)</f>
        <v>#N/A</v>
      </c>
      <c r="H104" s="68">
        <v>9.486774538E9</v>
      </c>
      <c r="I104" s="69" t="s">
        <v>208</v>
      </c>
      <c r="J104" s="71" t="str">
        <f t="shared" si="1"/>
        <v>#REF!</v>
      </c>
      <c r="K104" s="96" t="str">
        <f t="array" ref="K104">_xlfn.XLOOKUP(I104,Sheet2!$C$2:$C$56,Sheet2!$G$2:$G$56)</f>
        <v>https://drive.google.com/open?id=1h9tBZeIaTYj8Em_ZR4Zz4Hh5uaf9SDvU</v>
      </c>
      <c r="L104" s="73" t="s">
        <v>109</v>
      </c>
      <c r="M104" s="73" t="s">
        <v>68</v>
      </c>
      <c r="N104" s="73" t="s">
        <v>1549</v>
      </c>
    </row>
    <row r="105" ht="12.0" hidden="1" customHeight="1">
      <c r="A105" s="49">
        <v>105.0</v>
      </c>
      <c r="B105" s="186" t="s">
        <v>432</v>
      </c>
      <c r="C105" s="56">
        <v>45830.0</v>
      </c>
      <c r="D105" s="227" t="s">
        <v>195</v>
      </c>
      <c r="E105" s="263" t="s">
        <v>509</v>
      </c>
      <c r="F105" s="75">
        <v>1.0</v>
      </c>
      <c r="G105" s="66" t="str">
        <f t="array" ref="G105">_xlfn.XLOOKUP(I105,' ivp'!S:S,#REF!)</f>
        <v>#N/A</v>
      </c>
      <c r="H105" s="68">
        <v>8.870400628E9</v>
      </c>
      <c r="I105" s="69" t="s">
        <v>1553</v>
      </c>
      <c r="J105" s="71" t="str">
        <f t="shared" si="1"/>
        <v>#REF!</v>
      </c>
      <c r="K105" s="71" t="str">
        <f t="array" ref="K105">_xlfn.XLOOKUP(I105,Sheet2!$C$2:$C$56,Sheet2!$G$2:$G$56)</f>
        <v>#N/A</v>
      </c>
      <c r="L105" s="73"/>
      <c r="M105" s="73" t="s">
        <v>125</v>
      </c>
      <c r="N105" s="73"/>
    </row>
    <row r="106" ht="12.0" customHeight="1">
      <c r="A106" s="49">
        <v>106.0</v>
      </c>
      <c r="B106" s="186" t="s">
        <v>844</v>
      </c>
      <c r="C106" s="56">
        <v>45831.0</v>
      </c>
      <c r="D106" s="58" t="s">
        <v>67</v>
      </c>
      <c r="E106" s="59" t="s">
        <v>1561</v>
      </c>
      <c r="F106" s="75">
        <v>1.0</v>
      </c>
      <c r="G106" s="66" t="str">
        <f t="array" ref="G106">_xlfn.XLOOKUP(I106,' ivp'!S:S,#REF!)</f>
        <v>#N/A</v>
      </c>
      <c r="H106" s="68">
        <v>9.791010503E9</v>
      </c>
      <c r="I106" s="69" t="s">
        <v>1564</v>
      </c>
      <c r="J106" s="71" t="str">
        <f t="shared" si="1"/>
        <v>#REF!</v>
      </c>
      <c r="K106" s="71" t="str">
        <f t="array" ref="K106">_xlfn.XLOOKUP(I106,Sheet2!$C$2:$C$56,Sheet2!$G$2:$G$56)</f>
        <v>#N/A</v>
      </c>
      <c r="L106" s="73" t="s">
        <v>109</v>
      </c>
      <c r="M106" s="73" t="s">
        <v>68</v>
      </c>
      <c r="N106" s="73"/>
    </row>
    <row r="107" ht="12.0" customHeight="1">
      <c r="A107" s="49">
        <v>107.0</v>
      </c>
      <c r="B107" s="186" t="s">
        <v>639</v>
      </c>
      <c r="C107" s="56">
        <v>45831.0</v>
      </c>
      <c r="D107" s="58" t="s">
        <v>67</v>
      </c>
      <c r="E107" s="59" t="s">
        <v>1561</v>
      </c>
      <c r="F107" s="100">
        <v>3.0</v>
      </c>
      <c r="G107" s="66" t="str">
        <f t="array" ref="G107">_xlfn.XLOOKUP(I107,' ivp'!S:S,#REF!)</f>
        <v>#N/A</v>
      </c>
      <c r="H107" s="68">
        <v>8.825629722E9</v>
      </c>
      <c r="I107" s="69" t="s">
        <v>1575</v>
      </c>
      <c r="J107" s="71" t="str">
        <f t="shared" si="1"/>
        <v>#REF!</v>
      </c>
      <c r="K107" s="71" t="str">
        <f t="array" ref="K107">_xlfn.XLOOKUP(I107,Sheet2!$C$2:$C$56,Sheet2!$G$2:$G$56)</f>
        <v>#N/A</v>
      </c>
      <c r="L107" s="71"/>
      <c r="M107" s="73" t="s">
        <v>68</v>
      </c>
      <c r="N107" s="73"/>
    </row>
    <row r="108" ht="12.0" customHeight="1">
      <c r="A108" s="49">
        <v>108.0</v>
      </c>
      <c r="B108" s="186" t="s">
        <v>247</v>
      </c>
      <c r="C108" s="179">
        <v>45839.0</v>
      </c>
      <c r="D108" s="58" t="s">
        <v>67</v>
      </c>
      <c r="E108" s="59" t="s">
        <v>1541</v>
      </c>
      <c r="F108" s="75">
        <v>1.0</v>
      </c>
      <c r="G108" s="66" t="str">
        <f t="array" ref="G108">_xlfn.XLOOKUP(I108,' ivp'!S:S,#REF!)</f>
        <v>#N/A</v>
      </c>
      <c r="H108" s="68">
        <v>9.159659284E9</v>
      </c>
      <c r="I108" s="69" t="s">
        <v>1583</v>
      </c>
      <c r="J108" s="71" t="str">
        <f t="shared" si="1"/>
        <v>#REF!</v>
      </c>
      <c r="K108" s="71" t="str">
        <f t="array" ref="K108">_xlfn.XLOOKUP(I108,Sheet2!$C$2:$C$56,Sheet2!$G$2:$G$56)</f>
        <v>#N/A</v>
      </c>
      <c r="L108" s="73" t="s">
        <v>109</v>
      </c>
      <c r="M108" s="73" t="s">
        <v>68</v>
      </c>
      <c r="N108" s="73"/>
    </row>
    <row r="109" ht="12.0" customHeight="1">
      <c r="A109" s="49">
        <v>109.0</v>
      </c>
      <c r="B109" s="186" t="s">
        <v>381</v>
      </c>
      <c r="C109" s="179">
        <v>45839.0</v>
      </c>
      <c r="D109" s="58" t="s">
        <v>67</v>
      </c>
      <c r="E109" s="59" t="s">
        <v>1541</v>
      </c>
      <c r="F109" s="75">
        <v>1.0</v>
      </c>
      <c r="G109" s="66" t="str">
        <f t="array" ref="G109">_xlfn.XLOOKUP(I109,' ivp'!S:S,#REF!)</f>
        <v>#N/A</v>
      </c>
      <c r="H109" s="68">
        <v>9.380184164E9</v>
      </c>
      <c r="I109" s="69" t="s">
        <v>299</v>
      </c>
      <c r="J109" s="71" t="str">
        <f t="shared" si="1"/>
        <v>#REF!</v>
      </c>
      <c r="K109" s="96" t="str">
        <f t="array" ref="K109">_xlfn.XLOOKUP(I109,Sheet2!$C$2:$C$56,Sheet2!$G$2:$G$56)</f>
        <v>https://drive.google.com/open?id=1qUQVHPhnQ3qdrzuMrbhNc2rdmt8eokYp</v>
      </c>
      <c r="L109" s="73" t="s">
        <v>109</v>
      </c>
      <c r="M109" s="73" t="s">
        <v>68</v>
      </c>
      <c r="N109" s="73" t="s">
        <v>1590</v>
      </c>
    </row>
    <row r="110" ht="12.0" customHeight="1">
      <c r="A110" s="49">
        <v>110.0</v>
      </c>
      <c r="B110" s="186" t="s">
        <v>718</v>
      </c>
      <c r="C110" s="179">
        <v>45839.0</v>
      </c>
      <c r="D110" s="58" t="s">
        <v>67</v>
      </c>
      <c r="E110" s="59" t="s">
        <v>820</v>
      </c>
      <c r="F110" s="100">
        <v>3.0</v>
      </c>
      <c r="G110" s="66" t="str">
        <f t="array" ref="G110">_xlfn.XLOOKUP(I110,' ivp'!S:S,#REF!)</f>
        <v>#N/A</v>
      </c>
      <c r="H110" s="68">
        <v>9.843930292E9</v>
      </c>
      <c r="I110" s="69" t="s">
        <v>1596</v>
      </c>
      <c r="J110" s="71" t="str">
        <f t="shared" si="1"/>
        <v>#REF!</v>
      </c>
      <c r="K110" s="96" t="str">
        <f t="array" ref="K110">_xlfn.XLOOKUP(I110,Sheet2!$C$2:$C$56,Sheet2!$G$2:$G$56)</f>
        <v>https://drive.google.com/open?id=175HtfDzRpsYzA33iIXRw_akLqNQCY8sF</v>
      </c>
      <c r="L110" s="71"/>
      <c r="M110" s="73" t="s">
        <v>68</v>
      </c>
      <c r="N110" s="73"/>
    </row>
    <row r="111" ht="12.0" customHeight="1">
      <c r="A111" s="49">
        <v>111.0</v>
      </c>
      <c r="B111" s="186" t="s">
        <v>999</v>
      </c>
      <c r="C111" s="179">
        <v>45839.0</v>
      </c>
      <c r="D111" s="58" t="s">
        <v>67</v>
      </c>
      <c r="E111" s="59" t="s">
        <v>1561</v>
      </c>
      <c r="F111" s="75">
        <v>1.0</v>
      </c>
      <c r="G111" s="66" t="str">
        <f t="array" ref="G111">_xlfn.XLOOKUP(I111,' ivp'!S:S,#REF!)</f>
        <v>#N/A</v>
      </c>
      <c r="H111" s="68">
        <v>8.270345463E9</v>
      </c>
      <c r="I111" s="69" t="s">
        <v>1602</v>
      </c>
      <c r="J111" s="71" t="str">
        <f t="shared" si="1"/>
        <v>#REF!</v>
      </c>
      <c r="K111" s="71" t="str">
        <f t="array" ref="K111">_xlfn.XLOOKUP(I111,Sheet2!$C$2:$C$56,Sheet2!$G$2:$G$56)</f>
        <v>#N/A</v>
      </c>
      <c r="L111" s="73" t="s">
        <v>811</v>
      </c>
      <c r="M111" s="73" t="s">
        <v>68</v>
      </c>
      <c r="N111" s="73" t="s">
        <v>1604</v>
      </c>
    </row>
    <row r="112" ht="12.0" customHeight="1">
      <c r="A112" s="49">
        <v>112.0</v>
      </c>
      <c r="B112" s="54" t="s">
        <v>95</v>
      </c>
      <c r="C112" s="179">
        <v>45841.0</v>
      </c>
      <c r="D112" s="58" t="s">
        <v>67</v>
      </c>
      <c r="E112" s="59" t="s">
        <v>71</v>
      </c>
      <c r="F112" s="75">
        <v>1.0</v>
      </c>
      <c r="G112" s="66" t="str">
        <f t="array" ref="G112">_xlfn.XLOOKUP(I112,' ivp'!S:S,#REF!)</f>
        <v>#N/A</v>
      </c>
      <c r="H112" s="68">
        <v>8.939724423E9</v>
      </c>
      <c r="I112" s="69" t="s">
        <v>1610</v>
      </c>
      <c r="J112" s="71" t="str">
        <f t="shared" si="1"/>
        <v>#REF!</v>
      </c>
      <c r="K112" s="71" t="str">
        <f t="array" ref="K112">_xlfn.XLOOKUP(I112,Sheet2!$C$2:$C$56,Sheet2!$G$2:$G$56)</f>
        <v>#N/A</v>
      </c>
      <c r="L112" s="73" t="s">
        <v>377</v>
      </c>
      <c r="M112" s="73" t="s">
        <v>68</v>
      </c>
      <c r="N112" s="73"/>
    </row>
    <row r="113" ht="12.0" customHeight="1">
      <c r="A113" s="49">
        <v>113.0</v>
      </c>
      <c r="B113" s="186" t="s">
        <v>1615</v>
      </c>
      <c r="C113" s="179">
        <v>45841.0</v>
      </c>
      <c r="D113" s="58" t="s">
        <v>67</v>
      </c>
      <c r="E113" s="59" t="s">
        <v>700</v>
      </c>
      <c r="F113" s="75">
        <v>1.0</v>
      </c>
      <c r="G113" s="66" t="str">
        <f t="array" ref="G113">_xlfn.XLOOKUP(I113,' ivp'!S:S,#REF!)</f>
        <v>#N/A</v>
      </c>
      <c r="H113" s="68">
        <v>9.884504008E9</v>
      </c>
      <c r="I113" s="69" t="s">
        <v>1621</v>
      </c>
      <c r="J113" s="71" t="str">
        <f t="shared" si="1"/>
        <v>#REF!</v>
      </c>
      <c r="K113" s="71" t="str">
        <f t="array" ref="K113">_xlfn.XLOOKUP(I113,Sheet2!$C$2:$C$56,Sheet2!$G$2:$G$56)</f>
        <v>#N/A</v>
      </c>
      <c r="L113" s="73" t="s">
        <v>109</v>
      </c>
      <c r="M113" s="73" t="s">
        <v>68</v>
      </c>
      <c r="N113" s="73" t="s">
        <v>112</v>
      </c>
    </row>
    <row r="114" ht="12.0" customHeight="1">
      <c r="A114" s="49">
        <v>114.0</v>
      </c>
      <c r="B114" s="186" t="s">
        <v>390</v>
      </c>
      <c r="C114" s="681">
        <v>45958.0</v>
      </c>
      <c r="D114" s="58" t="s">
        <v>67</v>
      </c>
      <c r="E114" s="59" t="s">
        <v>333</v>
      </c>
      <c r="F114" s="682">
        <v>4.0</v>
      </c>
      <c r="G114" s="66" t="str">
        <f t="array" ref="G114">_xlfn.XLOOKUP(I114,' ivp'!S:S,#REF!)</f>
        <v>#N/A</v>
      </c>
      <c r="H114" s="68">
        <v>9.600407657E9</v>
      </c>
      <c r="I114" s="69" t="s">
        <v>135</v>
      </c>
      <c r="J114" s="71" t="str">
        <f t="shared" si="1"/>
        <v>#REF!</v>
      </c>
      <c r="K114" s="96" t="str">
        <f t="array" ref="K114">_xlfn.XLOOKUP(I114,Sheet2!$C$2:$C$56,Sheet2!$G$2:$G$56)</f>
        <v>https://drive.google.com/open?id=1kkTkDVzx7IcjWyCseEaZRkQ-xYIfc6PJ</v>
      </c>
      <c r="L114" s="73" t="s">
        <v>109</v>
      </c>
      <c r="M114" s="73" t="s">
        <v>68</v>
      </c>
      <c r="N114" s="73" t="s">
        <v>1634</v>
      </c>
    </row>
    <row r="115" ht="12.0" customHeight="1">
      <c r="A115" s="49">
        <v>115.0</v>
      </c>
      <c r="B115" s="186" t="s">
        <v>773</v>
      </c>
      <c r="C115" s="179">
        <v>45841.0</v>
      </c>
      <c r="D115" s="58" t="s">
        <v>67</v>
      </c>
      <c r="E115" s="59" t="s">
        <v>218</v>
      </c>
      <c r="F115" s="100">
        <v>3.0</v>
      </c>
      <c r="G115" s="66" t="str">
        <f t="array" ref="G115">_xlfn.XLOOKUP(I115,' ivp'!S:S,#REF!)</f>
        <v>#N/A</v>
      </c>
      <c r="H115" s="68">
        <v>9.042934637E9</v>
      </c>
      <c r="I115" s="69" t="s">
        <v>421</v>
      </c>
      <c r="J115" s="71" t="str">
        <f t="shared" si="1"/>
        <v>#REF!</v>
      </c>
      <c r="K115" s="96" t="str">
        <f t="array" ref="K115">_xlfn.XLOOKUP(I115,Sheet2!$C$2:$C$56,Sheet2!$G$2:$G$56)</f>
        <v>https://drive.google.com/open?id=1AGp92K4_64IgcM-2B-4hcOB_R8Gr-GZe</v>
      </c>
      <c r="L115" s="71"/>
      <c r="M115" s="73" t="s">
        <v>68</v>
      </c>
      <c r="N115" s="73"/>
    </row>
    <row r="116" ht="12.0" customHeight="1">
      <c r="A116" s="49">
        <v>116.0</v>
      </c>
      <c r="B116" s="186" t="s">
        <v>321</v>
      </c>
      <c r="C116" s="179">
        <v>45841.0</v>
      </c>
      <c r="D116" s="58" t="s">
        <v>67</v>
      </c>
      <c r="E116" s="59" t="s">
        <v>251</v>
      </c>
      <c r="F116" s="264">
        <v>3.0</v>
      </c>
      <c r="G116" s="66" t="str">
        <f t="array" ref="G116">_xlfn.XLOOKUP(I116,' ivp'!S:S,#REF!)</f>
        <v>#N/A</v>
      </c>
      <c r="H116" s="68">
        <v>9.080861148E9</v>
      </c>
      <c r="I116" s="69" t="s">
        <v>42</v>
      </c>
      <c r="J116" s="71" t="str">
        <f t="shared" si="1"/>
        <v>#REF!</v>
      </c>
      <c r="K116" s="96" t="str">
        <f t="array" ref="K116">_xlfn.XLOOKUP(I116,Sheet2!$C$2:$C$56,Sheet2!$G$2:$G$56)</f>
        <v>https://drive.google.com/open?id=11pbQZHDGUguVuSuwEOLjm3MfecqFhYTM</v>
      </c>
      <c r="L116" s="73" t="s">
        <v>109</v>
      </c>
      <c r="M116" s="73" t="s">
        <v>68</v>
      </c>
      <c r="N116" s="73" t="s">
        <v>1649</v>
      </c>
    </row>
    <row r="117" ht="12.0" customHeight="1">
      <c r="A117" s="49">
        <v>117.0</v>
      </c>
      <c r="B117" s="54" t="s">
        <v>530</v>
      </c>
      <c r="C117" s="179">
        <v>45841.0</v>
      </c>
      <c r="D117" s="58" t="s">
        <v>67</v>
      </c>
      <c r="E117" s="59" t="s">
        <v>333</v>
      </c>
      <c r="F117" s="75">
        <v>1.0</v>
      </c>
      <c r="G117" s="66" t="str">
        <f t="array" ref="G117">_xlfn.XLOOKUP(I117,' ivp'!S:S,#REF!)</f>
        <v>#N/A</v>
      </c>
      <c r="H117" s="68">
        <v>9.789168549E9</v>
      </c>
      <c r="I117" s="69" t="s">
        <v>1652</v>
      </c>
      <c r="J117" s="71" t="str">
        <f t="shared" si="1"/>
        <v>#REF!</v>
      </c>
      <c r="K117" s="71" t="str">
        <f t="array" ref="K117">_xlfn.XLOOKUP(I117,Sheet2!$C$2:$C$56,Sheet2!$G$2:$G$56)</f>
        <v>#N/A</v>
      </c>
      <c r="L117" s="73" t="s">
        <v>109</v>
      </c>
      <c r="M117" s="73" t="s">
        <v>68</v>
      </c>
      <c r="N117" s="73" t="s">
        <v>112</v>
      </c>
    </row>
    <row r="118" ht="12.0" hidden="1" customHeight="1">
      <c r="A118" s="700">
        <v>118.0</v>
      </c>
      <c r="B118" s="704" t="s">
        <v>628</v>
      </c>
      <c r="C118" s="706">
        <v>45841.0</v>
      </c>
      <c r="D118" s="709" t="s">
        <v>1659</v>
      </c>
      <c r="E118" s="263" t="s">
        <v>509</v>
      </c>
      <c r="F118" s="713">
        <v>0.0</v>
      </c>
      <c r="G118" s="66" t="str">
        <f t="array" ref="G118">_xlfn.XLOOKUP(I118,' ivp'!S:S,#REF!)</f>
        <v>#N/A</v>
      </c>
      <c r="H118" s="718">
        <v>7.010440318E9</v>
      </c>
      <c r="I118" s="719" t="s">
        <v>1663</v>
      </c>
      <c r="J118" s="71" t="str">
        <f t="shared" si="1"/>
        <v>#REF!</v>
      </c>
      <c r="K118" s="722" t="str">
        <f t="array" ref="K118">_xlfn.XLOOKUP(I118,Sheet2!$C$2:$C$56,Sheet2!$G$2:$G$56)</f>
        <v>#N/A</v>
      </c>
      <c r="L118" s="724"/>
      <c r="M118" s="724" t="s">
        <v>125</v>
      </c>
      <c r="N118" s="724"/>
    </row>
    <row r="119" ht="12.0" customHeight="1">
      <c r="A119" s="49">
        <v>119.0</v>
      </c>
      <c r="B119" s="186" t="s">
        <v>628</v>
      </c>
      <c r="C119" s="179">
        <v>45841.0</v>
      </c>
      <c r="D119" s="58" t="s">
        <v>67</v>
      </c>
      <c r="E119" s="263" t="s">
        <v>509</v>
      </c>
      <c r="F119" s="100">
        <v>3.0</v>
      </c>
      <c r="G119" s="66" t="str">
        <f t="array" ref="G119">_xlfn.XLOOKUP(I119,' ivp'!S:S,#REF!)</f>
        <v>#N/A</v>
      </c>
      <c r="H119" s="68">
        <v>9.176435615E9</v>
      </c>
      <c r="I119" s="69" t="s">
        <v>161</v>
      </c>
      <c r="J119" s="71" t="str">
        <f t="shared" si="1"/>
        <v>#REF!</v>
      </c>
      <c r="K119" s="96" t="str">
        <f t="array" ref="K119">_xlfn.XLOOKUP(I119,Sheet2!$C$2:$C$56,Sheet2!$G$2:$G$56)</f>
        <v>https://drive.google.com/open?id=1xdZR6PVuIhORvbO3UsCrFV3Vdziv_z8D</v>
      </c>
      <c r="L119" s="71"/>
      <c r="M119" s="73" t="s">
        <v>68</v>
      </c>
      <c r="N119" s="73"/>
    </row>
    <row r="120" ht="12.0" customHeight="1">
      <c r="A120" s="49">
        <v>120.0</v>
      </c>
      <c r="B120" s="186" t="s">
        <v>628</v>
      </c>
      <c r="C120" s="179">
        <v>45841.0</v>
      </c>
      <c r="D120" s="58" t="s">
        <v>67</v>
      </c>
      <c r="E120" s="263" t="s">
        <v>509</v>
      </c>
      <c r="F120" s="75">
        <v>1.0</v>
      </c>
      <c r="G120" s="66" t="str">
        <f t="array" ref="G120">_xlfn.XLOOKUP(I120,' ivp'!S:S,#REF!)</f>
        <v>#N/A</v>
      </c>
      <c r="H120" s="68">
        <v>9.150109948E9</v>
      </c>
      <c r="I120" s="69" t="s">
        <v>372</v>
      </c>
      <c r="J120" s="71" t="str">
        <f t="shared" si="1"/>
        <v>#REF!</v>
      </c>
      <c r="K120" s="96" t="str">
        <f t="array" ref="K120">_xlfn.XLOOKUP(I120,Sheet2!$C$2:$C$56,Sheet2!$G$2:$G$56)</f>
        <v>https://drive.google.com/open?id=1Qy4bFXYACWScXWuGrRJ2SjJqvZ5p6CgW</v>
      </c>
      <c r="L120" s="73" t="s">
        <v>109</v>
      </c>
      <c r="M120" s="73" t="s">
        <v>68</v>
      </c>
      <c r="N120" s="118" t="s">
        <v>402</v>
      </c>
    </row>
    <row r="121" ht="12.0" hidden="1" customHeight="1">
      <c r="A121" s="700">
        <v>121.0</v>
      </c>
      <c r="B121" s="704" t="s">
        <v>628</v>
      </c>
      <c r="C121" s="706">
        <v>45841.0</v>
      </c>
      <c r="D121" s="709" t="s">
        <v>1659</v>
      </c>
      <c r="E121" s="263" t="s">
        <v>509</v>
      </c>
      <c r="F121" s="713">
        <v>0.0</v>
      </c>
      <c r="G121" s="66" t="str">
        <f t="array" ref="G121">_xlfn.XLOOKUP(I121,' ivp'!S:S,#REF!)</f>
        <v>#N/A</v>
      </c>
      <c r="H121" s="718">
        <v>9.538135225E9</v>
      </c>
      <c r="I121" s="719" t="s">
        <v>1689</v>
      </c>
      <c r="J121" s="71" t="str">
        <f t="shared" si="1"/>
        <v>#REF!</v>
      </c>
      <c r="K121" s="722" t="str">
        <f t="array" ref="K121">_xlfn.XLOOKUP(I121,Sheet2!$C$2:$C$56,Sheet2!$G$2:$G$56)</f>
        <v>#N/A</v>
      </c>
      <c r="L121" s="724" t="s">
        <v>109</v>
      </c>
      <c r="M121" s="724" t="s">
        <v>125</v>
      </c>
      <c r="N121" s="724"/>
    </row>
    <row r="122" ht="12.0" customHeight="1">
      <c r="A122" s="49">
        <v>122.0</v>
      </c>
      <c r="B122" s="186" t="s">
        <v>628</v>
      </c>
      <c r="C122" s="179">
        <v>45841.0</v>
      </c>
      <c r="D122" s="58" t="s">
        <v>67</v>
      </c>
      <c r="E122" s="263" t="s">
        <v>509</v>
      </c>
      <c r="F122" s="75">
        <v>1.0</v>
      </c>
      <c r="G122" s="66" t="str">
        <f t="array" ref="G122">_xlfn.XLOOKUP(I122,' ivp'!S:S,#REF!)</f>
        <v>#N/A</v>
      </c>
      <c r="H122" s="68">
        <v>8.610433939E9</v>
      </c>
      <c r="I122" s="69" t="s">
        <v>1704</v>
      </c>
      <c r="J122" s="71" t="str">
        <f t="shared" si="1"/>
        <v>#REF!</v>
      </c>
      <c r="K122" s="71" t="str">
        <f t="array" ref="K122">_xlfn.XLOOKUP(I122,Sheet2!$C$2:$C$56,Sheet2!$G$2:$G$56)</f>
        <v>#N/A</v>
      </c>
      <c r="L122" s="73" t="s">
        <v>109</v>
      </c>
      <c r="M122" s="73" t="s">
        <v>68</v>
      </c>
      <c r="N122" s="73"/>
    </row>
    <row r="123" ht="12.0" customHeight="1">
      <c r="A123" s="49">
        <v>123.0</v>
      </c>
      <c r="B123" s="186" t="s">
        <v>628</v>
      </c>
      <c r="C123" s="179">
        <v>45841.0</v>
      </c>
      <c r="D123" s="58" t="s">
        <v>67</v>
      </c>
      <c r="E123" s="263" t="s">
        <v>509</v>
      </c>
      <c r="F123" s="75">
        <v>1.0</v>
      </c>
      <c r="G123" s="66" t="str">
        <f t="array" ref="G123">_xlfn.XLOOKUP(I123,' ivp'!S:S,#REF!)</f>
        <v>#N/A</v>
      </c>
      <c r="H123" s="68">
        <v>6.36980314E9</v>
      </c>
      <c r="I123" s="69" t="s">
        <v>1711</v>
      </c>
      <c r="J123" s="71" t="str">
        <f t="shared" si="1"/>
        <v>#REF!</v>
      </c>
      <c r="K123" s="71" t="str">
        <f t="array" ref="K123">_xlfn.XLOOKUP(I123,Sheet2!$C$2:$C$56,Sheet2!$G$2:$G$56)</f>
        <v>#N/A</v>
      </c>
      <c r="L123" s="73" t="s">
        <v>109</v>
      </c>
      <c r="M123" s="73" t="s">
        <v>68</v>
      </c>
      <c r="N123" s="73"/>
    </row>
    <row r="124" ht="12.0" hidden="1" customHeight="1">
      <c r="A124" s="700">
        <v>124.0</v>
      </c>
      <c r="B124" s="704" t="s">
        <v>628</v>
      </c>
      <c r="C124" s="706">
        <v>45841.0</v>
      </c>
      <c r="D124" s="709" t="s">
        <v>1659</v>
      </c>
      <c r="E124" s="263" t="s">
        <v>509</v>
      </c>
      <c r="F124" s="713">
        <v>0.0</v>
      </c>
      <c r="G124" s="66" t="str">
        <f t="array" ref="G124">_xlfn.XLOOKUP(I124,' ivp'!S:S,#REF!)</f>
        <v>#N/A</v>
      </c>
      <c r="H124" s="718">
        <v>9.345792252E9</v>
      </c>
      <c r="I124" s="719" t="s">
        <v>1714</v>
      </c>
      <c r="J124" s="71" t="str">
        <f t="shared" si="1"/>
        <v>#REF!</v>
      </c>
      <c r="K124" s="722" t="str">
        <f t="array" ref="K124">_xlfn.XLOOKUP(I124,Sheet2!$C$2:$C$56,Sheet2!$G$2:$G$56)</f>
        <v>#N/A</v>
      </c>
      <c r="L124" s="724"/>
      <c r="M124" s="724" t="s">
        <v>68</v>
      </c>
      <c r="N124" s="724" t="s">
        <v>1719</v>
      </c>
    </row>
    <row r="125" ht="12.0" customHeight="1">
      <c r="A125" s="49">
        <v>125.0</v>
      </c>
      <c r="B125" s="186" t="s">
        <v>628</v>
      </c>
      <c r="C125" s="179">
        <v>45841.0</v>
      </c>
      <c r="D125" s="58" t="s">
        <v>67</v>
      </c>
      <c r="E125" s="263" t="s">
        <v>509</v>
      </c>
      <c r="F125" s="75">
        <v>1.0</v>
      </c>
      <c r="G125" s="66" t="str">
        <f t="array" ref="G125">_xlfn.XLOOKUP(I125,' ivp'!S:S,#REF!)</f>
        <v>#N/A</v>
      </c>
      <c r="H125" s="68">
        <v>9.150578042E9</v>
      </c>
      <c r="I125" s="69" t="s">
        <v>1723</v>
      </c>
      <c r="J125" s="71" t="str">
        <f t="shared" si="1"/>
        <v>#REF!</v>
      </c>
      <c r="K125" s="71" t="str">
        <f t="array" ref="K125">_xlfn.XLOOKUP(I125,Sheet2!$C$2:$C$56,Sheet2!$G$2:$G$56)</f>
        <v>#N/A</v>
      </c>
      <c r="L125" s="73" t="s">
        <v>109</v>
      </c>
      <c r="M125" s="73" t="s">
        <v>68</v>
      </c>
      <c r="N125" s="73" t="s">
        <v>1330</v>
      </c>
    </row>
    <row r="126" ht="12.0" hidden="1" customHeight="1">
      <c r="A126" s="700">
        <v>126.0</v>
      </c>
      <c r="B126" s="704" t="s">
        <v>639</v>
      </c>
      <c r="C126" s="706">
        <v>45841.0</v>
      </c>
      <c r="D126" s="709" t="s">
        <v>1659</v>
      </c>
      <c r="E126" s="263" t="s">
        <v>509</v>
      </c>
      <c r="F126" s="713">
        <v>0.0</v>
      </c>
      <c r="G126" s="66" t="str">
        <f t="array" ref="G126">_xlfn.XLOOKUP(I126,' ivp'!S:S,#REF!)</f>
        <v>#N/A</v>
      </c>
      <c r="H126" s="718">
        <v>9.489388368E9</v>
      </c>
      <c r="I126" s="719" t="s">
        <v>1726</v>
      </c>
      <c r="J126" s="71" t="str">
        <f t="shared" si="1"/>
        <v>#REF!</v>
      </c>
      <c r="K126" s="722" t="str">
        <f t="array" ref="K126">_xlfn.XLOOKUP(I126,Sheet2!$C$2:$C$56,Sheet2!$G$2:$G$56)</f>
        <v>#N/A</v>
      </c>
      <c r="L126" s="724"/>
      <c r="M126" s="724" t="s">
        <v>125</v>
      </c>
      <c r="N126" s="724"/>
    </row>
    <row r="127" ht="12.0" customHeight="1">
      <c r="A127" s="49">
        <v>127.0</v>
      </c>
      <c r="B127" s="186" t="s">
        <v>639</v>
      </c>
      <c r="C127" s="179">
        <v>45841.0</v>
      </c>
      <c r="D127" s="58" t="s">
        <v>67</v>
      </c>
      <c r="E127" s="263" t="s">
        <v>509</v>
      </c>
      <c r="F127" s="75">
        <v>1.0</v>
      </c>
      <c r="G127" s="66" t="str">
        <f t="array" ref="G127">_xlfn.XLOOKUP(I127,' ivp'!S:S,#REF!)</f>
        <v>#N/A</v>
      </c>
      <c r="H127" s="68">
        <v>9.384233122E9</v>
      </c>
      <c r="I127" s="69" t="s">
        <v>1728</v>
      </c>
      <c r="J127" s="71" t="str">
        <f t="shared" si="1"/>
        <v>#REF!</v>
      </c>
      <c r="K127" s="71" t="str">
        <f t="array" ref="K127">_xlfn.XLOOKUP(I127,Sheet2!$C$2:$C$56,Sheet2!$G$2:$G$56)</f>
        <v>#N/A</v>
      </c>
      <c r="L127" s="73" t="s">
        <v>109</v>
      </c>
      <c r="M127" s="73" t="s">
        <v>68</v>
      </c>
      <c r="N127" s="73"/>
    </row>
    <row r="128" ht="12.0" customHeight="1">
      <c r="A128" s="49">
        <v>128.0</v>
      </c>
      <c r="B128" s="186" t="s">
        <v>639</v>
      </c>
      <c r="C128" s="179">
        <v>45841.0</v>
      </c>
      <c r="D128" s="58" t="s">
        <v>67</v>
      </c>
      <c r="E128" s="263" t="s">
        <v>509</v>
      </c>
      <c r="F128" s="75">
        <v>1.0</v>
      </c>
      <c r="G128" s="66" t="str">
        <f t="array" ref="G128">_xlfn.XLOOKUP(I128,' ivp'!S:S,#REF!)</f>
        <v>#N/A</v>
      </c>
      <c r="H128" s="68">
        <v>7.305885777E9</v>
      </c>
      <c r="I128" s="69" t="s">
        <v>1730</v>
      </c>
      <c r="J128" s="71" t="str">
        <f t="shared" si="1"/>
        <v>#REF!</v>
      </c>
      <c r="K128" s="71" t="str">
        <f t="array" ref="K128">_xlfn.XLOOKUP(I128,Sheet2!$C$2:$C$56,Sheet2!$G$2:$G$56)</f>
        <v>#N/A</v>
      </c>
      <c r="L128" s="73" t="s">
        <v>109</v>
      </c>
      <c r="M128" s="73" t="s">
        <v>125</v>
      </c>
      <c r="N128" s="73"/>
    </row>
    <row r="129" ht="12.0" hidden="1" customHeight="1">
      <c r="A129" s="778">
        <v>129.0</v>
      </c>
      <c r="B129" s="779" t="s">
        <v>639</v>
      </c>
      <c r="C129" s="780">
        <v>45841.0</v>
      </c>
      <c r="D129" s="781" t="s">
        <v>1659</v>
      </c>
      <c r="E129" s="263" t="s">
        <v>509</v>
      </c>
      <c r="F129" s="782">
        <v>0.0</v>
      </c>
      <c r="G129" s="66" t="str">
        <f t="array" ref="G129">_xlfn.XLOOKUP(I129,' ivp'!S:S,#REF!)</f>
        <v>#N/A</v>
      </c>
      <c r="H129" s="783" t="s">
        <v>1733</v>
      </c>
      <c r="I129" s="784" t="s">
        <v>1734</v>
      </c>
      <c r="J129" s="71" t="str">
        <f t="shared" si="1"/>
        <v>#REF!</v>
      </c>
      <c r="K129" s="785" t="str">
        <f t="array" ref="K129">_xlfn.XLOOKUP(I129,Sheet2!$C$2:$C$56,Sheet2!$G$2:$G$56)</f>
        <v>#N/A</v>
      </c>
      <c r="L129" s="786"/>
      <c r="M129" s="786" t="s">
        <v>125</v>
      </c>
      <c r="N129" s="786"/>
    </row>
    <row r="130" ht="12.0" customHeight="1">
      <c r="A130" s="49">
        <v>130.0</v>
      </c>
      <c r="B130" s="186" t="s">
        <v>639</v>
      </c>
      <c r="C130" s="179">
        <v>45841.0</v>
      </c>
      <c r="D130" s="58" t="s">
        <v>67</v>
      </c>
      <c r="E130" s="263" t="s">
        <v>509</v>
      </c>
      <c r="F130" s="75">
        <v>1.0</v>
      </c>
      <c r="G130" s="66" t="str">
        <f t="array" ref="G130">_xlfn.XLOOKUP(I130,' ivp'!S:S,#REF!)</f>
        <v>#N/A</v>
      </c>
      <c r="H130" s="68">
        <v>9.15019555E9</v>
      </c>
      <c r="I130" s="69" t="s">
        <v>1736</v>
      </c>
      <c r="J130" s="71" t="str">
        <f t="shared" si="1"/>
        <v>#REF!</v>
      </c>
      <c r="K130" s="71" t="str">
        <f t="array" ref="K130">_xlfn.XLOOKUP(I130,Sheet2!$C$2:$C$56,Sheet2!$G$2:$G$56)</f>
        <v>#N/A</v>
      </c>
      <c r="L130" s="73" t="s">
        <v>109</v>
      </c>
      <c r="M130" s="73" t="s">
        <v>125</v>
      </c>
      <c r="N130" s="73" t="s">
        <v>1738</v>
      </c>
    </row>
    <row r="131" ht="12.0" customHeight="1">
      <c r="A131" s="700">
        <v>131.0</v>
      </c>
      <c r="B131" s="704" t="s">
        <v>442</v>
      </c>
      <c r="C131" s="706">
        <v>45841.0</v>
      </c>
      <c r="D131" s="788" t="s">
        <v>67</v>
      </c>
      <c r="E131" s="263" t="s">
        <v>509</v>
      </c>
      <c r="F131" s="713">
        <v>0.0</v>
      </c>
      <c r="G131" s="66" t="str">
        <f t="array" ref="G131">_xlfn.XLOOKUP(I131,' ivp'!S:S,#REF!)</f>
        <v>#N/A</v>
      </c>
      <c r="H131" s="718">
        <v>9.344002774E9</v>
      </c>
      <c r="I131" s="719" t="s">
        <v>1739</v>
      </c>
      <c r="J131" s="71" t="str">
        <f t="shared" si="1"/>
        <v>#REF!</v>
      </c>
      <c r="K131" s="722" t="str">
        <f t="array" ref="K131">_xlfn.XLOOKUP(I131,Sheet2!$C$2:$C$56,Sheet2!$G$2:$G$56)</f>
        <v>#N/A</v>
      </c>
      <c r="L131" s="724" t="s">
        <v>109</v>
      </c>
      <c r="M131" s="724" t="s">
        <v>125</v>
      </c>
      <c r="N131" s="724" t="s">
        <v>1741</v>
      </c>
    </row>
    <row r="132" ht="12.0" customHeight="1">
      <c r="A132" s="49">
        <v>132.0</v>
      </c>
      <c r="B132" s="186" t="s">
        <v>442</v>
      </c>
      <c r="C132" s="179">
        <v>45841.0</v>
      </c>
      <c r="D132" s="58" t="s">
        <v>67</v>
      </c>
      <c r="E132" s="263" t="s">
        <v>509</v>
      </c>
      <c r="F132" s="75">
        <v>1.0</v>
      </c>
      <c r="G132" s="66" t="str">
        <f t="array" ref="G132">_xlfn.XLOOKUP(I132,' ivp'!S:S,#REF!)</f>
        <v>#N/A</v>
      </c>
      <c r="H132" s="68">
        <v>9.445089574E9</v>
      </c>
      <c r="I132" s="69" t="s">
        <v>1743</v>
      </c>
      <c r="J132" s="71" t="str">
        <f t="shared" si="1"/>
        <v>#REF!</v>
      </c>
      <c r="K132" s="71" t="str">
        <f t="array" ref="K132">_xlfn.XLOOKUP(I132,Sheet2!$C$2:$C$56,Sheet2!$G$2:$G$56)</f>
        <v>#N/A</v>
      </c>
      <c r="L132" s="73" t="s">
        <v>109</v>
      </c>
      <c r="M132" s="73" t="s">
        <v>125</v>
      </c>
      <c r="N132" s="73"/>
    </row>
    <row r="133" ht="12.0" customHeight="1">
      <c r="A133" s="49">
        <v>133.0</v>
      </c>
      <c r="B133" s="186" t="s">
        <v>442</v>
      </c>
      <c r="C133" s="179">
        <v>45841.0</v>
      </c>
      <c r="D133" s="58" t="s">
        <v>67</v>
      </c>
      <c r="E133" s="263" t="s">
        <v>509</v>
      </c>
      <c r="F133" s="100">
        <v>3.0</v>
      </c>
      <c r="G133" s="66" t="str">
        <f t="array" ref="G133">_xlfn.XLOOKUP(I133,' ivp'!S:S,#REF!)</f>
        <v>#N/A</v>
      </c>
      <c r="H133" s="68">
        <v>9.080265174E9</v>
      </c>
      <c r="I133" s="69" t="s">
        <v>522</v>
      </c>
      <c r="J133" s="71" t="str">
        <f t="shared" si="1"/>
        <v>#REF!</v>
      </c>
      <c r="K133" s="96" t="str">
        <f t="array" ref="K133">_xlfn.XLOOKUP(I133,Sheet2!$C$2:$C$56,Sheet2!$G$2:$G$56)</f>
        <v>https://drive.google.com/open?id=1LB6DGTZ3ddGWtphg2oztcjwijHiSMvJD</v>
      </c>
      <c r="L133" s="71"/>
      <c r="M133" s="73" t="s">
        <v>68</v>
      </c>
      <c r="N133" s="73"/>
    </row>
    <row r="134" ht="12.0" customHeight="1">
      <c r="A134" s="700">
        <v>134.0</v>
      </c>
      <c r="B134" s="704" t="s">
        <v>628</v>
      </c>
      <c r="C134" s="706">
        <v>45841.0</v>
      </c>
      <c r="D134" s="788" t="s">
        <v>67</v>
      </c>
      <c r="E134" s="790" t="s">
        <v>218</v>
      </c>
      <c r="F134" s="791">
        <v>6.0</v>
      </c>
      <c r="G134" s="66" t="str">
        <f t="array" ref="G134">_xlfn.XLOOKUP(I134,' ivp'!S:S,#REF!)</f>
        <v>#N/A</v>
      </c>
      <c r="H134" s="718" t="s">
        <v>1748</v>
      </c>
      <c r="I134" s="719" t="s">
        <v>1193</v>
      </c>
      <c r="J134" s="71" t="str">
        <f t="shared" si="1"/>
        <v>#REF!</v>
      </c>
      <c r="K134" s="722" t="str">
        <f t="array" ref="K134">_xlfn.XLOOKUP(I134,Sheet2!$C$2:$C$56,Sheet2!$G$2:$G$56)</f>
        <v>#N/A</v>
      </c>
      <c r="L134" s="724"/>
      <c r="M134" s="724" t="s">
        <v>125</v>
      </c>
      <c r="N134" s="724"/>
    </row>
    <row r="135" ht="12.0" customHeight="1">
      <c r="A135" s="49">
        <v>135.0</v>
      </c>
      <c r="B135" s="186" t="s">
        <v>628</v>
      </c>
      <c r="C135" s="179">
        <v>45841.0</v>
      </c>
      <c r="D135" s="58" t="s">
        <v>67</v>
      </c>
      <c r="E135" s="263" t="s">
        <v>509</v>
      </c>
      <c r="F135" s="100">
        <v>3.0</v>
      </c>
      <c r="G135" s="66" t="str">
        <f t="array" ref="G135">_xlfn.XLOOKUP(I135,' ivp'!S:S,#REF!)</f>
        <v>#N/A</v>
      </c>
      <c r="H135" s="68">
        <v>6.380541322E9</v>
      </c>
      <c r="I135" s="69" t="s">
        <v>939</v>
      </c>
      <c r="J135" s="71" t="str">
        <f t="shared" si="1"/>
        <v>#REF!</v>
      </c>
      <c r="K135" s="71" t="str">
        <f t="array" ref="K135">_xlfn.XLOOKUP(I135,Sheet2!$C$2:$C$56,Sheet2!$G$2:$G$56)</f>
        <v>#N/A</v>
      </c>
      <c r="L135" s="71"/>
      <c r="M135" s="73" t="s">
        <v>68</v>
      </c>
      <c r="N135" s="73"/>
    </row>
    <row r="136" ht="12.0" customHeight="1">
      <c r="A136" s="49">
        <v>136.0</v>
      </c>
      <c r="B136" s="186" t="s">
        <v>639</v>
      </c>
      <c r="C136" s="179">
        <v>45841.0</v>
      </c>
      <c r="D136" s="58" t="s">
        <v>67</v>
      </c>
      <c r="E136" s="59" t="s">
        <v>768</v>
      </c>
      <c r="F136" s="100">
        <v>3.0</v>
      </c>
      <c r="G136" s="66" t="str">
        <f t="array" ref="G136">_xlfn.XLOOKUP(I136,' ivp'!S:S,#REF!)</f>
        <v>#N/A</v>
      </c>
      <c r="H136" s="68">
        <v>9.384233122E9</v>
      </c>
      <c r="I136" s="69" t="s">
        <v>170</v>
      </c>
      <c r="J136" s="71" t="str">
        <f t="shared" si="1"/>
        <v>#REF!</v>
      </c>
      <c r="K136" s="96" t="str">
        <f t="array" ref="K136">_xlfn.XLOOKUP(I136,Sheet2!$C$2:$C$56,Sheet2!$G$2:$G$56)</f>
        <v>https://drive.google.com/open?id=1GTUuQ193iH8aPr4qTGOjSh7oj8tF1aN7</v>
      </c>
      <c r="L136" s="71"/>
      <c r="M136" s="73" t="s">
        <v>68</v>
      </c>
      <c r="N136" s="73"/>
    </row>
    <row r="137" ht="12.0" customHeight="1">
      <c r="A137" s="49">
        <v>137.0</v>
      </c>
      <c r="B137" s="186" t="s">
        <v>639</v>
      </c>
      <c r="C137" s="179">
        <v>45841.0</v>
      </c>
      <c r="D137" s="58" t="s">
        <v>67</v>
      </c>
      <c r="E137" s="59" t="s">
        <v>251</v>
      </c>
      <c r="F137" s="61">
        <v>5.0</v>
      </c>
      <c r="G137" s="66" t="str">
        <f t="array" ref="G137">_xlfn.XLOOKUP(I137,' ivp'!S:S,#REF!)</f>
        <v>#N/A</v>
      </c>
      <c r="H137" s="68">
        <v>9.789962388E9</v>
      </c>
      <c r="I137" s="69" t="s">
        <v>729</v>
      </c>
      <c r="J137" s="71" t="str">
        <f t="shared" si="1"/>
        <v>#REF!</v>
      </c>
      <c r="K137" s="96" t="str">
        <f t="array" ref="K137">_xlfn.XLOOKUP(I137,Sheet2!$C$2:$C$56,Sheet2!$G$2:$G$56)</f>
        <v>https://drive.google.com/open?id=1g09SgWmRT8I0jsBBRlc4ZMBRmQxHlpzhdG2wl8bLoEM</v>
      </c>
      <c r="L137" s="71"/>
      <c r="M137" s="73" t="s">
        <v>68</v>
      </c>
      <c r="N137" s="73"/>
    </row>
    <row r="138" ht="12.0" customHeight="1">
      <c r="A138" s="792">
        <v>138.0</v>
      </c>
      <c r="B138" s="793" t="s">
        <v>639</v>
      </c>
      <c r="C138" s="794">
        <v>45841.0</v>
      </c>
      <c r="D138" s="795" t="s">
        <v>67</v>
      </c>
      <c r="E138" s="796" t="s">
        <v>71</v>
      </c>
      <c r="F138" s="797">
        <v>5.0</v>
      </c>
      <c r="G138" s="66" t="str">
        <f t="array" ref="G138">_xlfn.XLOOKUP(I138,' ivp'!S:S,#REF!)</f>
        <v>#N/A</v>
      </c>
      <c r="H138" s="798">
        <v>9.790004554E9</v>
      </c>
      <c r="I138" s="69" t="s">
        <v>255</v>
      </c>
      <c r="J138" s="71" t="str">
        <f t="shared" si="1"/>
        <v>#REF!</v>
      </c>
      <c r="K138" s="71" t="str">
        <f t="array" ref="K138">_xlfn.XLOOKUP(I138,Sheet2!$C$2:$C$56,Sheet2!$G$2:$G$56)</f>
        <v>#N/A</v>
      </c>
      <c r="L138" s="73"/>
      <c r="M138" s="73" t="s">
        <v>125</v>
      </c>
      <c r="N138" s="73"/>
    </row>
    <row r="139" ht="12.0" customHeight="1">
      <c r="A139" s="49">
        <v>139.0</v>
      </c>
      <c r="B139" s="186" t="s">
        <v>628</v>
      </c>
      <c r="C139" s="179">
        <v>45841.0</v>
      </c>
      <c r="D139" s="58" t="s">
        <v>67</v>
      </c>
      <c r="E139" s="59" t="s">
        <v>198</v>
      </c>
      <c r="F139" s="264">
        <v>1.0</v>
      </c>
      <c r="G139" s="66" t="str">
        <f t="array" ref="G139">_xlfn.XLOOKUP(I139,' ivp'!S:S,#REF!)</f>
        <v>#N/A</v>
      </c>
      <c r="H139" s="68" t="s">
        <v>164</v>
      </c>
      <c r="I139" s="69" t="s">
        <v>1757</v>
      </c>
      <c r="J139" s="71" t="str">
        <f t="shared" si="1"/>
        <v>#REF!</v>
      </c>
      <c r="K139" s="71" t="str">
        <f t="array" ref="K139">_xlfn.XLOOKUP(I139,Sheet2!$C$2:$C$56,Sheet2!$G$2:$G$56)</f>
        <v>#N/A</v>
      </c>
      <c r="L139" s="71"/>
      <c r="M139" s="71"/>
      <c r="N139" s="71"/>
    </row>
    <row r="140" ht="12.0" customHeight="1">
      <c r="A140" s="49">
        <v>140.0</v>
      </c>
      <c r="B140" s="186" t="s">
        <v>628</v>
      </c>
      <c r="C140" s="179">
        <v>45841.0</v>
      </c>
      <c r="D140" s="58" t="s">
        <v>67</v>
      </c>
      <c r="E140" s="59" t="s">
        <v>198</v>
      </c>
      <c r="F140" s="264">
        <v>1.0</v>
      </c>
      <c r="G140" s="66" t="str">
        <f t="array" ref="G140">_xlfn.XLOOKUP(I140,' ivp'!S:S,#REF!)</f>
        <v>#N/A</v>
      </c>
      <c r="H140" s="68" t="s">
        <v>164</v>
      </c>
      <c r="I140" s="69" t="s">
        <v>1761</v>
      </c>
      <c r="J140" s="71" t="str">
        <f t="shared" si="1"/>
        <v>#REF!</v>
      </c>
      <c r="K140" s="71" t="str">
        <f t="array" ref="K140">_xlfn.XLOOKUP(I140,Sheet2!$C$2:$C$56,Sheet2!$G$2:$G$56)</f>
        <v>#N/A</v>
      </c>
      <c r="L140" s="71"/>
      <c r="M140" s="71"/>
      <c r="N140" s="71"/>
    </row>
    <row r="141" ht="12.0" customHeight="1">
      <c r="A141" s="49">
        <v>141.0</v>
      </c>
      <c r="B141" s="186" t="s">
        <v>628</v>
      </c>
      <c r="C141" s="179">
        <v>45841.0</v>
      </c>
      <c r="D141" s="58" t="s">
        <v>67</v>
      </c>
      <c r="E141" s="59" t="s">
        <v>198</v>
      </c>
      <c r="F141" s="264">
        <v>1.0</v>
      </c>
      <c r="G141" s="66" t="str">
        <f t="array" ref="G141">_xlfn.XLOOKUP(I141,' ivp'!S:S,#REF!)</f>
        <v>#N/A</v>
      </c>
      <c r="H141" s="68" t="s">
        <v>164</v>
      </c>
      <c r="I141" s="69" t="s">
        <v>1763</v>
      </c>
      <c r="J141" s="71" t="str">
        <f t="shared" si="1"/>
        <v>#REF!</v>
      </c>
      <c r="K141" s="71" t="str">
        <f t="array" ref="K141">_xlfn.XLOOKUP(I141,Sheet2!$C$2:$C$56,Sheet2!$G$2:$G$56)</f>
        <v>#N/A</v>
      </c>
      <c r="L141" s="71"/>
      <c r="M141" s="71"/>
      <c r="N141" s="71"/>
    </row>
    <row r="142" ht="12.0" customHeight="1">
      <c r="A142" s="49">
        <v>142.0</v>
      </c>
      <c r="B142" s="186" t="s">
        <v>628</v>
      </c>
      <c r="C142" s="179">
        <v>45841.0</v>
      </c>
      <c r="D142" s="58" t="s">
        <v>67</v>
      </c>
      <c r="E142" s="59" t="s">
        <v>198</v>
      </c>
      <c r="F142" s="183">
        <v>6.0</v>
      </c>
      <c r="G142" s="66" t="str">
        <f t="array" ref="G142">_xlfn.XLOOKUP(I142,' ivp'!S:S,#REF!)</f>
        <v>#N/A</v>
      </c>
      <c r="H142" s="68">
        <v>8.939747045E9</v>
      </c>
      <c r="I142" s="69" t="s">
        <v>622</v>
      </c>
      <c r="J142" s="71" t="str">
        <f t="shared" si="1"/>
        <v>#REF!</v>
      </c>
      <c r="K142" s="71" t="str">
        <f t="array" ref="K142">_xlfn.XLOOKUP(I142,Sheet2!$C$2:$C$56,Sheet2!$G$2:$G$56)</f>
        <v>#N/A</v>
      </c>
      <c r="L142" s="71"/>
      <c r="M142" s="73" t="s">
        <v>68</v>
      </c>
      <c r="N142" s="73"/>
    </row>
    <row r="143" ht="12.0" customHeight="1">
      <c r="A143" s="49">
        <v>143.0</v>
      </c>
      <c r="B143" s="186" t="s">
        <v>628</v>
      </c>
      <c r="C143" s="179">
        <v>45841.0</v>
      </c>
      <c r="D143" s="58" t="s">
        <v>67</v>
      </c>
      <c r="E143" s="59" t="s">
        <v>198</v>
      </c>
      <c r="F143" s="75">
        <v>1.0</v>
      </c>
      <c r="G143" s="66" t="str">
        <f t="array" ref="G143">_xlfn.XLOOKUP(I143,' ivp'!S:S,#REF!)</f>
        <v>#N/A</v>
      </c>
      <c r="H143" s="799" t="s">
        <v>164</v>
      </c>
      <c r="I143" s="69" t="s">
        <v>1769</v>
      </c>
      <c r="J143" s="71" t="str">
        <f t="shared" si="1"/>
        <v>#REF!</v>
      </c>
      <c r="K143" s="71" t="str">
        <f t="array" ref="K143">_xlfn.XLOOKUP(I143,Sheet2!$C$2:$C$56,Sheet2!$G$2:$G$56)</f>
        <v>#N/A</v>
      </c>
      <c r="L143" s="71"/>
      <c r="M143" s="73" t="s">
        <v>68</v>
      </c>
      <c r="N143" s="73"/>
    </row>
    <row r="144" ht="12.0" customHeight="1">
      <c r="A144" s="49">
        <v>144.0</v>
      </c>
      <c r="B144" s="186" t="s">
        <v>628</v>
      </c>
      <c r="C144" s="179">
        <v>45841.0</v>
      </c>
      <c r="D144" s="58" t="s">
        <v>67</v>
      </c>
      <c r="E144" s="59" t="s">
        <v>198</v>
      </c>
      <c r="F144" s="61">
        <v>5.0</v>
      </c>
      <c r="G144" s="66" t="str">
        <f t="array" ref="G144">_xlfn.XLOOKUP(I144,' ivp'!S:S,#REF!)</f>
        <v>#N/A</v>
      </c>
      <c r="H144" s="68">
        <v>9.791005395E9</v>
      </c>
      <c r="I144" s="69" t="s">
        <v>99</v>
      </c>
      <c r="J144" s="71" t="str">
        <f t="shared" si="1"/>
        <v>#REF!</v>
      </c>
      <c r="K144" s="96" t="str">
        <f t="array" ref="K144">_xlfn.XLOOKUP(I144,Sheet2!$C$2:$C$56,Sheet2!$G$2:$G$56)</f>
        <v>https://drive.google.com/open?id=1b5MrpNXt1nMVPylbe9wylHSNXuDk8qDu</v>
      </c>
      <c r="L144" s="73"/>
      <c r="M144" s="73" t="s">
        <v>125</v>
      </c>
      <c r="N144" s="73"/>
    </row>
    <row r="145" ht="12.0" customHeight="1">
      <c r="A145" s="49">
        <v>145.0</v>
      </c>
      <c r="B145" s="186" t="s">
        <v>628</v>
      </c>
      <c r="C145" s="179">
        <v>45841.0</v>
      </c>
      <c r="D145" s="58" t="s">
        <v>67</v>
      </c>
      <c r="E145" s="59" t="s">
        <v>780</v>
      </c>
      <c r="F145" s="75">
        <v>1.0</v>
      </c>
      <c r="G145" s="66" t="str">
        <f t="array" ref="G145">_xlfn.XLOOKUP(I145,' ivp'!S:S,#REF!)</f>
        <v>#N/A</v>
      </c>
      <c r="H145" s="68">
        <v>9.79163837E9</v>
      </c>
      <c r="I145" s="69" t="s">
        <v>117</v>
      </c>
      <c r="J145" s="71" t="str">
        <f t="shared" si="1"/>
        <v>#REF!</v>
      </c>
      <c r="K145" s="96" t="str">
        <f t="array" ref="K145">_xlfn.XLOOKUP(I145,Sheet2!$C$2:$C$56,Sheet2!$G$2:$G$56)</f>
        <v>https://drive.google.com/open?id=1RaSKcvZtyuFxCyemLEnoqYmV2Y58scdO</v>
      </c>
      <c r="L145" s="73" t="s">
        <v>109</v>
      </c>
      <c r="M145" s="73" t="s">
        <v>68</v>
      </c>
      <c r="N145" s="73"/>
    </row>
    <row r="146" ht="12.0" customHeight="1">
      <c r="A146" s="49">
        <v>146.0</v>
      </c>
      <c r="B146" s="186" t="s">
        <v>381</v>
      </c>
      <c r="C146" s="179">
        <v>45845.0</v>
      </c>
      <c r="D146" s="58" t="s">
        <v>67</v>
      </c>
      <c r="E146" s="59" t="s">
        <v>637</v>
      </c>
      <c r="F146" s="100">
        <v>3.0</v>
      </c>
      <c r="G146" s="66" t="str">
        <f t="array" ref="G146">_xlfn.XLOOKUP(I146,' ivp'!S:S,#REF!)</f>
        <v>#N/A</v>
      </c>
      <c r="H146" s="68">
        <v>6.38133723E9</v>
      </c>
      <c r="I146" s="69" t="s">
        <v>469</v>
      </c>
      <c r="J146" s="71" t="str">
        <f t="shared" si="1"/>
        <v>#REF!</v>
      </c>
      <c r="K146" s="96" t="str">
        <f t="array" ref="K146">_xlfn.XLOOKUP(I146,Sheet2!$C$2:$C$56,Sheet2!$G$2:$G$56)</f>
        <v>https://drive.google.com/open?id=1V-32Gir5a5QIm0vNZVAbU7v4XnkamQTt</v>
      </c>
      <c r="L146" s="73" t="s">
        <v>109</v>
      </c>
      <c r="M146" s="73" t="s">
        <v>68</v>
      </c>
      <c r="N146" s="73" t="s">
        <v>1776</v>
      </c>
    </row>
    <row r="147" ht="12.0" customHeight="1">
      <c r="A147" s="49">
        <v>147.0</v>
      </c>
      <c r="B147" s="186" t="s">
        <v>676</v>
      </c>
      <c r="C147" s="56">
        <v>45848.0</v>
      </c>
      <c r="D147" s="58" t="s">
        <v>67</v>
      </c>
      <c r="E147" s="263" t="s">
        <v>509</v>
      </c>
      <c r="F147" s="75">
        <v>1.0</v>
      </c>
      <c r="G147" s="66" t="str">
        <f t="array" ref="G147">_xlfn.XLOOKUP(I147,' ivp'!S:S,#REF!)</f>
        <v>#N/A</v>
      </c>
      <c r="H147" s="68">
        <v>9.363197584E9</v>
      </c>
      <c r="I147" s="69" t="s">
        <v>670</v>
      </c>
      <c r="J147" s="71" t="str">
        <f t="shared" si="1"/>
        <v>#REF!</v>
      </c>
      <c r="K147" s="71" t="str">
        <f t="array" ref="K147">_xlfn.XLOOKUP(I147,Sheet2!$C$2:$C$56,Sheet2!$G$2:$G$56)</f>
        <v>#N/A</v>
      </c>
      <c r="L147" s="73" t="s">
        <v>377</v>
      </c>
      <c r="M147" s="73" t="s">
        <v>68</v>
      </c>
      <c r="N147" s="73"/>
    </row>
    <row r="148" ht="12.0" customHeight="1">
      <c r="A148" s="49">
        <v>148.0</v>
      </c>
      <c r="B148" s="186" t="s">
        <v>628</v>
      </c>
      <c r="C148" s="56">
        <v>45852.0</v>
      </c>
      <c r="D148" s="58" t="s">
        <v>67</v>
      </c>
      <c r="E148" s="59" t="s">
        <v>198</v>
      </c>
      <c r="F148" s="100">
        <v>3.0</v>
      </c>
      <c r="G148" s="66" t="str">
        <f t="array" ref="G148">_xlfn.XLOOKUP(I148,' ivp'!S:S,#REF!)</f>
        <v>#N/A</v>
      </c>
      <c r="H148" s="68">
        <v>7.30549974E9</v>
      </c>
      <c r="I148" s="69" t="s">
        <v>108</v>
      </c>
      <c r="J148" s="71" t="str">
        <f t="shared" si="1"/>
        <v>#REF!</v>
      </c>
      <c r="K148" s="96" t="str">
        <f t="array" ref="K148">_xlfn.XLOOKUP(I148,Sheet2!$C$2:$C$56,Sheet2!$G$2:$G$56)</f>
        <v>https://drive.google.com/open?id=14RsQA1eVb85QE9odrA6BXVDLlBtJTkru</v>
      </c>
      <c r="L148" s="71"/>
      <c r="M148" s="73" t="s">
        <v>68</v>
      </c>
      <c r="N148" s="73"/>
    </row>
    <row r="149" ht="12.0" customHeight="1">
      <c r="A149" s="49">
        <v>149.0</v>
      </c>
      <c r="B149" s="186" t="s">
        <v>442</v>
      </c>
      <c r="C149" s="56">
        <v>45853.0</v>
      </c>
      <c r="D149" s="58" t="s">
        <v>67</v>
      </c>
      <c r="E149" s="59" t="s">
        <v>198</v>
      </c>
      <c r="F149" s="100">
        <v>3.0</v>
      </c>
      <c r="G149" s="66" t="str">
        <f t="array" ref="G149">_xlfn.XLOOKUP(I149,' ivp'!S:S,#REF!)</f>
        <v>#N/A</v>
      </c>
      <c r="H149" s="68">
        <v>8.939077434E9</v>
      </c>
      <c r="I149" s="69" t="s">
        <v>600</v>
      </c>
      <c r="J149" s="71" t="str">
        <f t="shared" si="1"/>
        <v>#REF!</v>
      </c>
      <c r="K149" s="71" t="str">
        <f t="array" ref="K149">_xlfn.XLOOKUP(I149,Sheet2!$C$2:$C$56,Sheet2!$G$2:$G$56)</f>
        <v>#N/A</v>
      </c>
      <c r="L149" s="71"/>
      <c r="M149" s="73" t="s">
        <v>68</v>
      </c>
      <c r="N149" s="73"/>
    </row>
    <row r="150" ht="12.0" customHeight="1">
      <c r="A150" s="49">
        <v>150.0</v>
      </c>
      <c r="B150" s="186" t="s">
        <v>628</v>
      </c>
      <c r="C150" s="56">
        <v>45869.0</v>
      </c>
      <c r="D150" s="58" t="s">
        <v>67</v>
      </c>
      <c r="E150" s="59" t="s">
        <v>700</v>
      </c>
      <c r="F150" s="100">
        <v>3.0</v>
      </c>
      <c r="G150" s="66" t="str">
        <f t="array" ref="G150">_xlfn.XLOOKUP(I150,' ivp'!S:S,#REF!)</f>
        <v>#N/A</v>
      </c>
      <c r="H150" s="68">
        <v>9.566834018E9</v>
      </c>
      <c r="I150" s="69" t="s">
        <v>1783</v>
      </c>
      <c r="J150" s="71" t="str">
        <f t="shared" si="1"/>
        <v>#REF!</v>
      </c>
      <c r="K150" s="71" t="str">
        <f t="array" ref="K150">_xlfn.XLOOKUP(I150,Sheet2!$C$2:$C$56,Sheet2!$G$2:$G$56)</f>
        <v>#N/A</v>
      </c>
      <c r="L150" s="73"/>
      <c r="M150" s="73" t="s">
        <v>68</v>
      </c>
      <c r="N150" s="73"/>
    </row>
    <row r="151" ht="12.0" customHeight="1">
      <c r="A151" s="49">
        <v>151.0</v>
      </c>
      <c r="B151" s="186" t="s">
        <v>628</v>
      </c>
      <c r="C151" s="179">
        <v>45875.0</v>
      </c>
      <c r="D151" s="58" t="s">
        <v>67</v>
      </c>
      <c r="E151" s="263" t="s">
        <v>509</v>
      </c>
      <c r="F151" s="264">
        <v>3.0</v>
      </c>
      <c r="G151" s="66" t="str">
        <f t="array" ref="G151">_xlfn.XLOOKUP(I151,' ivp'!S:S,#REF!)</f>
        <v>#N/A</v>
      </c>
      <c r="H151" s="68">
        <v>9.789095971E9</v>
      </c>
      <c r="I151" s="69" t="s">
        <v>350</v>
      </c>
      <c r="J151" s="71" t="str">
        <f t="shared" si="1"/>
        <v>#REF!</v>
      </c>
      <c r="K151" s="96" t="str">
        <f t="array" ref="K151">_xlfn.XLOOKUP(I151,Sheet2!$C$2:$C$56,Sheet2!$G$2:$G$56)</f>
        <v>https://drive.google.com/open?id=1ENBbWjMrus_c-pGMptggJFsm1nLYauzS</v>
      </c>
      <c r="L151" s="73" t="s">
        <v>109</v>
      </c>
      <c r="M151" s="73" t="s">
        <v>68</v>
      </c>
      <c r="N151" s="73" t="s">
        <v>1786</v>
      </c>
    </row>
    <row r="152" ht="12.0" hidden="1" customHeight="1">
      <c r="A152" s="49">
        <v>152.0</v>
      </c>
      <c r="B152" s="186" t="s">
        <v>628</v>
      </c>
      <c r="C152" s="179">
        <v>45875.0</v>
      </c>
      <c r="D152" s="227" t="s">
        <v>195</v>
      </c>
      <c r="E152" s="59" t="s">
        <v>198</v>
      </c>
      <c r="F152" s="75">
        <v>1.0</v>
      </c>
      <c r="G152" s="66" t="str">
        <f t="array" ref="G152">_xlfn.XLOOKUP(I152,' ivp'!S:S,#REF!)</f>
        <v>#N/A</v>
      </c>
      <c r="H152" s="68">
        <v>8.608661142E9</v>
      </c>
      <c r="I152" s="69" t="s">
        <v>1789</v>
      </c>
      <c r="J152" s="71" t="str">
        <f t="shared" si="1"/>
        <v>#REF!</v>
      </c>
      <c r="K152" s="71" t="str">
        <f t="array" ref="K152">_xlfn.XLOOKUP(I152,Sheet2!$C$2:$C$56,Sheet2!$G$2:$G$56)</f>
        <v>#N/A</v>
      </c>
      <c r="L152" s="71"/>
      <c r="M152" s="73" t="s">
        <v>68</v>
      </c>
      <c r="N152" s="73"/>
    </row>
    <row r="153" ht="12.0" hidden="1" customHeight="1">
      <c r="A153" s="49">
        <v>153.0</v>
      </c>
      <c r="B153" s="186" t="s">
        <v>321</v>
      </c>
      <c r="C153" s="179">
        <v>45875.0</v>
      </c>
      <c r="D153" s="227" t="s">
        <v>195</v>
      </c>
      <c r="E153" s="263" t="s">
        <v>509</v>
      </c>
      <c r="F153" s="75">
        <v>1.0</v>
      </c>
      <c r="G153" s="66" t="str">
        <f t="array" ref="G153">_xlfn.XLOOKUP(I153,' ivp'!S:S,#REF!)</f>
        <v>#N/A</v>
      </c>
      <c r="H153" s="68">
        <v>9.677306223E9</v>
      </c>
      <c r="I153" s="69" t="s">
        <v>1791</v>
      </c>
      <c r="J153" s="71" t="str">
        <f t="shared" si="1"/>
        <v>#REF!</v>
      </c>
      <c r="K153" s="71" t="str">
        <f t="array" ref="K153">_xlfn.XLOOKUP(I153,Sheet2!$C$2:$C$56,Sheet2!$G$2:$G$56)</f>
        <v>#N/A</v>
      </c>
      <c r="L153" s="73" t="s">
        <v>262</v>
      </c>
      <c r="M153" s="73" t="s">
        <v>125</v>
      </c>
      <c r="N153" s="73"/>
    </row>
    <row r="154" ht="12.0" hidden="1" customHeight="1">
      <c r="A154" s="49">
        <v>154.0</v>
      </c>
      <c r="B154" s="186" t="s">
        <v>906</v>
      </c>
      <c r="C154" s="179">
        <v>45875.0</v>
      </c>
      <c r="D154" s="227" t="s">
        <v>195</v>
      </c>
      <c r="E154" s="263" t="s">
        <v>509</v>
      </c>
      <c r="F154" s="75">
        <v>1.0</v>
      </c>
      <c r="G154" s="66" t="str">
        <f t="array" ref="G154">_xlfn.XLOOKUP(I154,' ivp'!S:S,#REF!)</f>
        <v>#N/A</v>
      </c>
      <c r="H154" s="68">
        <v>8.807303793E9</v>
      </c>
      <c r="I154" s="69" t="s">
        <v>1794</v>
      </c>
      <c r="J154" s="71" t="str">
        <f t="shared" si="1"/>
        <v>#REF!</v>
      </c>
      <c r="K154" s="71" t="str">
        <f t="array" ref="K154">_xlfn.XLOOKUP(I154,Sheet2!$C$2:$C$56,Sheet2!$G$2:$G$56)</f>
        <v>#N/A</v>
      </c>
      <c r="L154" s="71"/>
      <c r="M154" s="73" t="s">
        <v>68</v>
      </c>
      <c r="N154" s="73"/>
    </row>
    <row r="155" ht="12.0" hidden="1" customHeight="1">
      <c r="A155" s="49">
        <v>155.0</v>
      </c>
      <c r="B155" s="186" t="s">
        <v>906</v>
      </c>
      <c r="C155" s="179">
        <v>45875.0</v>
      </c>
      <c r="D155" s="227" t="s">
        <v>195</v>
      </c>
      <c r="E155" s="59" t="s">
        <v>1561</v>
      </c>
      <c r="F155" s="75">
        <v>1.0</v>
      </c>
      <c r="G155" s="66" t="str">
        <f t="array" ref="G155">_xlfn.XLOOKUP(I155,' ivp'!S:S,#REF!)</f>
        <v>#N/A</v>
      </c>
      <c r="H155" s="68">
        <v>8.610824771E9</v>
      </c>
      <c r="I155" s="69" t="s">
        <v>1797</v>
      </c>
      <c r="J155" s="71" t="str">
        <f t="shared" si="1"/>
        <v>#REF!</v>
      </c>
      <c r="K155" s="71" t="str">
        <f t="array" ref="K155">_xlfn.XLOOKUP(I155,Sheet2!$C$2:$C$56,Sheet2!$G$2:$G$56)</f>
        <v>#N/A</v>
      </c>
      <c r="L155" s="71"/>
      <c r="M155" s="73" t="s">
        <v>68</v>
      </c>
      <c r="N155" s="73"/>
    </row>
    <row r="156" ht="12.0" customHeight="1">
      <c r="A156" s="49">
        <v>156.0</v>
      </c>
      <c r="B156" s="186" t="s">
        <v>928</v>
      </c>
      <c r="C156" s="179">
        <v>45876.0</v>
      </c>
      <c r="D156" s="58" t="s">
        <v>67</v>
      </c>
      <c r="E156" s="263" t="s">
        <v>509</v>
      </c>
      <c r="F156" s="75">
        <v>1.0</v>
      </c>
      <c r="G156" s="66" t="str">
        <f t="array" ref="G156">_xlfn.XLOOKUP(I156,' ivp'!S:S,#REF!)</f>
        <v>#N/A</v>
      </c>
      <c r="H156" s="68">
        <v>9.578124419E9</v>
      </c>
      <c r="I156" s="69" t="s">
        <v>361</v>
      </c>
      <c r="J156" s="71" t="str">
        <f t="shared" si="1"/>
        <v>#REF!</v>
      </c>
      <c r="K156" s="96" t="str">
        <f t="array" ref="K156">_xlfn.XLOOKUP(I156,Sheet2!$C$2:$C$56,Sheet2!$G$2:$G$56)</f>
        <v>https://drive.google.com/open?id=1AKxv-vEykgim5SRlL5e67fYOaca71-EL</v>
      </c>
      <c r="L156" s="73" t="s">
        <v>109</v>
      </c>
      <c r="M156" s="73" t="s">
        <v>68</v>
      </c>
      <c r="N156" s="73" t="s">
        <v>1590</v>
      </c>
    </row>
    <row r="157" ht="12.0" customHeight="1">
      <c r="A157" s="49">
        <v>157.0</v>
      </c>
      <c r="B157" s="186" t="s">
        <v>891</v>
      </c>
      <c r="C157" s="179">
        <v>45876.0</v>
      </c>
      <c r="D157" s="58" t="s">
        <v>67</v>
      </c>
      <c r="E157" s="263" t="s">
        <v>509</v>
      </c>
      <c r="F157" s="75">
        <v>1.0</v>
      </c>
      <c r="G157" s="66" t="str">
        <f t="array" ref="G157">_xlfn.XLOOKUP(I157,' ivp'!S:S,#REF!)</f>
        <v>#N/A</v>
      </c>
      <c r="H157" s="68">
        <v>8.807685504E9</v>
      </c>
      <c r="I157" s="69" t="s">
        <v>819</v>
      </c>
      <c r="J157" s="71" t="str">
        <f t="shared" si="1"/>
        <v>#REF!</v>
      </c>
      <c r="K157" s="96" t="str">
        <f t="array" ref="K157">_xlfn.XLOOKUP(I157,Sheet2!$C$2:$C$56,Sheet2!$G$2:$G$56)</f>
        <v>https://drive.google.com/open?id=1oAPlJm8ZridCkNxy4LMZBTkvv34l8ZQJ</v>
      </c>
      <c r="L157" s="73" t="s">
        <v>109</v>
      </c>
      <c r="M157" s="73" t="s">
        <v>68</v>
      </c>
      <c r="N157" s="73" t="s">
        <v>112</v>
      </c>
    </row>
    <row r="158" ht="12.0" hidden="1" customHeight="1">
      <c r="A158" s="49">
        <v>158.0</v>
      </c>
      <c r="B158" s="186" t="s">
        <v>628</v>
      </c>
      <c r="C158" s="179">
        <v>45876.0</v>
      </c>
      <c r="D158" s="227" t="s">
        <v>195</v>
      </c>
      <c r="E158" s="59" t="s">
        <v>532</v>
      </c>
      <c r="F158" s="75">
        <v>1.0</v>
      </c>
      <c r="G158" s="66" t="str">
        <f t="array" ref="G158">_xlfn.XLOOKUP(I158,' ivp'!S:S,#REF!)</f>
        <v>#N/A</v>
      </c>
      <c r="H158" s="68">
        <v>6.369359242E9</v>
      </c>
      <c r="I158" s="69" t="s">
        <v>1803</v>
      </c>
      <c r="J158" s="71" t="str">
        <f t="shared" si="1"/>
        <v>#REF!</v>
      </c>
      <c r="K158" s="71" t="str">
        <f t="array" ref="K158">_xlfn.XLOOKUP(I158,Sheet2!$C$2:$C$56,Sheet2!$G$2:$G$56)</f>
        <v>#N/A</v>
      </c>
      <c r="L158" s="71"/>
      <c r="M158" s="73" t="s">
        <v>68</v>
      </c>
      <c r="N158" s="73"/>
    </row>
    <row r="159" ht="12.0" hidden="1" customHeight="1">
      <c r="A159" s="49">
        <v>159.0</v>
      </c>
      <c r="B159" s="186" t="s">
        <v>628</v>
      </c>
      <c r="C159" s="179">
        <v>45876.0</v>
      </c>
      <c r="D159" s="804" t="s">
        <v>195</v>
      </c>
      <c r="E159" s="59" t="s">
        <v>700</v>
      </c>
      <c r="F159" s="75">
        <v>1.0</v>
      </c>
      <c r="G159" s="66" t="str">
        <f t="array" ref="G159">_xlfn.XLOOKUP(I159,' ivp'!S:S,#REF!)</f>
        <v>#N/A</v>
      </c>
      <c r="H159" s="68">
        <v>8.122579133E9</v>
      </c>
      <c r="I159" s="69" t="s">
        <v>1806</v>
      </c>
      <c r="J159" s="71" t="str">
        <f t="shared" si="1"/>
        <v>#REF!</v>
      </c>
      <c r="K159" s="71" t="str">
        <f t="array" ref="K159">_xlfn.XLOOKUP(I159,Sheet2!$C$2:$C$56,Sheet2!$G$2:$G$56)</f>
        <v>#N/A</v>
      </c>
      <c r="L159" s="73" t="s">
        <v>109</v>
      </c>
      <c r="M159" s="73" t="s">
        <v>68</v>
      </c>
      <c r="N159" s="73"/>
    </row>
    <row r="160" ht="12.0" customHeight="1">
      <c r="A160" s="49">
        <v>160.0</v>
      </c>
      <c r="B160" s="186" t="s">
        <v>628</v>
      </c>
      <c r="C160" s="179">
        <v>45876.0</v>
      </c>
      <c r="D160" s="58" t="s">
        <v>67</v>
      </c>
      <c r="E160" s="59" t="s">
        <v>1809</v>
      </c>
      <c r="F160" s="75">
        <v>1.0</v>
      </c>
      <c r="G160" s="66" t="str">
        <f t="array" ref="G160">_xlfn.XLOOKUP(I160,' ivp'!S:S,#REF!)</f>
        <v>#N/A</v>
      </c>
      <c r="H160" s="68">
        <v>6.382396276E9</v>
      </c>
      <c r="I160" s="69" t="s">
        <v>168</v>
      </c>
      <c r="J160" s="71" t="str">
        <f t="shared" si="1"/>
        <v>#REF!</v>
      </c>
      <c r="K160" s="96" t="str">
        <f t="array" ref="K160">_xlfn.XLOOKUP(I160,Sheet2!$C$2:$C$56,Sheet2!$G$2:$G$56)</f>
        <v>https://drive.google.com/open?id=1L7eTzNmLVNQ7B7omSBjUOMv_Fo6yEUuj</v>
      </c>
      <c r="L160" s="71"/>
      <c r="M160" s="73" t="s">
        <v>68</v>
      </c>
      <c r="N160" s="73"/>
    </row>
    <row r="161" ht="12.0" customHeight="1">
      <c r="A161" s="49">
        <v>161.0</v>
      </c>
      <c r="B161" s="186" t="s">
        <v>906</v>
      </c>
      <c r="C161" s="179">
        <v>45876.0</v>
      </c>
      <c r="D161" s="58" t="s">
        <v>67</v>
      </c>
      <c r="E161" s="59" t="s">
        <v>1257</v>
      </c>
      <c r="F161" s="75">
        <v>1.0</v>
      </c>
      <c r="G161" s="66" t="str">
        <f t="array" ref="G161">_xlfn.XLOOKUP(I161,' ivp'!S:S,#REF!)</f>
        <v>#N/A</v>
      </c>
      <c r="H161" s="68">
        <v>9.994566311E9</v>
      </c>
      <c r="I161" s="69" t="s">
        <v>1813</v>
      </c>
      <c r="J161" s="71" t="str">
        <f t="shared" si="1"/>
        <v>#REF!</v>
      </c>
      <c r="K161" s="71" t="str">
        <f t="array" ref="K161">_xlfn.XLOOKUP(I161,Sheet2!$C$2:$C$56,Sheet2!$G$2:$G$56)</f>
        <v>#N/A</v>
      </c>
      <c r="L161" s="73" t="s">
        <v>109</v>
      </c>
      <c r="M161" s="73" t="s">
        <v>68</v>
      </c>
      <c r="N161" s="73" t="s">
        <v>1815</v>
      </c>
    </row>
    <row r="162" ht="12.0" hidden="1" customHeight="1">
      <c r="A162" s="49">
        <v>162.0</v>
      </c>
      <c r="B162" s="186" t="s">
        <v>628</v>
      </c>
      <c r="C162" s="179">
        <v>45876.0</v>
      </c>
      <c r="D162" s="227" t="s">
        <v>195</v>
      </c>
      <c r="E162" s="59" t="s">
        <v>198</v>
      </c>
      <c r="F162" s="75">
        <v>1.0</v>
      </c>
      <c r="G162" s="66" t="str">
        <f t="array" ref="G162">_xlfn.XLOOKUP(I162,' ivp'!S:S,#REF!)</f>
        <v>#N/A</v>
      </c>
      <c r="H162" s="68">
        <v>6.374656732E9</v>
      </c>
      <c r="I162" s="69" t="s">
        <v>1240</v>
      </c>
      <c r="J162" s="71" t="str">
        <f t="shared" si="1"/>
        <v>#REF!</v>
      </c>
      <c r="K162" s="71" t="str">
        <f t="array" ref="K162">_xlfn.XLOOKUP(I162,Sheet2!$C$2:$C$56,Sheet2!$G$2:$G$56)</f>
        <v>#N/A</v>
      </c>
      <c r="L162" s="73" t="s">
        <v>262</v>
      </c>
      <c r="M162" s="73" t="s">
        <v>125</v>
      </c>
      <c r="N162" s="73"/>
    </row>
    <row r="163" ht="12.0" customHeight="1">
      <c r="A163" s="49">
        <v>163.0</v>
      </c>
      <c r="B163" s="186" t="s">
        <v>628</v>
      </c>
      <c r="C163" s="179">
        <v>45877.0</v>
      </c>
      <c r="D163" s="58" t="s">
        <v>67</v>
      </c>
      <c r="E163" s="263" t="s">
        <v>509</v>
      </c>
      <c r="F163" s="100">
        <v>3.0</v>
      </c>
      <c r="G163" s="66" t="str">
        <f t="array" ref="G163">_xlfn.XLOOKUP(I163,' ivp'!S:S,#REF!)</f>
        <v>#N/A</v>
      </c>
      <c r="H163" s="68">
        <v>9.789459618E9</v>
      </c>
      <c r="I163" s="69" t="s">
        <v>1820</v>
      </c>
      <c r="J163" s="71" t="str">
        <f t="shared" si="1"/>
        <v>#REF!</v>
      </c>
      <c r="K163" s="71" t="str">
        <f t="array" ref="K163">_xlfn.XLOOKUP(I163,Sheet2!$C$2:$C$56,Sheet2!$G$2:$G$56)</f>
        <v>#N/A</v>
      </c>
      <c r="L163" s="73"/>
      <c r="M163" s="73" t="s">
        <v>68</v>
      </c>
      <c r="N163" s="73"/>
    </row>
    <row r="164" ht="12.0" customHeight="1">
      <c r="A164" s="49">
        <v>164.0</v>
      </c>
      <c r="B164" s="186" t="s">
        <v>1822</v>
      </c>
      <c r="C164" s="179">
        <v>45877.0</v>
      </c>
      <c r="D164" s="58" t="s">
        <v>67</v>
      </c>
      <c r="E164" s="263" t="s">
        <v>509</v>
      </c>
      <c r="F164" s="75">
        <v>1.0</v>
      </c>
      <c r="G164" s="66" t="str">
        <f t="array" ref="G164">_xlfn.XLOOKUP(I164,' ivp'!S:S,#REF!)</f>
        <v>#N/A</v>
      </c>
      <c r="H164" s="68">
        <v>9.360765397E9</v>
      </c>
      <c r="I164" s="69" t="s">
        <v>1825</v>
      </c>
      <c r="J164" s="71" t="str">
        <f t="shared" si="1"/>
        <v>#REF!</v>
      </c>
      <c r="K164" s="71" t="str">
        <f t="array" ref="K164">_xlfn.XLOOKUP(I164,Sheet2!$C$2:$C$56,Sheet2!$G$2:$G$56)</f>
        <v>#N/A</v>
      </c>
      <c r="L164" s="73" t="s">
        <v>109</v>
      </c>
      <c r="M164" s="73" t="s">
        <v>68</v>
      </c>
      <c r="N164" s="73"/>
    </row>
    <row r="165" ht="12.0" customHeight="1">
      <c r="A165" s="49">
        <v>165.0</v>
      </c>
      <c r="B165" s="186" t="s">
        <v>1822</v>
      </c>
      <c r="C165" s="179">
        <v>45877.0</v>
      </c>
      <c r="D165" s="58" t="s">
        <v>67</v>
      </c>
      <c r="E165" s="263" t="s">
        <v>509</v>
      </c>
      <c r="F165" s="75">
        <v>1.0</v>
      </c>
      <c r="G165" s="66" t="str">
        <f t="array" ref="G165">_xlfn.XLOOKUP(I165,' ivp'!S:S,#REF!)</f>
        <v>#N/A</v>
      </c>
      <c r="H165" s="68">
        <v>9.99490469E9</v>
      </c>
      <c r="I165" s="69" t="s">
        <v>499</v>
      </c>
      <c r="J165" s="71" t="str">
        <f t="shared" si="1"/>
        <v>#REF!</v>
      </c>
      <c r="K165" s="96" t="str">
        <f t="array" ref="K165">_xlfn.XLOOKUP(I165,Sheet2!$C$2:$C$56,Sheet2!$G$2:$G$56)</f>
        <v>https://drive.google.com/open?id=1AHZg48MqudezXNp1_6WBgna8gprHtxmo</v>
      </c>
      <c r="L165" s="73" t="s">
        <v>109</v>
      </c>
      <c r="M165" s="73" t="s">
        <v>68</v>
      </c>
      <c r="N165" s="73"/>
    </row>
    <row r="166" ht="12.0" customHeight="1">
      <c r="A166" s="49">
        <v>166.0</v>
      </c>
      <c r="B166" s="186" t="s">
        <v>628</v>
      </c>
      <c r="C166" s="179">
        <v>45877.0</v>
      </c>
      <c r="D166" s="58" t="s">
        <v>67</v>
      </c>
      <c r="E166" s="263" t="s">
        <v>509</v>
      </c>
      <c r="F166" s="75">
        <v>1.0</v>
      </c>
      <c r="G166" s="66" t="str">
        <f t="array" ref="G166">_xlfn.XLOOKUP(I166,' ivp'!S:S,#REF!)</f>
        <v>#N/A</v>
      </c>
      <c r="H166" s="68">
        <v>9.566834018E9</v>
      </c>
      <c r="I166" s="69" t="s">
        <v>1829</v>
      </c>
      <c r="J166" s="71" t="str">
        <f t="shared" si="1"/>
        <v>#REF!</v>
      </c>
      <c r="K166" s="71" t="str">
        <f t="array" ref="K166">_xlfn.XLOOKUP(I166,Sheet2!$C$2:$C$56,Sheet2!$G$2:$G$56)</f>
        <v>#N/A</v>
      </c>
      <c r="L166" s="73" t="s">
        <v>109</v>
      </c>
      <c r="M166" s="73" t="s">
        <v>68</v>
      </c>
      <c r="N166" s="73" t="s">
        <v>112</v>
      </c>
    </row>
    <row r="167" ht="12.0" customHeight="1">
      <c r="A167" s="49">
        <v>167.0</v>
      </c>
      <c r="B167" s="186" t="s">
        <v>1020</v>
      </c>
      <c r="C167" s="179">
        <v>45877.0</v>
      </c>
      <c r="D167" s="58" t="s">
        <v>67</v>
      </c>
      <c r="E167" s="59" t="s">
        <v>1561</v>
      </c>
      <c r="F167" s="75">
        <v>1.0</v>
      </c>
      <c r="G167" s="66" t="str">
        <f t="array" ref="G167">_xlfn.XLOOKUP(I167,' ivp'!S:S,#REF!)</f>
        <v>#N/A</v>
      </c>
      <c r="H167" s="68">
        <v>8.610004262E9</v>
      </c>
      <c r="I167" s="69" t="s">
        <v>1018</v>
      </c>
      <c r="J167" s="71" t="str">
        <f t="shared" si="1"/>
        <v>#REF!</v>
      </c>
      <c r="K167" s="810" t="s">
        <v>1832</v>
      </c>
      <c r="L167" s="73" t="s">
        <v>109</v>
      </c>
      <c r="M167" s="73" t="s">
        <v>68</v>
      </c>
      <c r="N167" s="73" t="s">
        <v>187</v>
      </c>
    </row>
    <row r="168" ht="12.0" hidden="1" customHeight="1">
      <c r="A168" s="49">
        <v>168.0</v>
      </c>
      <c r="B168" s="186" t="s">
        <v>381</v>
      </c>
      <c r="C168" s="179">
        <v>45877.0</v>
      </c>
      <c r="D168" s="227" t="s">
        <v>195</v>
      </c>
      <c r="E168" s="59" t="s">
        <v>198</v>
      </c>
      <c r="F168" s="75">
        <v>1.0</v>
      </c>
      <c r="G168" s="66" t="str">
        <f t="array" ref="G168">_xlfn.XLOOKUP(I168,' ivp'!S:S,#REF!)</f>
        <v>#N/A</v>
      </c>
      <c r="H168" s="68">
        <v>7.305841274E9</v>
      </c>
      <c r="I168" s="69" t="s">
        <v>1836</v>
      </c>
      <c r="J168" s="71" t="str">
        <f t="shared" si="1"/>
        <v>#REF!</v>
      </c>
      <c r="K168" s="71" t="str">
        <f t="array" ref="K168">_xlfn.XLOOKUP(I168,Sheet2!$C$2:$C$56,Sheet2!$G$2:$G$56)</f>
        <v>#N/A</v>
      </c>
      <c r="L168" s="71"/>
      <c r="M168" s="73" t="s">
        <v>68</v>
      </c>
      <c r="N168" s="73"/>
    </row>
    <row r="169" ht="12.0" customHeight="1">
      <c r="A169" s="49">
        <v>169.0</v>
      </c>
      <c r="B169" s="186" t="s">
        <v>628</v>
      </c>
      <c r="C169" s="179">
        <v>45877.0</v>
      </c>
      <c r="D169" s="58" t="s">
        <v>67</v>
      </c>
      <c r="E169" s="59" t="s">
        <v>1839</v>
      </c>
      <c r="F169" s="75">
        <v>1.0</v>
      </c>
      <c r="G169" s="66" t="str">
        <f t="array" ref="G169">_xlfn.XLOOKUP(I169,' ivp'!S:S,#REF!)</f>
        <v>#N/A</v>
      </c>
      <c r="H169" s="68">
        <v>9.789459618E9</v>
      </c>
      <c r="I169" s="69" t="s">
        <v>703</v>
      </c>
      <c r="J169" s="71" t="str">
        <f t="shared" si="1"/>
        <v>#REF!</v>
      </c>
      <c r="K169" s="71" t="str">
        <f t="array" ref="K169">_xlfn.XLOOKUP(I169,Sheet2!$C$2:$C$56,Sheet2!$G$2:$G$56)</f>
        <v>#N/A</v>
      </c>
      <c r="L169" s="73" t="s">
        <v>262</v>
      </c>
      <c r="M169" s="73" t="s">
        <v>125</v>
      </c>
      <c r="N169" s="73"/>
    </row>
    <row r="170" ht="12.0" hidden="1" customHeight="1">
      <c r="A170" s="49">
        <v>170.0</v>
      </c>
      <c r="B170" s="186" t="s">
        <v>628</v>
      </c>
      <c r="C170" s="56">
        <v>45879.0</v>
      </c>
      <c r="D170" s="227" t="s">
        <v>195</v>
      </c>
      <c r="E170" s="263" t="s">
        <v>509</v>
      </c>
      <c r="F170" s="75">
        <v>1.0</v>
      </c>
      <c r="G170" s="66" t="str">
        <f t="array" ref="G170">_xlfn.XLOOKUP(I170,' ivp'!S:S,#REF!)</f>
        <v>#N/A</v>
      </c>
      <c r="H170" s="68">
        <v>8.122523887E9</v>
      </c>
      <c r="I170" s="69" t="s">
        <v>1844</v>
      </c>
      <c r="J170" s="71" t="str">
        <f t="shared" si="1"/>
        <v>#REF!</v>
      </c>
      <c r="K170" s="71" t="str">
        <f t="array" ref="K170">_xlfn.XLOOKUP(I170,Sheet2!$C$2:$C$56,Sheet2!$G$2:$G$56)</f>
        <v>#N/A</v>
      </c>
      <c r="L170" s="71"/>
      <c r="M170" s="73" t="s">
        <v>68</v>
      </c>
      <c r="N170" s="73"/>
    </row>
    <row r="171" ht="12.0" hidden="1" customHeight="1">
      <c r="A171" s="49">
        <v>171.0</v>
      </c>
      <c r="B171" s="186" t="s">
        <v>381</v>
      </c>
      <c r="C171" s="56">
        <v>45879.0</v>
      </c>
      <c r="D171" s="227" t="s">
        <v>195</v>
      </c>
      <c r="E171" s="263" t="s">
        <v>509</v>
      </c>
      <c r="F171" s="75">
        <v>1.0</v>
      </c>
      <c r="G171" s="66" t="str">
        <f t="array" ref="G171">_xlfn.XLOOKUP(I171,' ivp'!S:S,#REF!)</f>
        <v>#N/A</v>
      </c>
      <c r="H171" s="68">
        <v>6.381211752E9</v>
      </c>
      <c r="I171" s="69" t="s">
        <v>1847</v>
      </c>
      <c r="J171" s="71" t="str">
        <f t="shared" si="1"/>
        <v>#REF!</v>
      </c>
      <c r="K171" s="71" t="str">
        <f t="array" ref="K171">_xlfn.XLOOKUP(I171,Sheet2!$C$2:$C$56,Sheet2!$G$2:$G$56)</f>
        <v>#N/A</v>
      </c>
      <c r="L171" s="71"/>
      <c r="M171" s="73" t="s">
        <v>68</v>
      </c>
      <c r="N171" s="73"/>
    </row>
    <row r="172" ht="12.0" customHeight="1">
      <c r="A172" s="49">
        <v>172.0</v>
      </c>
      <c r="B172" s="186" t="s">
        <v>628</v>
      </c>
      <c r="C172" s="56">
        <v>45881.0</v>
      </c>
      <c r="D172" s="58" t="s">
        <v>67</v>
      </c>
      <c r="E172" s="59" t="s">
        <v>1373</v>
      </c>
      <c r="F172" s="75">
        <v>1.0</v>
      </c>
      <c r="G172" s="66" t="str">
        <f t="array" ref="G172">_xlfn.XLOOKUP(I172,' ivp'!S:S,#REF!)</f>
        <v>#N/A</v>
      </c>
      <c r="H172" s="798">
        <v>8.903672237E9</v>
      </c>
      <c r="I172" s="69" t="s">
        <v>832</v>
      </c>
      <c r="J172" s="71" t="str">
        <f t="shared" si="1"/>
        <v>#REF!</v>
      </c>
      <c r="K172" s="96" t="str">
        <f t="array" ref="K172">_xlfn.XLOOKUP(I172,Sheet2!$C$2:$C$56,Sheet2!$G$2:$G$56)</f>
        <v>https://drive.google.com/open?id=1Tj9hcJg78Kfgp5-s1rqG-Ao1ByvAKk-C</v>
      </c>
      <c r="L172" s="73" t="s">
        <v>377</v>
      </c>
      <c r="M172" s="73" t="s">
        <v>125</v>
      </c>
      <c r="N172" s="73"/>
    </row>
    <row r="173" ht="12.0" hidden="1" customHeight="1">
      <c r="A173" s="49">
        <v>173.0</v>
      </c>
      <c r="B173" s="186" t="s">
        <v>628</v>
      </c>
      <c r="C173" s="56">
        <v>45881.0</v>
      </c>
      <c r="D173" s="227" t="s">
        <v>195</v>
      </c>
      <c r="E173" s="59" t="s">
        <v>198</v>
      </c>
      <c r="F173" s="75">
        <v>1.0</v>
      </c>
      <c r="G173" s="66" t="str">
        <f t="array" ref="G173">_xlfn.XLOOKUP(I173,' ivp'!S:S,#REF!)</f>
        <v>#N/A</v>
      </c>
      <c r="H173" s="68">
        <v>9.02555982E9</v>
      </c>
      <c r="I173" s="69" t="s">
        <v>626</v>
      </c>
      <c r="J173" s="71" t="str">
        <f t="shared" si="1"/>
        <v>#REF!</v>
      </c>
      <c r="K173" s="96" t="str">
        <f t="array" ref="K173">_xlfn.XLOOKUP(I173,Sheet2!$C$2:$C$56,Sheet2!$G$2:$G$56)</f>
        <v>https://drive.google.com/open?id=1GAqH5JxSXmL3C4pwAagePaHXNQi8oC4Q</v>
      </c>
      <c r="L173" s="71"/>
      <c r="M173" s="73" t="s">
        <v>68</v>
      </c>
      <c r="N173" s="73"/>
    </row>
    <row r="174" ht="12.0" hidden="1" customHeight="1">
      <c r="A174" s="49">
        <v>174.0</v>
      </c>
      <c r="B174" s="186" t="s">
        <v>628</v>
      </c>
      <c r="C174" s="56">
        <v>45881.0</v>
      </c>
      <c r="D174" s="227" t="s">
        <v>195</v>
      </c>
      <c r="E174" s="59" t="s">
        <v>198</v>
      </c>
      <c r="F174" s="75">
        <v>1.0</v>
      </c>
      <c r="G174" s="66" t="str">
        <f t="array" ref="G174">_xlfn.XLOOKUP(I174,' ivp'!S:S,#REF!)</f>
        <v>#N/A</v>
      </c>
      <c r="H174" s="68">
        <v>9.342060193E9</v>
      </c>
      <c r="I174" s="69" t="s">
        <v>1855</v>
      </c>
      <c r="J174" s="71" t="str">
        <f t="shared" si="1"/>
        <v>#REF!</v>
      </c>
      <c r="K174" s="71" t="str">
        <f t="array" ref="K174">_xlfn.XLOOKUP(I174,Sheet2!$C$2:$C$56,Sheet2!$G$2:$G$56)</f>
        <v>#N/A</v>
      </c>
      <c r="L174" s="71"/>
      <c r="M174" s="73" t="s">
        <v>68</v>
      </c>
      <c r="N174" s="73"/>
    </row>
    <row r="175" ht="12.0" hidden="1" customHeight="1">
      <c r="A175" s="49">
        <v>175.0</v>
      </c>
      <c r="B175" s="186" t="s">
        <v>628</v>
      </c>
      <c r="C175" s="56">
        <v>45881.0</v>
      </c>
      <c r="D175" s="227" t="s">
        <v>195</v>
      </c>
      <c r="E175" s="59" t="s">
        <v>921</v>
      </c>
      <c r="F175" s="75">
        <v>1.0</v>
      </c>
      <c r="G175" s="66" t="str">
        <f t="array" ref="G175">_xlfn.XLOOKUP(I175,' ivp'!S:S,#REF!)</f>
        <v>#N/A</v>
      </c>
      <c r="H175" s="68">
        <v>9.345875417E9</v>
      </c>
      <c r="I175" s="69" t="s">
        <v>1859</v>
      </c>
      <c r="J175" s="71" t="str">
        <f t="shared" si="1"/>
        <v>#REF!</v>
      </c>
      <c r="K175" s="71" t="str">
        <f t="array" ref="K175">_xlfn.XLOOKUP(I175,Sheet2!$C$2:$C$56,Sheet2!$G$2:$G$56)</f>
        <v>#N/A</v>
      </c>
      <c r="L175" s="71"/>
      <c r="M175" s="73" t="s">
        <v>68</v>
      </c>
      <c r="N175" s="73"/>
    </row>
    <row r="176" ht="12.0" customHeight="1">
      <c r="A176" s="49">
        <v>176.0</v>
      </c>
      <c r="B176" s="186" t="s">
        <v>1861</v>
      </c>
      <c r="C176" s="56">
        <v>45888.0</v>
      </c>
      <c r="D176" s="58" t="s">
        <v>67</v>
      </c>
      <c r="E176" s="59" t="s">
        <v>198</v>
      </c>
      <c r="F176" s="75">
        <v>1.0</v>
      </c>
      <c r="G176" s="66" t="str">
        <f t="array" ref="G176">_xlfn.XLOOKUP(I176,' ivp'!S:S,#REF!)</f>
        <v>#N/A</v>
      </c>
      <c r="H176" s="68">
        <v>9.500592595E9</v>
      </c>
      <c r="I176" s="69" t="s">
        <v>1863</v>
      </c>
      <c r="J176" s="71" t="str">
        <f t="shared" si="1"/>
        <v>#REF!</v>
      </c>
      <c r="K176" s="71" t="str">
        <f t="array" ref="K176">_xlfn.XLOOKUP(I176,Sheet2!$C$2:$C$56,Sheet2!$G$2:$G$56)</f>
        <v>#N/A</v>
      </c>
      <c r="L176" s="73" t="s">
        <v>109</v>
      </c>
      <c r="M176" s="73" t="s">
        <v>68</v>
      </c>
      <c r="N176" s="73" t="s">
        <v>1865</v>
      </c>
    </row>
    <row r="177" ht="12.0" customHeight="1">
      <c r="A177" s="49">
        <v>177.0</v>
      </c>
      <c r="B177" s="186" t="s">
        <v>1867</v>
      </c>
      <c r="C177" s="56">
        <v>45888.0</v>
      </c>
      <c r="D177" s="58" t="s">
        <v>67</v>
      </c>
      <c r="E177" s="59" t="s">
        <v>921</v>
      </c>
      <c r="F177" s="75">
        <v>1.0</v>
      </c>
      <c r="G177" s="66" t="str">
        <f t="array" ref="G177">_xlfn.XLOOKUP(I177,' ivp'!S:S,#REF!)</f>
        <v>#N/A</v>
      </c>
      <c r="H177" s="68">
        <v>9.952401398E9</v>
      </c>
      <c r="I177" s="69" t="s">
        <v>438</v>
      </c>
      <c r="J177" s="71" t="str">
        <f t="shared" si="1"/>
        <v>#REF!</v>
      </c>
      <c r="K177" s="96" t="str">
        <f t="array" ref="K177">_xlfn.XLOOKUP(I177,Sheet2!$C$2:$C$56,Sheet2!$G$2:$G$56)</f>
        <v>https://drive.google.com/open?id=1cLQg3qoEPu5AXEckhDn3oepEgP6QvwIN</v>
      </c>
      <c r="L177" s="73" t="s">
        <v>1868</v>
      </c>
      <c r="M177" s="73" t="s">
        <v>68</v>
      </c>
      <c r="N177" s="73"/>
    </row>
    <row r="178" ht="12.0" hidden="1" customHeight="1">
      <c r="A178" s="49">
        <v>178.0</v>
      </c>
      <c r="B178" s="186" t="s">
        <v>628</v>
      </c>
      <c r="C178" s="56">
        <v>45888.0</v>
      </c>
      <c r="D178" s="227" t="s">
        <v>195</v>
      </c>
      <c r="E178" s="59" t="s">
        <v>251</v>
      </c>
      <c r="F178" s="75">
        <v>1.0</v>
      </c>
      <c r="G178" s="66" t="str">
        <f t="array" ref="G178">_xlfn.XLOOKUP(I178,' ivp'!S:S,#REF!)</f>
        <v>#N/A</v>
      </c>
      <c r="H178" s="68">
        <v>6.38065229E9</v>
      </c>
      <c r="I178" s="69" t="s">
        <v>1871</v>
      </c>
      <c r="J178" s="71" t="str">
        <f t="shared" si="1"/>
        <v>#REF!</v>
      </c>
      <c r="K178" s="71" t="str">
        <f t="array" ref="K178">_xlfn.XLOOKUP(I178,Sheet2!$C$2:$C$56,Sheet2!$G$2:$G$56)</f>
        <v>#N/A</v>
      </c>
      <c r="L178" s="73" t="s">
        <v>262</v>
      </c>
      <c r="M178" s="73" t="s">
        <v>125</v>
      </c>
      <c r="N178" s="73"/>
    </row>
    <row r="179" ht="12.0" hidden="1" customHeight="1">
      <c r="A179" s="49">
        <v>180.0</v>
      </c>
      <c r="B179" s="186" t="s">
        <v>628</v>
      </c>
      <c r="C179" s="56">
        <v>45889.0</v>
      </c>
      <c r="D179" s="227" t="s">
        <v>195</v>
      </c>
      <c r="E179" s="59" t="s">
        <v>71</v>
      </c>
      <c r="F179" s="75">
        <v>1.0</v>
      </c>
      <c r="G179" s="66" t="str">
        <f t="array" ref="G179">_xlfn.XLOOKUP(I179,' ivp'!S:S,#REF!)</f>
        <v>#N/A</v>
      </c>
      <c r="H179" s="68">
        <v>9.597610339E9</v>
      </c>
      <c r="I179" s="69" t="s">
        <v>1874</v>
      </c>
      <c r="J179" s="71" t="str">
        <f t="shared" si="1"/>
        <v>#REF!</v>
      </c>
      <c r="K179" s="71" t="str">
        <f t="array" ref="K179">_xlfn.XLOOKUP(I179,Sheet2!$C$2:$C$56,Sheet2!$G$2:$G$56)</f>
        <v>#N/A</v>
      </c>
      <c r="L179" s="73" t="s">
        <v>262</v>
      </c>
      <c r="M179" s="73" t="s">
        <v>125</v>
      </c>
      <c r="N179" s="73"/>
    </row>
    <row r="180" ht="12.0" hidden="1" customHeight="1">
      <c r="A180" s="49">
        <v>181.0</v>
      </c>
      <c r="B180" s="186" t="s">
        <v>628</v>
      </c>
      <c r="C180" s="56">
        <v>45892.0</v>
      </c>
      <c r="D180" s="227" t="s">
        <v>195</v>
      </c>
      <c r="E180" s="59" t="s">
        <v>198</v>
      </c>
      <c r="F180" s="75">
        <v>1.0</v>
      </c>
      <c r="G180" s="66" t="str">
        <f t="array" ref="G180">_xlfn.XLOOKUP(I180,' ivp'!S:S,#REF!)</f>
        <v>#N/A</v>
      </c>
      <c r="H180" s="68">
        <v>9.025116294E9</v>
      </c>
      <c r="I180" s="69" t="s">
        <v>1877</v>
      </c>
      <c r="J180" s="71" t="str">
        <f t="shared" si="1"/>
        <v>#REF!</v>
      </c>
      <c r="K180" s="71" t="str">
        <f t="array" ref="K180">_xlfn.XLOOKUP(I180,Sheet2!$C$2:$C$56,Sheet2!$G$2:$G$56)</f>
        <v>#N/A</v>
      </c>
      <c r="L180" s="71"/>
      <c r="M180" s="73" t="s">
        <v>68</v>
      </c>
      <c r="N180" s="73"/>
    </row>
    <row r="181" ht="12.0" customHeight="1">
      <c r="A181" s="49">
        <v>182.0</v>
      </c>
      <c r="B181" s="54" t="s">
        <v>744</v>
      </c>
      <c r="C181" s="56">
        <v>45892.0</v>
      </c>
      <c r="D181" s="58" t="s">
        <v>67</v>
      </c>
      <c r="E181" s="263" t="s">
        <v>509</v>
      </c>
      <c r="F181" s="100">
        <v>3.0</v>
      </c>
      <c r="G181" s="66" t="str">
        <f t="array" ref="G181">_xlfn.XLOOKUP(I181,' ivp'!S:S,#REF!)</f>
        <v>#N/A</v>
      </c>
      <c r="H181" s="68">
        <v>9.150452331E9</v>
      </c>
      <c r="I181" s="69" t="s">
        <v>178</v>
      </c>
      <c r="J181" s="71" t="str">
        <f t="shared" si="1"/>
        <v>#REF!</v>
      </c>
      <c r="K181" s="71" t="str">
        <f t="array" ref="K181">_xlfn.XLOOKUP(I181,Sheet2!$C$2:$C$56,Sheet2!$G$2:$G$56)</f>
        <v>#N/A</v>
      </c>
      <c r="L181" s="71"/>
      <c r="M181" s="73" t="s">
        <v>68</v>
      </c>
      <c r="N181" s="73"/>
    </row>
    <row r="182" ht="12.0" hidden="1" customHeight="1">
      <c r="A182" s="49">
        <v>183.0</v>
      </c>
      <c r="B182" s="186" t="s">
        <v>321</v>
      </c>
      <c r="C182" s="56">
        <v>45894.0</v>
      </c>
      <c r="D182" s="227" t="s">
        <v>195</v>
      </c>
      <c r="E182" s="59" t="s">
        <v>921</v>
      </c>
      <c r="F182" s="75">
        <v>1.0</v>
      </c>
      <c r="G182" s="66" t="str">
        <f t="array" ref="G182">_xlfn.XLOOKUP(I182,' ivp'!S:S,#REF!)</f>
        <v>#N/A</v>
      </c>
      <c r="H182" s="68">
        <v>9.360119932E9</v>
      </c>
      <c r="I182" s="69" t="s">
        <v>559</v>
      </c>
      <c r="J182" s="71" t="str">
        <f t="shared" si="1"/>
        <v>#REF!</v>
      </c>
      <c r="K182" s="96" t="str">
        <f t="array" ref="K182">_xlfn.XLOOKUP(I182,Sheet2!$C$2:$C$56,Sheet2!$G$2:$G$56)</f>
        <v>https://drive.google.com/open?id=1nOtcqzNxnN1cVZZNgYC7O4pMceJ1vuq4</v>
      </c>
      <c r="L182" s="71"/>
      <c r="M182" s="73" t="s">
        <v>68</v>
      </c>
      <c r="N182" s="73"/>
    </row>
    <row r="183" ht="12.0" hidden="1" customHeight="1">
      <c r="A183" s="49">
        <v>185.0</v>
      </c>
      <c r="B183" s="54" t="s">
        <v>676</v>
      </c>
      <c r="C183" s="56">
        <v>45894.0</v>
      </c>
      <c r="D183" s="227" t="s">
        <v>195</v>
      </c>
      <c r="E183" s="59" t="s">
        <v>198</v>
      </c>
      <c r="F183" s="75">
        <v>1.0</v>
      </c>
      <c r="G183" s="66" t="str">
        <f t="array" ref="G183">_xlfn.XLOOKUP(I183,' ivp'!S:S,#REF!)</f>
        <v>#N/A</v>
      </c>
      <c r="H183" s="68">
        <v>7.397695113E9</v>
      </c>
      <c r="I183" s="69" t="s">
        <v>1884</v>
      </c>
      <c r="J183" s="71" t="str">
        <f t="shared" si="1"/>
        <v>#REF!</v>
      </c>
      <c r="K183" s="71" t="str">
        <f t="array" ref="K183">_xlfn.XLOOKUP(I183,Sheet2!$C$2:$C$56,Sheet2!$G$2:$G$56)</f>
        <v>#N/A</v>
      </c>
      <c r="L183" s="71"/>
      <c r="M183" s="73" t="s">
        <v>68</v>
      </c>
      <c r="N183" s="73"/>
    </row>
    <row r="184" ht="12.0" customHeight="1">
      <c r="A184" s="49">
        <v>186.0</v>
      </c>
      <c r="B184" s="54" t="s">
        <v>506</v>
      </c>
      <c r="C184" s="56">
        <v>45894.0</v>
      </c>
      <c r="D184" s="58" t="s">
        <v>67</v>
      </c>
      <c r="E184" s="59" t="s">
        <v>198</v>
      </c>
      <c r="F184" s="75">
        <v>1.0</v>
      </c>
      <c r="G184" s="66" t="str">
        <f t="array" ref="G184">_xlfn.XLOOKUP(I184,' ivp'!S:S,#REF!)</f>
        <v>#N/A</v>
      </c>
      <c r="H184" s="68">
        <v>9.600447671E9</v>
      </c>
      <c r="I184" s="69" t="s">
        <v>1078</v>
      </c>
      <c r="J184" s="71" t="str">
        <f t="shared" si="1"/>
        <v>#REF!</v>
      </c>
      <c r="K184" s="71" t="str">
        <f t="array" ref="K184">_xlfn.XLOOKUP(I184,Sheet2!$C$2:$C$56,Sheet2!$G$2:$G$56)</f>
        <v>#N/A</v>
      </c>
      <c r="L184" s="71"/>
      <c r="M184" s="73" t="s">
        <v>68</v>
      </c>
      <c r="N184" s="73"/>
    </row>
    <row r="185" ht="12.0" hidden="1" customHeight="1">
      <c r="A185" s="49">
        <v>187.0</v>
      </c>
      <c r="B185" s="54" t="s">
        <v>1020</v>
      </c>
      <c r="C185" s="56">
        <v>45894.0</v>
      </c>
      <c r="D185" s="227" t="s">
        <v>195</v>
      </c>
      <c r="E185" s="59" t="s">
        <v>921</v>
      </c>
      <c r="F185" s="75">
        <v>1.0</v>
      </c>
      <c r="G185" s="66" t="str">
        <f t="array" ref="G185">_xlfn.XLOOKUP(I185,' ivp'!S:S,#REF!)</f>
        <v>#N/A</v>
      </c>
      <c r="H185" s="68" t="s">
        <v>164</v>
      </c>
      <c r="I185" s="69" t="s">
        <v>1888</v>
      </c>
      <c r="J185" s="71" t="str">
        <f t="shared" si="1"/>
        <v>#REF!</v>
      </c>
      <c r="K185" s="71" t="str">
        <f t="array" ref="K185">_xlfn.XLOOKUP(I185,Sheet2!$C$2:$C$56,Sheet2!$G$2:$G$56)</f>
        <v>#N/A</v>
      </c>
      <c r="L185" s="71"/>
      <c r="M185" s="71"/>
      <c r="N185" s="71"/>
    </row>
    <row r="186" ht="12.0" hidden="1" customHeight="1">
      <c r="A186" s="49">
        <v>188.0</v>
      </c>
      <c r="B186" s="186" t="s">
        <v>381</v>
      </c>
      <c r="C186" s="56">
        <v>45895.0</v>
      </c>
      <c r="D186" s="227" t="s">
        <v>195</v>
      </c>
      <c r="E186" s="59" t="s">
        <v>1892</v>
      </c>
      <c r="F186" s="75">
        <v>1.0</v>
      </c>
      <c r="G186" s="66" t="str">
        <f t="array" ref="G186">_xlfn.XLOOKUP(I186,' ivp'!S:S,#REF!)</f>
        <v>#N/A</v>
      </c>
      <c r="H186" s="68">
        <v>6.379382199E9</v>
      </c>
      <c r="I186" s="69" t="s">
        <v>1893</v>
      </c>
      <c r="J186" s="71" t="str">
        <f t="shared" si="1"/>
        <v>#REF!</v>
      </c>
      <c r="K186" s="71" t="str">
        <f t="array" ref="K186">_xlfn.XLOOKUP(I186,Sheet2!$C$2:$C$56,Sheet2!$G$2:$G$56)</f>
        <v>#N/A</v>
      </c>
      <c r="L186" s="71"/>
      <c r="M186" s="73" t="s">
        <v>68</v>
      </c>
      <c r="N186" s="73"/>
    </row>
    <row r="187" ht="12.0" customHeight="1">
      <c r="A187" s="49">
        <v>190.0</v>
      </c>
      <c r="B187" s="186" t="s">
        <v>381</v>
      </c>
      <c r="C187" s="56">
        <v>45897.0</v>
      </c>
      <c r="D187" s="58" t="s">
        <v>67</v>
      </c>
      <c r="E187" s="59" t="s">
        <v>198</v>
      </c>
      <c r="F187" s="75">
        <v>1.0</v>
      </c>
      <c r="G187" s="66" t="str">
        <f t="array" ref="G187">_xlfn.XLOOKUP(I187,' ivp'!S:S,#REF!)</f>
        <v>#N/A</v>
      </c>
      <c r="H187" s="68">
        <v>9.840635778E9</v>
      </c>
      <c r="I187" s="69" t="s">
        <v>1586</v>
      </c>
      <c r="J187" s="71" t="str">
        <f t="shared" si="1"/>
        <v>#REF!</v>
      </c>
      <c r="K187" s="71" t="str">
        <f t="array" ref="K187">_xlfn.XLOOKUP(I187,Sheet2!$C$2:$C$56,Sheet2!$G$2:$G$56)</f>
        <v>#N/A</v>
      </c>
      <c r="L187" s="71"/>
      <c r="M187" s="73" t="s">
        <v>68</v>
      </c>
      <c r="N187" s="73"/>
    </row>
    <row r="188" ht="12.0" customHeight="1">
      <c r="A188" s="49">
        <v>191.0</v>
      </c>
      <c r="B188" s="54" t="s">
        <v>793</v>
      </c>
      <c r="C188" s="56">
        <v>45898.0</v>
      </c>
      <c r="D188" s="58" t="s">
        <v>67</v>
      </c>
      <c r="E188" s="59" t="s">
        <v>1134</v>
      </c>
      <c r="F188" s="75">
        <v>1.0</v>
      </c>
      <c r="G188" s="66" t="str">
        <f t="array" ref="G188">_xlfn.XLOOKUP(I188,' ivp'!S:S,#REF!)</f>
        <v>#N/A</v>
      </c>
      <c r="H188" s="68">
        <v>9.705933771E9</v>
      </c>
      <c r="I188" s="69" t="s">
        <v>556</v>
      </c>
      <c r="J188" s="71" t="str">
        <f t="shared" si="1"/>
        <v>#REF!</v>
      </c>
      <c r="K188" s="96" t="str">
        <f t="array" ref="K188">_xlfn.XLOOKUP(I188,Sheet2!$C$2:$C$56,Sheet2!$G$2:$G$56)</f>
        <v>https://drive.google.com/open?id=1qyALgLmfBGwRQZVtXpNxFVOCOLST_2BK</v>
      </c>
      <c r="L188" s="73" t="s">
        <v>109</v>
      </c>
      <c r="M188" s="73" t="s">
        <v>68</v>
      </c>
      <c r="N188" s="73"/>
    </row>
    <row r="189" ht="12.0" customHeight="1">
      <c r="A189" s="49">
        <v>192.0</v>
      </c>
      <c r="B189" s="186" t="s">
        <v>628</v>
      </c>
      <c r="C189" s="56">
        <v>45898.0</v>
      </c>
      <c r="D189" s="58" t="s">
        <v>67</v>
      </c>
      <c r="E189" s="59" t="s">
        <v>198</v>
      </c>
      <c r="F189" s="75">
        <v>1.0</v>
      </c>
      <c r="G189" s="66" t="str">
        <f t="array" ref="G189">_xlfn.XLOOKUP(I189,' ivp'!S:S,#REF!)</f>
        <v>#N/A</v>
      </c>
      <c r="H189" s="68">
        <v>7.358011726E9</v>
      </c>
      <c r="I189" s="69" t="s">
        <v>1901</v>
      </c>
      <c r="J189" s="71" t="str">
        <f t="shared" si="1"/>
        <v>#REF!</v>
      </c>
      <c r="K189" s="71" t="str">
        <f t="array" ref="K189">_xlfn.XLOOKUP(I189,Sheet2!$C$2:$C$56,Sheet2!$G$2:$G$56)</f>
        <v>#N/A</v>
      </c>
      <c r="L189" s="71"/>
      <c r="M189" s="73" t="s">
        <v>68</v>
      </c>
      <c r="N189" s="73"/>
    </row>
    <row r="190" ht="12.0" customHeight="1">
      <c r="A190" s="49">
        <v>193.0</v>
      </c>
      <c r="B190" s="54" t="s">
        <v>906</v>
      </c>
      <c r="C190" s="56">
        <v>45899.0</v>
      </c>
      <c r="D190" s="58" t="s">
        <v>67</v>
      </c>
      <c r="E190" s="59" t="s">
        <v>198</v>
      </c>
      <c r="F190" s="75">
        <v>1.0</v>
      </c>
      <c r="G190" s="66" t="str">
        <f t="array" ref="G190">_xlfn.XLOOKUP(I190,' ivp'!S:S,#REF!)</f>
        <v>#N/A</v>
      </c>
      <c r="H190" s="68" t="s">
        <v>164</v>
      </c>
      <c r="I190" s="69" t="s">
        <v>1905</v>
      </c>
      <c r="J190" s="71" t="str">
        <f t="shared" si="1"/>
        <v>#REF!</v>
      </c>
      <c r="K190" s="71" t="str">
        <f t="array" ref="K190">_xlfn.XLOOKUP(I190,Sheet2!$C$2:$C$56,Sheet2!$G$2:$G$56)</f>
        <v>#N/A</v>
      </c>
      <c r="L190" s="71"/>
      <c r="M190" s="71"/>
      <c r="N190" s="71"/>
    </row>
    <row r="191" ht="12.0" customHeight="1">
      <c r="A191" s="49">
        <v>194.0</v>
      </c>
      <c r="B191" s="186" t="s">
        <v>987</v>
      </c>
      <c r="C191" s="179">
        <v>45909.0</v>
      </c>
      <c r="D191" s="58" t="s">
        <v>67</v>
      </c>
      <c r="E191" s="59" t="s">
        <v>616</v>
      </c>
      <c r="F191" s="75">
        <v>1.0</v>
      </c>
      <c r="G191" s="66" t="str">
        <f t="array" ref="G191">_xlfn.XLOOKUP(I191,' ivp'!S:S,#REF!)</f>
        <v>#N/A</v>
      </c>
      <c r="H191" s="68">
        <v>8.675058253E9</v>
      </c>
      <c r="I191" s="69" t="s">
        <v>1909</v>
      </c>
      <c r="J191" s="71" t="str">
        <f t="shared" si="1"/>
        <v>#REF!</v>
      </c>
      <c r="K191" s="71" t="str">
        <f t="array" ref="K191">_xlfn.XLOOKUP(I191,Sheet2!$C$2:$C$56,Sheet2!$G$2:$G$56)</f>
        <v>#N/A</v>
      </c>
      <c r="L191" s="71"/>
      <c r="M191" s="73" t="s">
        <v>68</v>
      </c>
      <c r="N191" s="73"/>
    </row>
    <row r="192" ht="12.0" hidden="1" customHeight="1">
      <c r="A192" s="49">
        <v>195.0</v>
      </c>
      <c r="B192" s="186" t="s">
        <v>381</v>
      </c>
      <c r="C192" s="179">
        <v>45909.0</v>
      </c>
      <c r="D192" s="227" t="s">
        <v>195</v>
      </c>
      <c r="E192" s="59" t="s">
        <v>198</v>
      </c>
      <c r="F192" s="75">
        <v>1.0</v>
      </c>
      <c r="G192" s="66" t="str">
        <f t="array" ref="G192">_xlfn.XLOOKUP(I192,' ivp'!S:S,#REF!)</f>
        <v>#N/A</v>
      </c>
      <c r="H192" s="68">
        <v>6.380442011E9</v>
      </c>
      <c r="I192" s="69" t="s">
        <v>1912</v>
      </c>
      <c r="J192" s="71" t="str">
        <f t="shared" si="1"/>
        <v>#REF!</v>
      </c>
      <c r="K192" s="71" t="str">
        <f t="array" ref="K192">_xlfn.XLOOKUP(I192,Sheet2!$C$2:$C$56,Sheet2!$G$2:$G$56)</f>
        <v>#N/A</v>
      </c>
      <c r="L192" s="71"/>
      <c r="M192" s="73" t="s">
        <v>68</v>
      </c>
      <c r="N192" s="73"/>
    </row>
    <row r="193" ht="12.0" customHeight="1">
      <c r="A193" s="49">
        <v>196.0</v>
      </c>
      <c r="B193" s="186" t="s">
        <v>1914</v>
      </c>
      <c r="C193" s="179">
        <v>45909.0</v>
      </c>
      <c r="D193" s="58" t="s">
        <v>67</v>
      </c>
      <c r="E193" s="59" t="s">
        <v>198</v>
      </c>
      <c r="F193" s="75">
        <v>1.0</v>
      </c>
      <c r="G193" s="66" t="str">
        <f t="array" ref="G193">_xlfn.XLOOKUP(I193,' ivp'!S:S,#REF!)</f>
        <v>#N/A</v>
      </c>
      <c r="H193" s="68">
        <v>8.015068205E9</v>
      </c>
      <c r="I193" s="69" t="s">
        <v>1916</v>
      </c>
      <c r="J193" s="71" t="str">
        <f t="shared" si="1"/>
        <v>#REF!</v>
      </c>
      <c r="K193" s="71" t="str">
        <f t="array" ref="K193">_xlfn.XLOOKUP(I193,Sheet2!$C$2:$C$56,Sheet2!$G$2:$G$56)</f>
        <v>#N/A</v>
      </c>
      <c r="L193" s="73" t="s">
        <v>109</v>
      </c>
      <c r="M193" s="73" t="s">
        <v>68</v>
      </c>
      <c r="N193" s="73" t="s">
        <v>1918</v>
      </c>
    </row>
    <row r="194" ht="12.0" customHeight="1">
      <c r="A194" s="49">
        <v>197.0</v>
      </c>
      <c r="B194" s="186" t="s">
        <v>906</v>
      </c>
      <c r="C194" s="56">
        <v>45910.0</v>
      </c>
      <c r="D194" s="58" t="s">
        <v>67</v>
      </c>
      <c r="E194" s="59" t="s">
        <v>198</v>
      </c>
      <c r="F194" s="75">
        <v>1.0</v>
      </c>
      <c r="G194" s="66" t="str">
        <f t="array" ref="G194">_xlfn.XLOOKUP(I194,' ivp'!S:S,#REF!)</f>
        <v>#N/A</v>
      </c>
      <c r="H194" s="68">
        <v>9.342242802E9</v>
      </c>
      <c r="I194" s="69" t="s">
        <v>900</v>
      </c>
      <c r="J194" s="71" t="str">
        <f t="shared" si="1"/>
        <v>#REF!</v>
      </c>
      <c r="K194" s="71" t="str">
        <f t="array" ref="K194">_xlfn.XLOOKUP(I194,Sheet2!$C$2:$C$56,Sheet2!$G$2:$G$56)</f>
        <v>#N/A</v>
      </c>
      <c r="L194" s="73" t="s">
        <v>811</v>
      </c>
      <c r="M194" s="73" t="s">
        <v>68</v>
      </c>
      <c r="N194" s="73"/>
    </row>
    <row r="195" ht="12.0" customHeight="1">
      <c r="A195" s="49">
        <v>198.0</v>
      </c>
      <c r="B195" s="186" t="s">
        <v>628</v>
      </c>
      <c r="C195" s="821">
        <v>45960.0</v>
      </c>
      <c r="D195" s="58" t="s">
        <v>67</v>
      </c>
      <c r="E195" s="59" t="s">
        <v>1809</v>
      </c>
      <c r="F195" s="264">
        <v>3.0</v>
      </c>
      <c r="G195" s="66" t="str">
        <f t="array" ref="G195">_xlfn.XLOOKUP(I195,' ivp'!S:S,#REF!)</f>
        <v>#N/A</v>
      </c>
      <c r="H195" s="68">
        <v>9.345211524E9</v>
      </c>
      <c r="I195" s="69" t="s">
        <v>826</v>
      </c>
      <c r="J195" s="71" t="str">
        <f t="shared" si="1"/>
        <v>#REF!</v>
      </c>
      <c r="K195" s="71" t="str">
        <f t="array" ref="K195">_xlfn.XLOOKUP(I195,Sheet2!$C$2:$C$56,Sheet2!$G$2:$G$56)</f>
        <v>#N/A</v>
      </c>
      <c r="L195" s="73" t="s">
        <v>109</v>
      </c>
      <c r="M195" s="73" t="s">
        <v>68</v>
      </c>
      <c r="N195" s="73" t="s">
        <v>1922</v>
      </c>
    </row>
    <row r="196" ht="12.0" customHeight="1">
      <c r="A196" s="49">
        <v>199.0</v>
      </c>
      <c r="B196" s="186" t="s">
        <v>639</v>
      </c>
      <c r="C196" s="56">
        <v>45911.0</v>
      </c>
      <c r="D196" s="58" t="s">
        <v>67</v>
      </c>
      <c r="E196" s="59" t="s">
        <v>1925</v>
      </c>
      <c r="F196" s="75">
        <v>1.0</v>
      </c>
      <c r="G196" s="66" t="str">
        <f t="array" ref="G196">_xlfn.XLOOKUP(I196,' ivp'!S:S,#REF!)</f>
        <v>#N/A</v>
      </c>
      <c r="H196" s="68">
        <v>6.380251372E9</v>
      </c>
      <c r="I196" s="69" t="s">
        <v>1677</v>
      </c>
      <c r="J196" s="71" t="str">
        <f t="shared" si="1"/>
        <v>#REF!</v>
      </c>
      <c r="K196" s="71" t="str">
        <f t="array" ref="K196">_xlfn.XLOOKUP(I196,Sheet2!$C$2:$C$56,Sheet2!$G$2:$G$56)</f>
        <v>#N/A</v>
      </c>
      <c r="L196" s="73" t="s">
        <v>109</v>
      </c>
      <c r="M196" s="73" t="s">
        <v>68</v>
      </c>
      <c r="N196" s="73" t="s">
        <v>1918</v>
      </c>
    </row>
    <row r="197" ht="12.0" customHeight="1">
      <c r="A197" s="49">
        <v>200.0</v>
      </c>
      <c r="B197" s="186" t="s">
        <v>628</v>
      </c>
      <c r="C197" s="56">
        <v>45912.0</v>
      </c>
      <c r="D197" s="58" t="s">
        <v>67</v>
      </c>
      <c r="E197" s="59" t="s">
        <v>1928</v>
      </c>
      <c r="F197" s="75">
        <v>1.0</v>
      </c>
      <c r="G197" s="66" t="str">
        <f t="array" ref="G197">_xlfn.XLOOKUP(I197,' ivp'!S:S,#REF!)</f>
        <v>#N/A</v>
      </c>
      <c r="H197" s="68">
        <v>9.962764646E9</v>
      </c>
      <c r="I197" s="69" t="s">
        <v>248</v>
      </c>
      <c r="J197" s="71" t="str">
        <f t="shared" si="1"/>
        <v>#REF!</v>
      </c>
      <c r="K197" s="96" t="str">
        <f t="array" ref="K197">_xlfn.XLOOKUP(I197,Sheet2!$C$2:$C$56,Sheet2!$G$2:$G$56)</f>
        <v>https://drive.google.com/open?id=1uK1jvNK5uZzUPeWETKPYgSroJ5mXheZM</v>
      </c>
      <c r="L197" s="73" t="s">
        <v>109</v>
      </c>
      <c r="M197" s="73" t="s">
        <v>68</v>
      </c>
      <c r="N197" s="73" t="s">
        <v>187</v>
      </c>
    </row>
    <row r="198" ht="12.0" hidden="1" customHeight="1">
      <c r="A198" s="49">
        <v>201.0</v>
      </c>
      <c r="B198" s="54" t="s">
        <v>173</v>
      </c>
      <c r="C198" s="56">
        <v>45912.0</v>
      </c>
      <c r="D198" s="227" t="s">
        <v>195</v>
      </c>
      <c r="E198" s="59" t="s">
        <v>1141</v>
      </c>
      <c r="F198" s="75">
        <v>1.0</v>
      </c>
      <c r="G198" s="66" t="str">
        <f t="array" ref="G198">_xlfn.XLOOKUP(I198,' ivp'!S:S,#REF!)</f>
        <v>#N/A</v>
      </c>
      <c r="H198" s="68" t="s">
        <v>164</v>
      </c>
      <c r="I198" s="69" t="s">
        <v>1931</v>
      </c>
      <c r="J198" s="71" t="str">
        <f t="shared" si="1"/>
        <v>#REF!</v>
      </c>
      <c r="K198" s="71" t="str">
        <f t="array" ref="K198">_xlfn.XLOOKUP(I198,Sheet2!$C$2:$C$56,Sheet2!$G$2:$G$56)</f>
        <v>#N/A</v>
      </c>
      <c r="L198" s="71"/>
      <c r="M198" s="71"/>
      <c r="N198" s="71"/>
    </row>
    <row r="199" ht="12.0" hidden="1" customHeight="1">
      <c r="A199" s="49">
        <v>204.0</v>
      </c>
      <c r="B199" s="54" t="s">
        <v>173</v>
      </c>
      <c r="C199" s="56">
        <v>45912.0</v>
      </c>
      <c r="D199" s="227" t="s">
        <v>195</v>
      </c>
      <c r="E199" s="59" t="s">
        <v>1934</v>
      </c>
      <c r="F199" s="75">
        <v>1.0</v>
      </c>
      <c r="G199" s="66" t="str">
        <f t="array" ref="G199">_xlfn.XLOOKUP(I199,' ivp'!S:S,#REF!)</f>
        <v>#N/A</v>
      </c>
      <c r="H199" s="825">
        <v>9.360316557E9</v>
      </c>
      <c r="I199" s="69" t="s">
        <v>1935</v>
      </c>
      <c r="J199" s="71" t="str">
        <f t="shared" si="1"/>
        <v>#REF!</v>
      </c>
      <c r="K199" s="71" t="str">
        <f t="array" ref="K199">_xlfn.XLOOKUP(I199,Sheet2!$C$2:$C$56,Sheet2!$G$2:$G$56)</f>
        <v>#N/A</v>
      </c>
      <c r="L199" s="826" t="s">
        <v>1935</v>
      </c>
      <c r="M199" s="73" t="s">
        <v>68</v>
      </c>
      <c r="N199" s="73"/>
    </row>
    <row r="200" ht="12.0" customHeight="1">
      <c r="A200" s="49">
        <v>205.0</v>
      </c>
      <c r="B200" s="827" t="s">
        <v>356</v>
      </c>
      <c r="C200" s="59"/>
      <c r="D200" s="58" t="s">
        <v>67</v>
      </c>
      <c r="E200" s="263" t="s">
        <v>509</v>
      </c>
      <c r="F200" s="183">
        <v>6.0</v>
      </c>
      <c r="G200" s="66" t="str">
        <f t="array" ref="G200">_xlfn.XLOOKUP(I200,' ivp'!S:S,#REF!)</f>
        <v>#N/A</v>
      </c>
      <c r="H200" s="68">
        <v>8.12268775E9</v>
      </c>
      <c r="I200" s="69" t="s">
        <v>725</v>
      </c>
      <c r="J200" s="71" t="str">
        <f t="shared" si="1"/>
        <v>#REF!</v>
      </c>
      <c r="K200" s="71" t="str">
        <f t="array" ref="K200">_xlfn.XLOOKUP(I200,Sheet2!$C$2:$C$56,Sheet2!$G$2:$G$56)</f>
        <v>#N/A</v>
      </c>
      <c r="L200" s="71"/>
      <c r="M200" s="73" t="s">
        <v>68</v>
      </c>
      <c r="N200" s="73"/>
    </row>
    <row r="201" ht="12.0" customHeight="1">
      <c r="A201" s="829">
        <v>206.0</v>
      </c>
      <c r="B201" s="830" t="s">
        <v>493</v>
      </c>
      <c r="C201" s="832">
        <v>45958.0</v>
      </c>
      <c r="D201" s="833" t="s">
        <v>67</v>
      </c>
      <c r="E201" s="834" t="s">
        <v>1940</v>
      </c>
      <c r="F201" s="835">
        <v>1.0</v>
      </c>
      <c r="G201" s="66" t="str">
        <f t="array" ref="G201">_xlfn.XLOOKUP(I201,' ivp'!S:S,#REF!)</f>
        <v>#N/A</v>
      </c>
      <c r="H201" s="836">
        <v>8.10687252E9</v>
      </c>
      <c r="I201" s="837" t="s">
        <v>877</v>
      </c>
      <c r="J201" s="71" t="str">
        <f t="shared" si="1"/>
        <v>#REF!</v>
      </c>
      <c r="K201" s="71" t="str">
        <f t="array" ref="K201">_xlfn.XLOOKUP(I201,Sheet2!$C$2:$C$56,Sheet2!$G$2:$G$56)</f>
        <v>#N/A</v>
      </c>
      <c r="L201" s="73" t="s">
        <v>377</v>
      </c>
      <c r="M201" s="73" t="s">
        <v>68</v>
      </c>
      <c r="N201" s="73"/>
    </row>
    <row r="202" ht="12.0" customHeight="1">
      <c r="A202" s="838">
        <v>207.0</v>
      </c>
      <c r="B202" s="839" t="s">
        <v>898</v>
      </c>
      <c r="C202" s="840">
        <v>45959.0</v>
      </c>
      <c r="D202" s="833" t="s">
        <v>67</v>
      </c>
      <c r="E202" s="263" t="s">
        <v>509</v>
      </c>
      <c r="F202" s="841">
        <v>1.0</v>
      </c>
      <c r="G202" s="66" t="str">
        <f t="array" ref="G202">_xlfn.XLOOKUP(I202,' ivp'!S:S,#REF!)</f>
        <v>#N/A</v>
      </c>
      <c r="H202" s="842">
        <v>9.626316318E9</v>
      </c>
      <c r="I202" s="843" t="s">
        <v>894</v>
      </c>
      <c r="J202" s="71" t="str">
        <f t="shared" si="1"/>
        <v>#REF!</v>
      </c>
      <c r="K202" s="844" t="str">
        <f t="array" ref="K202">_xlfn.XLOOKUP(I202,Sheet2!$C$2:$C$56,Sheet2!$G$2:$G$56)</f>
        <v>#N/A</v>
      </c>
      <c r="L202" s="845" t="s">
        <v>377</v>
      </c>
      <c r="M202" s="845" t="s">
        <v>68</v>
      </c>
      <c r="N202" s="845"/>
    </row>
    <row r="203" ht="12.0" customHeight="1">
      <c r="A203" s="838">
        <v>208.0</v>
      </c>
      <c r="B203" s="846" t="s">
        <v>1043</v>
      </c>
      <c r="C203" s="840">
        <v>45959.0</v>
      </c>
      <c r="D203" s="833" t="s">
        <v>67</v>
      </c>
      <c r="E203" s="263" t="s">
        <v>509</v>
      </c>
      <c r="F203" s="841">
        <v>4.0</v>
      </c>
      <c r="G203" s="66" t="str">
        <f t="array" ref="G203">_xlfn.XLOOKUP(I203,' ivp'!S:S,#REF!)</f>
        <v>#N/A</v>
      </c>
      <c r="H203" s="842">
        <v>7.358254947E9</v>
      </c>
      <c r="I203" s="847" t="s">
        <v>287</v>
      </c>
      <c r="J203" s="71" t="str">
        <f t="shared" si="1"/>
        <v>#REF!</v>
      </c>
      <c r="K203" s="844" t="str">
        <f t="array" ref="K203">_xlfn.XLOOKUP(I203,Sheet2!$C$2:$C$56,Sheet2!$G$2:$G$56)</f>
        <v>#N/A</v>
      </c>
      <c r="L203" s="845" t="s">
        <v>1949</v>
      </c>
      <c r="M203" s="845"/>
      <c r="N203" s="845" t="s">
        <v>1776</v>
      </c>
    </row>
    <row r="204" ht="12.0" customHeight="1">
      <c r="A204" s="848">
        <v>210.0</v>
      </c>
      <c r="B204" s="849" t="s">
        <v>1951</v>
      </c>
      <c r="C204" s="850"/>
      <c r="D204" s="833" t="s">
        <v>67</v>
      </c>
      <c r="E204" s="263" t="s">
        <v>509</v>
      </c>
      <c r="F204" s="851">
        <v>5.0</v>
      </c>
      <c r="G204" s="66" t="str">
        <f t="array" ref="G204">_xlfn.XLOOKUP(I204,' ivp'!S:S,#REF!)</f>
        <v>#N/A</v>
      </c>
      <c r="H204" s="852">
        <v>6.38278593E9</v>
      </c>
      <c r="I204" s="853" t="s">
        <v>1953</v>
      </c>
      <c r="J204" s="854" t="str">
        <f t="shared" si="1"/>
        <v>#REF!</v>
      </c>
      <c r="K204" s="854" t="str">
        <f t="array" ref="K204">_xlfn.XLOOKUP(I204,Sheet2!$C$2:$C$56,Sheet2!$G$2:$G$56)</f>
        <v>#N/A</v>
      </c>
      <c r="L204" s="855"/>
      <c r="M204" s="855"/>
      <c r="N204" s="855"/>
      <c r="O204" s="856"/>
      <c r="P204" s="856"/>
      <c r="Q204" s="856"/>
      <c r="R204" s="856"/>
      <c r="S204" s="856"/>
      <c r="T204" s="856"/>
      <c r="U204" s="856"/>
      <c r="V204" s="856"/>
      <c r="W204" s="856"/>
      <c r="X204" s="856"/>
      <c r="Y204" s="856"/>
      <c r="Z204" s="856"/>
      <c r="AA204" s="856"/>
      <c r="AB204" s="856"/>
      <c r="AC204" s="856"/>
      <c r="AD204" s="856"/>
      <c r="AE204" s="856"/>
    </row>
    <row r="205" ht="12.0" customHeight="1">
      <c r="A205" s="838">
        <v>211.0</v>
      </c>
      <c r="B205" s="857" t="s">
        <v>1956</v>
      </c>
      <c r="C205" s="840"/>
      <c r="D205" s="833" t="s">
        <v>67</v>
      </c>
      <c r="E205" s="263" t="s">
        <v>509</v>
      </c>
      <c r="F205" s="841">
        <v>1.0</v>
      </c>
      <c r="G205" s="66" t="str">
        <f t="array" ref="G205">_xlfn.XLOOKUP(I205,' ivp'!S:S,#REF!)</f>
        <v>#N/A</v>
      </c>
      <c r="H205" s="858">
        <v>9.003311971E9</v>
      </c>
      <c r="I205" s="859" t="s">
        <v>1959</v>
      </c>
      <c r="J205" s="71" t="str">
        <f t="shared" si="1"/>
        <v>#REF!</v>
      </c>
      <c r="K205" s="844" t="str">
        <f t="array" ref="K205">_xlfn.XLOOKUP(I205,Sheet2!$C$2:$C$56,Sheet2!$G$2:$G$56)</f>
        <v>#N/A</v>
      </c>
      <c r="L205" s="845"/>
      <c r="M205" s="845"/>
      <c r="N205" s="845"/>
    </row>
    <row r="206" ht="12.0" customHeight="1">
      <c r="A206" s="838">
        <v>212.0</v>
      </c>
      <c r="B206" s="826" t="s">
        <v>1961</v>
      </c>
      <c r="C206" s="71"/>
      <c r="D206" s="833" t="s">
        <v>67</v>
      </c>
      <c r="E206" s="263" t="s">
        <v>509</v>
      </c>
      <c r="F206" s="860"/>
      <c r="G206" s="66" t="str">
        <f t="array" ref="G206">_xlfn.XLOOKUP(I206,' ivp'!S:S,#REF!)</f>
        <v>#N/A</v>
      </c>
      <c r="H206" s="825">
        <v>9.786666437E9</v>
      </c>
      <c r="I206" s="826" t="s">
        <v>1963</v>
      </c>
      <c r="J206" s="71" t="str">
        <f t="shared" si="1"/>
        <v>#REF!</v>
      </c>
      <c r="K206" s="71"/>
      <c r="L206" s="71"/>
      <c r="M206" s="71"/>
      <c r="N206" s="71"/>
    </row>
    <row r="207" ht="12.0" customHeight="1">
      <c r="A207" s="861">
        <v>213.0</v>
      </c>
      <c r="B207" s="862" t="s">
        <v>1299</v>
      </c>
      <c r="C207" s="863"/>
      <c r="D207" s="833" t="s">
        <v>67</v>
      </c>
      <c r="E207" s="263" t="s">
        <v>509</v>
      </c>
      <c r="F207" s="864"/>
      <c r="G207" s="66" t="str">
        <f t="array" ref="G207">_xlfn.XLOOKUP(I207,' ivp'!S:S,#REF!)</f>
        <v>#N/A</v>
      </c>
      <c r="H207" s="862">
        <v>8.098927503E9</v>
      </c>
      <c r="I207" s="865" t="s">
        <v>1967</v>
      </c>
      <c r="J207" s="863" t="str">
        <f t="shared" si="1"/>
        <v>#REF!</v>
      </c>
      <c r="K207" s="863"/>
      <c r="L207" s="863"/>
      <c r="M207" s="863"/>
      <c r="N207" s="863"/>
      <c r="O207" s="867"/>
      <c r="P207" s="867"/>
      <c r="Q207" s="867"/>
      <c r="R207" s="867"/>
      <c r="S207" s="867"/>
      <c r="T207" s="867"/>
      <c r="U207" s="867"/>
      <c r="V207" s="867"/>
      <c r="W207" s="867"/>
      <c r="X207" s="867"/>
      <c r="Y207" s="867"/>
      <c r="Z207" s="867"/>
      <c r="AA207" s="867"/>
      <c r="AB207" s="867"/>
      <c r="AC207" s="867"/>
      <c r="AD207" s="867"/>
      <c r="AE207" s="867"/>
    </row>
    <row r="208" ht="12.0" customHeight="1">
      <c r="A208" s="838">
        <v>214.0</v>
      </c>
      <c r="B208" s="868" t="s">
        <v>931</v>
      </c>
      <c r="C208" s="71"/>
      <c r="D208" s="833" t="s">
        <v>67</v>
      </c>
      <c r="E208" s="263" t="s">
        <v>509</v>
      </c>
      <c r="F208" s="860"/>
      <c r="G208" s="66" t="str">
        <f t="array" ref="G208">_xlfn.XLOOKUP(I208,' ivp'!S:S,#REF!)</f>
        <v>#N/A</v>
      </c>
      <c r="H208" s="868">
        <v>9.790341644E9</v>
      </c>
      <c r="I208" s="869" t="s">
        <v>1971</v>
      </c>
      <c r="J208" s="71" t="str">
        <f t="shared" si="1"/>
        <v>#REF!</v>
      </c>
      <c r="K208" s="71"/>
      <c r="L208" s="71"/>
      <c r="M208" s="71"/>
      <c r="N208" s="71"/>
    </row>
    <row r="209" ht="12.0" customHeight="1">
      <c r="A209" s="838">
        <v>215.0</v>
      </c>
      <c r="B209" s="868" t="s">
        <v>931</v>
      </c>
      <c r="C209" s="71"/>
      <c r="D209" s="833" t="s">
        <v>67</v>
      </c>
      <c r="E209" s="263" t="s">
        <v>509</v>
      </c>
      <c r="F209" s="860"/>
      <c r="G209" s="66" t="str">
        <f t="array" ref="G209">_xlfn.XLOOKUP(I209,' ivp'!S:S,#REF!)</f>
        <v>#N/A</v>
      </c>
      <c r="H209" s="868">
        <v>9.790341644E9</v>
      </c>
      <c r="I209" s="870" t="s">
        <v>1974</v>
      </c>
      <c r="J209" s="71" t="str">
        <f t="shared" si="1"/>
        <v>#REF!</v>
      </c>
      <c r="K209" s="71"/>
      <c r="L209" s="71"/>
      <c r="M209" s="71"/>
      <c r="N209" s="71"/>
    </row>
    <row r="210" ht="12.0" customHeight="1">
      <c r="A210" s="838">
        <v>216.0</v>
      </c>
      <c r="B210" s="868" t="s">
        <v>1976</v>
      </c>
      <c r="C210" s="71"/>
      <c r="D210" s="833" t="s">
        <v>67</v>
      </c>
      <c r="E210" s="263" t="s">
        <v>509</v>
      </c>
      <c r="F210" s="860"/>
      <c r="G210" s="66" t="str">
        <f t="array" ref="G210">_xlfn.XLOOKUP(I210,' ivp'!S:S,#REF!)</f>
        <v>#N/A</v>
      </c>
      <c r="H210" s="868">
        <v>9.488505516E9</v>
      </c>
      <c r="I210" s="826" t="s">
        <v>973</v>
      </c>
      <c r="J210" s="71" t="str">
        <f t="shared" si="1"/>
        <v>#REF!</v>
      </c>
      <c r="K210" s="71"/>
      <c r="L210" s="71"/>
      <c r="M210" s="71"/>
      <c r="N210" s="71"/>
    </row>
    <row r="211" ht="12.0" customHeight="1">
      <c r="A211" s="838">
        <v>217.0</v>
      </c>
      <c r="B211" s="868" t="s">
        <v>1979</v>
      </c>
      <c r="C211" s="71"/>
      <c r="D211" s="833" t="s">
        <v>67</v>
      </c>
      <c r="E211" s="263" t="s">
        <v>509</v>
      </c>
      <c r="F211" s="860"/>
      <c r="G211" s="66" t="str">
        <f t="array" ref="G211">_xlfn.XLOOKUP(I211,' ivp'!S:S,#REF!)</f>
        <v>#N/A</v>
      </c>
      <c r="H211" s="868">
        <v>9.994716743E9</v>
      </c>
      <c r="I211" s="826" t="s">
        <v>1981</v>
      </c>
      <c r="J211" s="71" t="str">
        <f t="shared" si="1"/>
        <v>#REF!</v>
      </c>
      <c r="K211" s="71"/>
      <c r="L211" s="71"/>
      <c r="M211" s="71"/>
      <c r="N211" s="71"/>
    </row>
    <row r="212" ht="12.0" customHeight="1">
      <c r="A212" s="838">
        <v>218.0</v>
      </c>
      <c r="B212" s="73" t="s">
        <v>1983</v>
      </c>
      <c r="C212" s="71"/>
      <c r="D212" s="833" t="s">
        <v>67</v>
      </c>
      <c r="E212" s="263" t="s">
        <v>509</v>
      </c>
      <c r="F212" s="860"/>
      <c r="G212" s="66" t="str">
        <f t="array" ref="G212">_xlfn.XLOOKUP(I212,' ivp'!S:S,#REF!)</f>
        <v>#N/A</v>
      </c>
      <c r="H212" s="868">
        <v>7.401252411E9</v>
      </c>
      <c r="I212" s="826" t="s">
        <v>1985</v>
      </c>
      <c r="J212" s="71" t="str">
        <f t="shared" si="1"/>
        <v>#REF!</v>
      </c>
      <c r="K212" s="71"/>
      <c r="L212" s="71"/>
      <c r="M212" s="71"/>
      <c r="N212" s="71"/>
    </row>
    <row r="213" ht="12.0" customHeight="1">
      <c r="A213" s="838">
        <v>219.0</v>
      </c>
      <c r="B213" s="868" t="s">
        <v>1024</v>
      </c>
      <c r="C213" s="71"/>
      <c r="D213" s="833" t="s">
        <v>67</v>
      </c>
      <c r="E213" s="263" t="s">
        <v>509</v>
      </c>
      <c r="F213" s="860"/>
      <c r="G213" s="66" t="str">
        <f t="array" ref="G213">_xlfn.XLOOKUP(I213,' ivp'!S:S,#REF!)</f>
        <v>#N/A</v>
      </c>
      <c r="H213" s="868">
        <v>9.790341644E9</v>
      </c>
      <c r="I213" s="872" t="s">
        <v>896</v>
      </c>
      <c r="J213" s="71" t="str">
        <f t="shared" si="1"/>
        <v>#REF!</v>
      </c>
      <c r="K213" s="71"/>
      <c r="L213" s="71"/>
      <c r="M213" s="71"/>
      <c r="N213" s="71"/>
    </row>
    <row r="214" ht="12.0" customHeight="1">
      <c r="A214" s="838">
        <v>220.0</v>
      </c>
      <c r="B214" s="868" t="s">
        <v>1983</v>
      </c>
      <c r="C214" s="71"/>
      <c r="D214" s="833" t="s">
        <v>67</v>
      </c>
      <c r="E214" s="263" t="s">
        <v>509</v>
      </c>
      <c r="F214" s="860"/>
      <c r="G214" s="66" t="str">
        <f t="array" ref="G214">_xlfn.XLOOKUP(I214,' ivp'!S:S,#REF!)</f>
        <v>#N/A</v>
      </c>
      <c r="H214" s="868" t="s">
        <v>1991</v>
      </c>
      <c r="I214" s="874" t="s">
        <v>1992</v>
      </c>
      <c r="J214" s="71" t="str">
        <f t="shared" si="1"/>
        <v>#REF!</v>
      </c>
      <c r="K214" s="71"/>
      <c r="L214" s="71"/>
      <c r="M214" s="71"/>
      <c r="N214" s="71"/>
    </row>
    <row r="215" ht="12.0" customHeight="1">
      <c r="A215" s="838">
        <v>221.0</v>
      </c>
      <c r="B215" s="868" t="s">
        <v>1994</v>
      </c>
      <c r="C215" s="71"/>
      <c r="D215" s="833" t="s">
        <v>67</v>
      </c>
      <c r="E215" s="263" t="s">
        <v>509</v>
      </c>
      <c r="F215" s="877">
        <v>3.0</v>
      </c>
      <c r="G215" s="66" t="str">
        <f t="array" ref="G215">_xlfn.XLOOKUP(I215,' ivp'!S:S,#REF!)</f>
        <v>#N/A</v>
      </c>
      <c r="H215" s="868">
        <v>9.500194696E9</v>
      </c>
      <c r="I215" s="826" t="s">
        <v>864</v>
      </c>
      <c r="J215" s="71" t="str">
        <f t="shared" si="1"/>
        <v>#REF!</v>
      </c>
      <c r="K215" s="71"/>
      <c r="L215" s="71"/>
      <c r="M215" s="71"/>
      <c r="N215" s="71"/>
    </row>
    <row r="216" ht="12.0" customHeight="1">
      <c r="A216" s="838">
        <v>222.0</v>
      </c>
      <c r="B216" s="868" t="s">
        <v>518</v>
      </c>
      <c r="C216" s="71"/>
      <c r="D216" s="833" t="s">
        <v>67</v>
      </c>
      <c r="E216" s="263" t="s">
        <v>509</v>
      </c>
      <c r="F216" s="860"/>
      <c r="G216" s="66" t="str">
        <f t="array" ref="G216">_xlfn.XLOOKUP(I216,' ivp'!S:S,#REF!)</f>
        <v>#N/A</v>
      </c>
      <c r="H216" s="868">
        <v>9.84066326E9</v>
      </c>
      <c r="I216" s="826" t="s">
        <v>1063</v>
      </c>
      <c r="J216" s="71" t="str">
        <f t="shared" si="1"/>
        <v>#REF!</v>
      </c>
      <c r="K216" s="71"/>
      <c r="L216" s="71"/>
      <c r="M216" s="71"/>
      <c r="N216" s="73" t="s">
        <v>1999</v>
      </c>
    </row>
    <row r="217" ht="12.0" customHeight="1">
      <c r="A217" s="878">
        <v>223.0</v>
      </c>
      <c r="B217" s="879" t="s">
        <v>518</v>
      </c>
      <c r="C217" s="785"/>
      <c r="D217" s="880" t="s">
        <v>67</v>
      </c>
      <c r="E217" s="263" t="s">
        <v>509</v>
      </c>
      <c r="F217" s="881"/>
      <c r="G217" s="66" t="str">
        <f t="array" ref="G217">_xlfn.XLOOKUP(I217,' ivp'!S:S,#REF!)</f>
        <v>#N/A</v>
      </c>
      <c r="H217" s="882">
        <v>8.281665573E9</v>
      </c>
      <c r="I217" s="883" t="s">
        <v>2003</v>
      </c>
      <c r="J217" s="785" t="str">
        <f t="shared" si="1"/>
        <v>#REF!</v>
      </c>
      <c r="K217" s="785"/>
      <c r="L217" s="785"/>
      <c r="M217" s="785"/>
      <c r="N217" s="785"/>
      <c r="O217" s="885"/>
      <c r="P217" s="885"/>
      <c r="Q217" s="885"/>
      <c r="R217" s="885"/>
      <c r="S217" s="885"/>
      <c r="T217" s="885"/>
      <c r="U217" s="885"/>
      <c r="V217" s="885"/>
      <c r="W217" s="885"/>
      <c r="X217" s="885"/>
      <c r="Y217" s="885"/>
      <c r="Z217" s="885"/>
      <c r="AA217" s="885"/>
      <c r="AB217" s="885"/>
      <c r="AC217" s="885"/>
      <c r="AD217" s="885"/>
      <c r="AE217" s="885"/>
    </row>
    <row r="218" ht="12.0" customHeight="1">
      <c r="A218" s="838">
        <v>224.0</v>
      </c>
      <c r="B218" s="71"/>
      <c r="C218" s="71"/>
      <c r="D218" s="833" t="s">
        <v>67</v>
      </c>
      <c r="E218" s="263" t="s">
        <v>509</v>
      </c>
      <c r="F218" s="860"/>
      <c r="G218" s="66" t="str">
        <f t="array" ref="G218">_xlfn.XLOOKUP(I218,' ivp'!S:S,#REF!)</f>
        <v>#N/A</v>
      </c>
      <c r="H218" s="886">
        <v>9.344853567E9</v>
      </c>
      <c r="I218" s="887" t="s">
        <v>2006</v>
      </c>
      <c r="J218" s="71" t="str">
        <f t="shared" si="1"/>
        <v>#REF!</v>
      </c>
      <c r="K218" s="71"/>
      <c r="L218" s="71"/>
      <c r="M218" s="71"/>
      <c r="N218" s="71"/>
    </row>
    <row r="219" ht="12.0" customHeight="1">
      <c r="A219" s="838">
        <v>225.0</v>
      </c>
      <c r="B219" s="71"/>
      <c r="C219" s="71"/>
      <c r="D219" s="833" t="s">
        <v>67</v>
      </c>
      <c r="E219" s="263" t="s">
        <v>509</v>
      </c>
      <c r="F219" s="860"/>
      <c r="G219" s="66" t="str">
        <f t="array" ref="G219">_xlfn.XLOOKUP(I219,' ivp'!S:S,#REF!)</f>
        <v>#N/A</v>
      </c>
      <c r="H219" s="886">
        <v>9.944234657E9</v>
      </c>
      <c r="I219" s="887" t="s">
        <v>2006</v>
      </c>
      <c r="J219" s="71" t="str">
        <f t="shared" si="1"/>
        <v>#REF!</v>
      </c>
      <c r="K219" s="71"/>
      <c r="L219" s="71"/>
      <c r="M219" s="71"/>
      <c r="N219" s="71"/>
    </row>
    <row r="220" ht="12.0" customHeight="1">
      <c r="A220" s="838">
        <v>226.0</v>
      </c>
      <c r="B220" s="71"/>
      <c r="C220" s="71"/>
      <c r="D220" s="833" t="s">
        <v>67</v>
      </c>
      <c r="E220" s="263" t="s">
        <v>509</v>
      </c>
      <c r="F220" s="860"/>
      <c r="G220" s="66" t="str">
        <f t="array" ref="G220">_xlfn.XLOOKUP(I220,' ivp'!S:S,#REF!)</f>
        <v>#N/A</v>
      </c>
      <c r="H220" s="886">
        <v>8.122980305E9</v>
      </c>
      <c r="I220" s="887" t="s">
        <v>2006</v>
      </c>
      <c r="J220" s="71" t="str">
        <f t="shared" si="1"/>
        <v>#REF!</v>
      </c>
      <c r="K220" s="71"/>
      <c r="L220" s="71"/>
      <c r="M220" s="71"/>
      <c r="N220" s="71"/>
    </row>
    <row r="221" ht="33.75" customHeight="1">
      <c r="A221" s="838">
        <v>227.0</v>
      </c>
      <c r="B221" s="890" t="s">
        <v>1043</v>
      </c>
      <c r="C221" s="71"/>
      <c r="D221" s="833" t="s">
        <v>67</v>
      </c>
      <c r="E221" s="263" t="s">
        <v>509</v>
      </c>
      <c r="F221" s="860"/>
      <c r="G221" s="66" t="str">
        <f t="array" ref="G221">_xlfn.XLOOKUP(I221,' ivp'!S:S,#REF!)</f>
        <v>#N/A</v>
      </c>
      <c r="H221" s="891">
        <v>7.305494413E9</v>
      </c>
      <c r="I221" s="892" t="s">
        <v>908</v>
      </c>
      <c r="J221" s="71" t="str">
        <f t="shared" si="1"/>
        <v>#REF!</v>
      </c>
      <c r="K221" s="71"/>
      <c r="L221" s="71"/>
      <c r="M221" s="71"/>
      <c r="N221" s="71"/>
    </row>
    <row r="222" ht="12.0" customHeight="1">
      <c r="A222" s="838">
        <v>228.0</v>
      </c>
      <c r="B222" s="839" t="s">
        <v>1075</v>
      </c>
      <c r="C222" s="840"/>
      <c r="D222" s="833" t="s">
        <v>67</v>
      </c>
      <c r="E222" s="263" t="s">
        <v>509</v>
      </c>
      <c r="F222" s="841"/>
      <c r="G222" s="66" t="str">
        <f t="array" ref="G222">_xlfn.XLOOKUP(I222,' ivp'!S:S,#REF!)</f>
        <v>#N/A</v>
      </c>
      <c r="H222" s="899">
        <v>9.361455523E9</v>
      </c>
      <c r="I222" s="901" t="s">
        <v>2019</v>
      </c>
      <c r="J222" s="844"/>
      <c r="K222" s="844"/>
      <c r="L222" s="845"/>
      <c r="M222" s="845"/>
      <c r="N222" s="845"/>
    </row>
    <row r="223" ht="12.0" hidden="1" customHeight="1">
      <c r="A223" s="860"/>
      <c r="B223" s="71"/>
      <c r="C223" s="71"/>
      <c r="D223" s="71"/>
      <c r="E223" s="71"/>
      <c r="F223" s="860"/>
      <c r="G223" s="66" t="str">
        <f t="array" ref="G223">_xlfn.XLOOKUP(I223,' ivp'!S:S,#REF!)</f>
        <v>#N/A</v>
      </c>
      <c r="H223" s="886"/>
      <c r="I223" s="902"/>
      <c r="J223" s="71"/>
      <c r="K223" s="71"/>
      <c r="L223" s="71"/>
      <c r="M223" s="71"/>
      <c r="N223" s="71"/>
    </row>
    <row r="224" ht="12.0" hidden="1" customHeight="1">
      <c r="A224" s="860"/>
      <c r="B224" s="71"/>
      <c r="C224" s="71"/>
      <c r="D224" s="71"/>
      <c r="E224" s="71"/>
      <c r="F224" s="860"/>
      <c r="G224" s="66" t="str">
        <f t="array" ref="G224">_xlfn.XLOOKUP(I224,' ivp'!S:S,#REF!)</f>
        <v>#N/A</v>
      </c>
      <c r="H224" s="886"/>
      <c r="I224" s="869"/>
      <c r="J224" s="71"/>
      <c r="K224" s="71"/>
      <c r="L224" s="71"/>
      <c r="M224" s="71"/>
      <c r="N224" s="71"/>
    </row>
    <row r="225" ht="12.0" hidden="1" customHeight="1">
      <c r="A225" s="860"/>
      <c r="B225" s="71"/>
      <c r="C225" s="71"/>
      <c r="D225" s="71"/>
      <c r="E225" s="71"/>
      <c r="F225" s="860"/>
      <c r="G225" s="66" t="str">
        <f t="array" ref="G225">_xlfn.XLOOKUP(I225,' ivp'!S:S,#REF!)</f>
        <v>#N/A</v>
      </c>
      <c r="H225" s="886"/>
      <c r="I225" s="869"/>
      <c r="J225" s="71"/>
      <c r="K225" s="71"/>
      <c r="L225" s="71"/>
      <c r="M225" s="71"/>
      <c r="N225" s="71"/>
    </row>
    <row r="226" ht="12.0" customHeight="1">
      <c r="H226" s="903"/>
      <c r="I226" s="904">
        <f>COUNTIFS(J2:J203, "&lt;&gt;#N/A", J2:J203, "&lt;&gt;")
</f>
        <v>202</v>
      </c>
    </row>
    <row r="227" ht="12.0" customHeight="1">
      <c r="H227" s="903"/>
    </row>
    <row r="228" ht="12.0" customHeight="1">
      <c r="I228" s="904">
        <f>COUNTIFS(K2:K203, "&lt;&gt;#N/A", K2:K203, "&lt;&gt;")
</f>
        <v>49</v>
      </c>
    </row>
    <row r="229" ht="12.0" customHeight="1">
      <c r="H229" s="911" t="s">
        <v>402</v>
      </c>
    </row>
    <row r="230" ht="12.0" customHeight="1"/>
    <row r="231" ht="12.0" customHeight="1"/>
    <row r="232" ht="12.0" customHeight="1"/>
  </sheetData>
  <mergeCells count="1">
    <mergeCell ref="O8:Q12"/>
  </mergeCells>
  <dataValidations>
    <dataValidation type="custom" allowBlank="1" showDropDown="1" sqref="A2:A225 F2:F225">
      <formula1>AND(ISNUMBER(A2),(NOT(OR(NOT(ISERROR(DATEVALUE(A2))), AND(ISNUMBER(A2), LEFT(CELL("format", A2))="D")))))</formula1>
    </dataValidation>
  </dataValidations>
  <hyperlinks>
    <hyperlink r:id="rId1" ref="K167"/>
  </hyperlinks>
  <printOptions/>
  <pageMargins bottom="0.75" footer="0.0" header="0.0" left="0.7" right="0.7" top="0.75"/>
  <pageSetup orientation="landscape"/>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7" width="23.88"/>
  </cols>
  <sheetData>
    <row r="1" ht="22.5" customHeight="1">
      <c r="A1" s="10" t="s">
        <v>7</v>
      </c>
      <c r="B1" s="10" t="s">
        <v>17</v>
      </c>
      <c r="C1" s="10" t="s">
        <v>20</v>
      </c>
      <c r="D1" s="10" t="s">
        <v>22</v>
      </c>
      <c r="E1" s="10" t="s">
        <v>24</v>
      </c>
      <c r="F1" s="10" t="s">
        <v>26</v>
      </c>
      <c r="G1" s="10" t="s">
        <v>28</v>
      </c>
      <c r="H1" s="14"/>
      <c r="I1" s="14"/>
      <c r="J1" s="14"/>
      <c r="K1" s="14"/>
      <c r="L1" s="14"/>
      <c r="M1" s="14"/>
    </row>
    <row r="2" ht="22.5" customHeight="1">
      <c r="A2" s="16"/>
      <c r="B2" s="28" t="str">
        <f t="array" ref="B2">_xlfn.XLOOKUP(C2,Table1_2[TEAMID],Table1_2[`])</f>
        <v>#N/A</v>
      </c>
      <c r="C2" s="16" t="s">
        <v>40</v>
      </c>
      <c r="D2" s="16" t="s">
        <v>41</v>
      </c>
      <c r="E2" s="39">
        <v>9.940432697E9</v>
      </c>
      <c r="F2" s="16" t="s">
        <v>53</v>
      </c>
      <c r="G2" s="51" t="s">
        <v>56</v>
      </c>
      <c r="H2" s="14"/>
      <c r="I2" s="14"/>
      <c r="J2" s="14"/>
      <c r="K2" s="14"/>
      <c r="L2" s="14"/>
      <c r="M2" s="14"/>
    </row>
    <row r="3" ht="22.5" customHeight="1">
      <c r="A3" s="55"/>
      <c r="B3" s="28" t="str">
        <f t="array" ref="B3">_xlfn.XLOOKUP(C3,Table1_2[TEAMID],Table1_2[`])</f>
        <v>#N/A</v>
      </c>
      <c r="C3" s="55" t="s">
        <v>73</v>
      </c>
      <c r="D3" s="55" t="s">
        <v>74</v>
      </c>
      <c r="E3" s="64">
        <v>8.608487249E9</v>
      </c>
      <c r="F3" s="55" t="s">
        <v>76</v>
      </c>
      <c r="G3" s="72" t="s">
        <v>78</v>
      </c>
      <c r="H3" s="14"/>
      <c r="I3" s="14"/>
      <c r="J3" s="14"/>
      <c r="K3" s="14"/>
      <c r="L3" s="14"/>
      <c r="M3" s="14"/>
    </row>
    <row r="4" ht="22.5" customHeight="1">
      <c r="A4" s="16"/>
      <c r="B4" s="76">
        <f t="array" ref="B4">_xlfn.XLOOKUP(C4,Table1_2[TEAMID],Table1_2[`])</f>
        <v>144</v>
      </c>
      <c r="C4" s="16" t="s">
        <v>99</v>
      </c>
      <c r="D4" s="16" t="s">
        <v>101</v>
      </c>
      <c r="E4" s="39">
        <v>9.791005395E9</v>
      </c>
      <c r="F4" s="16" t="s">
        <v>105</v>
      </c>
      <c r="G4" s="51" t="s">
        <v>107</v>
      </c>
      <c r="H4" s="14"/>
      <c r="I4" s="14"/>
      <c r="J4" s="14"/>
      <c r="K4" s="14"/>
      <c r="L4" s="14"/>
      <c r="M4" s="14"/>
    </row>
    <row r="5" ht="22.5" customHeight="1">
      <c r="A5" s="55"/>
      <c r="B5" s="76">
        <f t="array" ref="B5">_xlfn.XLOOKUP(C5,Table1_2[TEAMID],Table1_2[`])</f>
        <v>145</v>
      </c>
      <c r="C5" s="55" t="s">
        <v>117</v>
      </c>
      <c r="D5" s="55" t="s">
        <v>119</v>
      </c>
      <c r="E5" s="64">
        <v>9.79163837E9</v>
      </c>
      <c r="F5" s="55" t="s">
        <v>120</v>
      </c>
      <c r="G5" s="72" t="s">
        <v>121</v>
      </c>
      <c r="H5" s="14"/>
      <c r="I5" s="14"/>
      <c r="J5" s="14"/>
      <c r="K5" s="14"/>
      <c r="L5" s="14"/>
      <c r="M5" s="14"/>
    </row>
    <row r="6" ht="22.5" customHeight="1">
      <c r="A6" s="55"/>
      <c r="B6" s="76">
        <f t="array" ref="B6">_xlfn.XLOOKUP(C6,Table1_2[TEAMID],Table1_2[`])</f>
        <v>114</v>
      </c>
      <c r="C6" s="55" t="s">
        <v>135</v>
      </c>
      <c r="D6" s="55" t="s">
        <v>136</v>
      </c>
      <c r="E6" s="64">
        <v>9.600407657E9</v>
      </c>
      <c r="F6" s="55" t="s">
        <v>139</v>
      </c>
      <c r="G6" s="72" t="s">
        <v>140</v>
      </c>
      <c r="H6" s="14"/>
      <c r="I6" s="14"/>
      <c r="J6" s="14"/>
      <c r="K6" s="14"/>
      <c r="L6" s="14"/>
      <c r="M6" s="14"/>
    </row>
    <row r="7" ht="22.5" customHeight="1">
      <c r="A7" s="55"/>
      <c r="B7" s="76">
        <f t="array" ref="B7">_xlfn.XLOOKUP(C7,Table1_2[TEAMID],Table1_2[`])</f>
        <v>16</v>
      </c>
      <c r="C7" s="55" t="s">
        <v>151</v>
      </c>
      <c r="D7" s="55" t="s">
        <v>154</v>
      </c>
      <c r="E7" s="64">
        <v>7.397252915E9</v>
      </c>
      <c r="F7" s="55" t="s">
        <v>155</v>
      </c>
      <c r="G7" s="72" t="s">
        <v>156</v>
      </c>
      <c r="H7" s="14"/>
      <c r="I7" s="14"/>
      <c r="J7" s="14"/>
      <c r="K7" s="14"/>
      <c r="L7" s="14"/>
      <c r="M7" s="14"/>
    </row>
    <row r="8" ht="22.5" customHeight="1">
      <c r="A8" s="16"/>
      <c r="B8" s="76">
        <f t="array" ref="B8">_xlfn.XLOOKUP(C8,Table1_2[TEAMID],Table1_2[`])</f>
        <v>136</v>
      </c>
      <c r="C8" s="16" t="s">
        <v>170</v>
      </c>
      <c r="D8" s="16" t="s">
        <v>171</v>
      </c>
      <c r="E8" s="39">
        <v>9.384233122E9</v>
      </c>
      <c r="F8" s="16" t="s">
        <v>175</v>
      </c>
      <c r="G8" s="51" t="s">
        <v>177</v>
      </c>
      <c r="H8" s="14"/>
      <c r="I8" s="14"/>
      <c r="J8" s="14"/>
      <c r="K8" s="14"/>
      <c r="L8" s="14"/>
      <c r="M8" s="14"/>
    </row>
    <row r="9" ht="22.5" customHeight="1">
      <c r="A9" s="55"/>
      <c r="B9" s="76">
        <f t="array" ref="B9">_xlfn.XLOOKUP(C9,Table1_2[TEAMID],Table1_2[`])</f>
        <v>23</v>
      </c>
      <c r="C9" s="55" t="s">
        <v>189</v>
      </c>
      <c r="D9" s="55" t="s">
        <v>192</v>
      </c>
      <c r="E9" s="113">
        <v>9.361054415E9</v>
      </c>
      <c r="F9" s="55" t="s">
        <v>196</v>
      </c>
      <c r="G9" s="72" t="s">
        <v>197</v>
      </c>
      <c r="H9" s="14"/>
      <c r="I9" s="14"/>
      <c r="J9" s="14"/>
      <c r="K9" s="14"/>
      <c r="L9" s="14"/>
      <c r="M9" s="14"/>
    </row>
    <row r="10" ht="22.5" customHeight="1">
      <c r="A10" s="71"/>
      <c r="B10" s="76">
        <f t="array" ref="B10">_xlfn.XLOOKUP(C10,Table1_2[TEAMID],Table1_2[`])</f>
        <v>104</v>
      </c>
      <c r="C10" s="73" t="s">
        <v>208</v>
      </c>
      <c r="D10" s="71" t="s">
        <v>210</v>
      </c>
      <c r="E10" s="73">
        <v>7.845127728E9</v>
      </c>
      <c r="F10" s="71" t="s">
        <v>211</v>
      </c>
      <c r="G10" s="96" t="s">
        <v>213</v>
      </c>
      <c r="H10" s="14"/>
      <c r="I10" s="14"/>
      <c r="J10" s="14"/>
      <c r="K10" s="14"/>
      <c r="L10" s="14"/>
      <c r="M10" s="14"/>
    </row>
    <row r="11" ht="22.5" customHeight="1">
      <c r="A11" s="16"/>
      <c r="B11" s="28" t="str">
        <f t="array" ref="B11">_xlfn.XLOOKUP(C11,Table1_2[TEAMID],Table1_2[`])</f>
        <v>#N/A</v>
      </c>
      <c r="C11" s="16" t="s">
        <v>222</v>
      </c>
      <c r="D11" s="16" t="s">
        <v>224</v>
      </c>
      <c r="E11" s="39">
        <v>6.380568055E9</v>
      </c>
      <c r="F11" s="16" t="s">
        <v>225</v>
      </c>
      <c r="G11" s="51" t="s">
        <v>226</v>
      </c>
      <c r="H11" s="14"/>
      <c r="I11" s="14"/>
      <c r="J11" s="14"/>
      <c r="K11" s="14"/>
      <c r="L11" s="14"/>
      <c r="M11" s="14"/>
    </row>
    <row r="12" ht="22.5" customHeight="1">
      <c r="A12" s="16"/>
      <c r="B12" s="28" t="str">
        <f t="array" ref="B12">_xlfn.XLOOKUP(C12,Table1_2[TEAMID],Table1_2[`])</f>
        <v>#N/A</v>
      </c>
      <c r="C12" s="16" t="s">
        <v>233</v>
      </c>
      <c r="D12" s="16" t="s">
        <v>234</v>
      </c>
      <c r="E12" s="39">
        <v>9.344599054E9</v>
      </c>
      <c r="F12" s="16" t="s">
        <v>237</v>
      </c>
      <c r="G12" s="51" t="s">
        <v>239</v>
      </c>
      <c r="H12" s="14"/>
      <c r="I12" s="14"/>
      <c r="J12" s="14"/>
      <c r="K12" s="14"/>
      <c r="L12" s="14"/>
      <c r="M12" s="14"/>
    </row>
    <row r="13" ht="22.5" customHeight="1">
      <c r="A13" s="16"/>
      <c r="B13" s="76">
        <f t="array" ref="B13">_xlfn.XLOOKUP(C13,Table1_2[TEAMID],Table1_2[`])</f>
        <v>200</v>
      </c>
      <c r="C13" s="16" t="s">
        <v>248</v>
      </c>
      <c r="D13" s="16" t="s">
        <v>249</v>
      </c>
      <c r="E13" s="39">
        <v>9.962764646E9</v>
      </c>
      <c r="F13" s="16" t="s">
        <v>252</v>
      </c>
      <c r="G13" s="51" t="s">
        <v>253</v>
      </c>
      <c r="H13" s="14"/>
      <c r="I13" s="14"/>
      <c r="J13" s="14"/>
      <c r="K13" s="14"/>
      <c r="L13" s="14"/>
      <c r="M13" s="14"/>
    </row>
    <row r="14" ht="22.5" customHeight="1">
      <c r="A14" s="55"/>
      <c r="B14" s="76">
        <f t="array" ref="B14">_xlfn.XLOOKUP(C14,Table1_2[TEAMID],Table1_2[`])</f>
        <v>160</v>
      </c>
      <c r="C14" s="55" t="s">
        <v>168</v>
      </c>
      <c r="D14" s="55" t="s">
        <v>264</v>
      </c>
      <c r="E14" s="64">
        <v>6.382396276E9</v>
      </c>
      <c r="F14" s="55" t="s">
        <v>158</v>
      </c>
      <c r="G14" s="72" t="s">
        <v>266</v>
      </c>
      <c r="H14" s="14"/>
      <c r="I14" s="14"/>
      <c r="J14" s="14"/>
      <c r="K14" s="14"/>
      <c r="L14" s="14"/>
      <c r="M14" s="14"/>
    </row>
    <row r="15" ht="22.5" customHeight="1">
      <c r="A15" s="16"/>
      <c r="B15" s="76">
        <f t="array" ref="B15">_xlfn.XLOOKUP(C15,Table1_2[TEAMID],Table1_2[`])</f>
        <v>5</v>
      </c>
      <c r="C15" s="16" t="s">
        <v>278</v>
      </c>
      <c r="D15" s="16" t="s">
        <v>279</v>
      </c>
      <c r="E15" s="39">
        <v>7.200939492E9</v>
      </c>
      <c r="F15" s="16" t="s">
        <v>282</v>
      </c>
      <c r="G15" s="51" t="s">
        <v>284</v>
      </c>
      <c r="H15" s="14"/>
      <c r="I15" s="14"/>
      <c r="J15" s="14"/>
      <c r="K15" s="14"/>
      <c r="L15" s="14"/>
      <c r="M15" s="14"/>
    </row>
    <row r="16" ht="22.5" customHeight="1">
      <c r="A16" s="55"/>
      <c r="B16" s="76">
        <f t="array" ref="B16">_xlfn.XLOOKUP(C16,Table1_2[TEAMID],Table1_2[`])</f>
        <v>44</v>
      </c>
      <c r="C16" s="55" t="s">
        <v>293</v>
      </c>
      <c r="D16" s="55" t="s">
        <v>294</v>
      </c>
      <c r="E16" s="64">
        <v>9.042871766E9</v>
      </c>
      <c r="F16" s="55" t="s">
        <v>296</v>
      </c>
      <c r="G16" s="72" t="s">
        <v>297</v>
      </c>
      <c r="H16" s="14"/>
      <c r="I16" s="14"/>
      <c r="J16" s="14"/>
      <c r="K16" s="14"/>
      <c r="L16" s="14"/>
      <c r="M16" s="14"/>
    </row>
    <row r="17" ht="22.5" customHeight="1">
      <c r="A17" s="71"/>
      <c r="B17" s="76">
        <f t="array" ref="B17">_xlfn.XLOOKUP(C17,Table1_2[TEAMID],Table1_2[`])</f>
        <v>148</v>
      </c>
      <c r="C17" s="71" t="s">
        <v>108</v>
      </c>
      <c r="D17" s="71" t="s">
        <v>308</v>
      </c>
      <c r="E17" s="71">
        <v>7.30549974E9</v>
      </c>
      <c r="F17" s="71" t="s">
        <v>309</v>
      </c>
      <c r="G17" s="96" t="s">
        <v>310</v>
      </c>
      <c r="H17" s="14"/>
      <c r="I17" s="14"/>
      <c r="J17" s="14"/>
      <c r="K17" s="14"/>
      <c r="L17" s="14"/>
      <c r="M17" s="14"/>
    </row>
    <row r="18" ht="22.5" customHeight="1">
      <c r="A18" s="71"/>
      <c r="B18" s="76">
        <f t="array" ref="B18">_xlfn.XLOOKUP(C18,Table1_2[TEAMID],Table1_2[`])</f>
        <v>67</v>
      </c>
      <c r="C18" s="71" t="s">
        <v>314</v>
      </c>
      <c r="D18" s="71" t="s">
        <v>315</v>
      </c>
      <c r="E18" s="71">
        <v>8.438646623E9</v>
      </c>
      <c r="F18" s="71" t="s">
        <v>317</v>
      </c>
      <c r="G18" s="96" t="s">
        <v>318</v>
      </c>
      <c r="H18" s="14"/>
      <c r="I18" s="14"/>
      <c r="J18" s="14"/>
      <c r="K18" s="14"/>
      <c r="L18" s="14"/>
      <c r="M18" s="14"/>
    </row>
    <row r="19" ht="22.5" customHeight="1">
      <c r="A19" s="71"/>
      <c r="B19" s="76">
        <f t="array" ref="B19">_xlfn.XLOOKUP(C19,Table1_2[TEAMID],Table1_2[`])</f>
        <v>78</v>
      </c>
      <c r="C19" s="71" t="s">
        <v>322</v>
      </c>
      <c r="D19" s="71" t="s">
        <v>323</v>
      </c>
      <c r="E19" s="71">
        <v>9.342579223E9</v>
      </c>
      <c r="F19" s="71" t="s">
        <v>324</v>
      </c>
      <c r="G19" s="96" t="s">
        <v>327</v>
      </c>
      <c r="H19" s="14"/>
      <c r="I19" s="14"/>
      <c r="J19" s="14"/>
      <c r="K19" s="14"/>
      <c r="L19" s="14"/>
      <c r="M19" s="14"/>
    </row>
    <row r="20" ht="22.5" customHeight="1">
      <c r="A20" s="71"/>
      <c r="B20" s="76">
        <f t="array" ref="B20">_xlfn.XLOOKUP(C20,Table1_2[TEAMID],Table1_2[`])</f>
        <v>119</v>
      </c>
      <c r="C20" s="71" t="s">
        <v>161</v>
      </c>
      <c r="D20" s="71" t="s">
        <v>332</v>
      </c>
      <c r="E20" s="71">
        <v>9.176435615E9</v>
      </c>
      <c r="F20" s="71" t="s">
        <v>334</v>
      </c>
      <c r="G20" s="96" t="s">
        <v>335</v>
      </c>
      <c r="H20" s="14"/>
      <c r="I20" s="14"/>
      <c r="J20" s="14"/>
      <c r="K20" s="14"/>
      <c r="L20" s="14"/>
      <c r="M20" s="14"/>
    </row>
    <row r="21" ht="22.5" customHeight="1">
      <c r="A21" s="195"/>
      <c r="B21" s="76">
        <f t="array" ref="B21">_xlfn.XLOOKUP(C21,Table1_2[TEAMID],Table1_2[`])</f>
        <v>39</v>
      </c>
      <c r="C21" s="197" t="s">
        <v>126</v>
      </c>
      <c r="D21" s="197" t="s">
        <v>341</v>
      </c>
      <c r="E21" s="197">
        <v>7.708365986E9</v>
      </c>
      <c r="F21" s="197" t="s">
        <v>342</v>
      </c>
      <c r="G21" s="200" t="s">
        <v>343</v>
      </c>
      <c r="H21" s="201"/>
      <c r="I21" s="14"/>
      <c r="J21" s="14"/>
      <c r="K21" s="14"/>
      <c r="L21" s="14"/>
      <c r="M21" s="14"/>
    </row>
    <row r="22" ht="22.5" customHeight="1">
      <c r="A22" s="202"/>
      <c r="B22" s="76">
        <f t="array" ref="B22">_xlfn.XLOOKUP(C22,Table1_2[TEAMID],Table1_2[`])</f>
        <v>151</v>
      </c>
      <c r="C22" s="204" t="s">
        <v>350</v>
      </c>
      <c r="D22" s="204" t="s">
        <v>351</v>
      </c>
      <c r="E22" s="205">
        <v>7.339096185E9</v>
      </c>
      <c r="F22" s="204" t="s">
        <v>352</v>
      </c>
      <c r="G22" s="206" t="s">
        <v>353</v>
      </c>
      <c r="H22" s="207"/>
      <c r="I22" s="14"/>
      <c r="J22" s="14"/>
      <c r="K22" s="14"/>
      <c r="L22" s="14"/>
      <c r="M22" s="14"/>
    </row>
    <row r="23" ht="22.5" customHeight="1">
      <c r="A23" s="208"/>
      <c r="B23" s="76">
        <f t="array" ref="B23">_xlfn.XLOOKUP(C23,Table1_2[TEAMID],Table1_2[`])</f>
        <v>156</v>
      </c>
      <c r="C23" s="210" t="s">
        <v>361</v>
      </c>
      <c r="D23" s="210" t="s">
        <v>364</v>
      </c>
      <c r="E23" s="210">
        <v>7.200806009E9</v>
      </c>
      <c r="F23" s="210" t="s">
        <v>367</v>
      </c>
      <c r="G23" s="214" t="s">
        <v>368</v>
      </c>
      <c r="H23" s="207"/>
      <c r="I23" s="14"/>
      <c r="J23" s="14"/>
      <c r="K23" s="14"/>
      <c r="L23" s="14"/>
      <c r="M23" s="14"/>
    </row>
    <row r="24" ht="22.5" customHeight="1">
      <c r="A24" s="195"/>
      <c r="B24" s="76">
        <f t="array" ref="B24">_xlfn.XLOOKUP(C24,Table1_2[TEAMID],Table1_2[`])</f>
        <v>120</v>
      </c>
      <c r="C24" s="197" t="s">
        <v>372</v>
      </c>
      <c r="D24" s="197" t="s">
        <v>373</v>
      </c>
      <c r="E24" s="197">
        <v>9.150109948E9</v>
      </c>
      <c r="F24" s="197" t="s">
        <v>375</v>
      </c>
      <c r="G24" s="200" t="s">
        <v>376</v>
      </c>
      <c r="H24" s="201"/>
      <c r="I24" s="14"/>
      <c r="J24" s="14"/>
      <c r="K24" s="14"/>
      <c r="L24" s="14"/>
      <c r="M24" s="14"/>
    </row>
    <row r="25" ht="22.5" customHeight="1">
      <c r="A25" s="208"/>
      <c r="B25" s="76">
        <f t="array" ref="B25">_xlfn.XLOOKUP(C25,Table1_2[TEAMID],Table1_2[`])</f>
        <v>20</v>
      </c>
      <c r="C25" s="210" t="s">
        <v>374</v>
      </c>
      <c r="D25" s="210" t="s">
        <v>383</v>
      </c>
      <c r="E25" s="210">
        <v>8.01537575E9</v>
      </c>
      <c r="F25" s="210" t="s">
        <v>386</v>
      </c>
      <c r="G25" s="214" t="s">
        <v>387</v>
      </c>
      <c r="H25" s="225"/>
      <c r="I25" s="14"/>
      <c r="J25" s="14"/>
      <c r="K25" s="14"/>
      <c r="L25" s="14"/>
      <c r="M25" s="14"/>
    </row>
    <row r="26" ht="22.5" customHeight="1">
      <c r="A26" s="195"/>
      <c r="B26" s="76">
        <f t="array" ref="B26">_xlfn.XLOOKUP(C26,Table1_2[TEAMID],Table1_2[`])</f>
        <v>109</v>
      </c>
      <c r="C26" s="226" t="s">
        <v>299</v>
      </c>
      <c r="D26" s="197" t="s">
        <v>400</v>
      </c>
      <c r="E26" s="226">
        <v>9.380184164E9</v>
      </c>
      <c r="F26" s="197" t="s">
        <v>404</v>
      </c>
      <c r="G26" s="200" t="s">
        <v>406</v>
      </c>
      <c r="H26" s="201"/>
      <c r="I26" s="14"/>
      <c r="J26" s="14"/>
      <c r="K26" s="14"/>
      <c r="L26" s="14"/>
      <c r="M26" s="14"/>
    </row>
    <row r="27" ht="22.5" customHeight="1">
      <c r="A27" s="208"/>
      <c r="B27" s="76">
        <f t="array" ref="B27">_xlfn.XLOOKUP(C27,Table1_2[TEAMID],Table1_2[`])</f>
        <v>82</v>
      </c>
      <c r="C27" s="210" t="s">
        <v>409</v>
      </c>
      <c r="D27" s="210" t="s">
        <v>411</v>
      </c>
      <c r="E27" s="210">
        <v>8.807506879E9</v>
      </c>
      <c r="F27" s="210" t="s">
        <v>414</v>
      </c>
      <c r="G27" s="214" t="s">
        <v>415</v>
      </c>
      <c r="H27" s="230"/>
      <c r="I27" s="14"/>
      <c r="J27" s="14"/>
      <c r="K27" s="14"/>
      <c r="L27" s="14"/>
      <c r="M27" s="14"/>
    </row>
    <row r="28" ht="22.5" customHeight="1">
      <c r="A28" s="232"/>
      <c r="B28" s="76">
        <f t="array" ref="B28">_xlfn.XLOOKUP(C28,Table1_2[TEAMID],Table1_2[`])</f>
        <v>115</v>
      </c>
      <c r="C28" s="233" t="s">
        <v>421</v>
      </c>
      <c r="D28" s="233" t="s">
        <v>422</v>
      </c>
      <c r="E28" s="237">
        <v>9.042934637E9</v>
      </c>
      <c r="F28" s="233" t="s">
        <v>426</v>
      </c>
      <c r="G28" s="242" t="s">
        <v>427</v>
      </c>
      <c r="H28" s="201"/>
      <c r="I28" s="14"/>
      <c r="J28" s="14"/>
      <c r="K28" s="14"/>
      <c r="L28" s="14"/>
      <c r="M28" s="14"/>
    </row>
    <row r="29" ht="22.5" customHeight="1">
      <c r="A29" s="243"/>
      <c r="B29" s="76">
        <f t="array" ref="B29">_xlfn.XLOOKUP(C29,Table1_2[TEAMID],Table1_2[`])</f>
        <v>177</v>
      </c>
      <c r="C29" s="244" t="s">
        <v>438</v>
      </c>
      <c r="D29" s="244" t="s">
        <v>439</v>
      </c>
      <c r="E29" s="245">
        <v>9.952401398E9</v>
      </c>
      <c r="F29" s="244" t="s">
        <v>444</v>
      </c>
      <c r="G29" s="248" t="s">
        <v>446</v>
      </c>
      <c r="H29" s="207"/>
      <c r="I29" s="14"/>
      <c r="J29" s="14"/>
      <c r="K29" s="14"/>
      <c r="L29" s="14"/>
      <c r="M29" s="14"/>
    </row>
    <row r="30" ht="22.5" customHeight="1">
      <c r="A30" s="232"/>
      <c r="B30" s="76">
        <f t="array" ref="B30">_xlfn.XLOOKUP(C30,Table1_2[TEAMID],Table1_2[`])</f>
        <v>93</v>
      </c>
      <c r="C30" s="233" t="s">
        <v>454</v>
      </c>
      <c r="D30" s="233" t="s">
        <v>458</v>
      </c>
      <c r="E30" s="237">
        <v>7.539960504E9</v>
      </c>
      <c r="F30" s="233" t="s">
        <v>459</v>
      </c>
      <c r="G30" s="242" t="s">
        <v>461</v>
      </c>
      <c r="H30" s="201"/>
      <c r="I30" s="14"/>
      <c r="J30" s="14"/>
      <c r="K30" s="14"/>
      <c r="L30" s="14"/>
      <c r="M30" s="14"/>
    </row>
    <row r="31" ht="22.5" customHeight="1">
      <c r="A31" s="208"/>
      <c r="B31" s="76">
        <f t="array" ref="B31">_xlfn.XLOOKUP(C31,Table1_2[TEAMID],Table1_2[`])</f>
        <v>146</v>
      </c>
      <c r="C31" s="210" t="s">
        <v>469</v>
      </c>
      <c r="D31" s="210" t="s">
        <v>471</v>
      </c>
      <c r="E31" s="210">
        <v>6.38133723E9</v>
      </c>
      <c r="F31" s="210" t="s">
        <v>474</v>
      </c>
      <c r="G31" s="214" t="s">
        <v>476</v>
      </c>
      <c r="H31" s="230"/>
      <c r="I31" s="14"/>
      <c r="J31" s="14"/>
      <c r="K31" s="14"/>
      <c r="L31" s="14"/>
      <c r="M31" s="14"/>
    </row>
    <row r="32" ht="22.5" customHeight="1">
      <c r="A32" s="256"/>
      <c r="B32" s="76">
        <f t="array" ref="B32">_xlfn.XLOOKUP(C32,Table1_2[TEAMID],Table1_2[`])</f>
        <v>37</v>
      </c>
      <c r="C32" s="258" t="s">
        <v>484</v>
      </c>
      <c r="D32" s="258" t="s">
        <v>485</v>
      </c>
      <c r="E32" s="259">
        <v>8.148232205E9</v>
      </c>
      <c r="F32" s="258" t="s">
        <v>488</v>
      </c>
      <c r="G32" s="260" t="s">
        <v>491</v>
      </c>
      <c r="H32" s="201"/>
      <c r="I32" s="14"/>
      <c r="J32" s="14"/>
      <c r="K32" s="14"/>
      <c r="L32" s="14"/>
      <c r="M32" s="14"/>
    </row>
    <row r="33" ht="22.5" customHeight="1">
      <c r="A33" s="208"/>
      <c r="B33" s="76">
        <f t="array" ref="B33">_xlfn.XLOOKUP(C33,Table1_2[TEAMID],Table1_2[`])</f>
        <v>165</v>
      </c>
      <c r="C33" s="210" t="s">
        <v>499</v>
      </c>
      <c r="D33" s="210" t="s">
        <v>501</v>
      </c>
      <c r="E33" s="210">
        <v>9.99490469E9</v>
      </c>
      <c r="F33" s="210" t="s">
        <v>503</v>
      </c>
      <c r="G33" s="214" t="s">
        <v>505</v>
      </c>
      <c r="H33" s="230"/>
      <c r="I33" s="14"/>
      <c r="J33" s="14"/>
      <c r="K33" s="14"/>
      <c r="L33" s="14"/>
      <c r="M33" s="14"/>
    </row>
    <row r="34" ht="22.5" customHeight="1">
      <c r="A34" s="195"/>
      <c r="B34" s="76">
        <f t="array" ref="B34">_xlfn.XLOOKUP(C34,Table1_2[TEAMID],Table1_2[`])</f>
        <v>116</v>
      </c>
      <c r="C34" s="197" t="s">
        <v>512</v>
      </c>
      <c r="D34" s="197" t="s">
        <v>513</v>
      </c>
      <c r="E34" s="197">
        <v>9.080861148E9</v>
      </c>
      <c r="F34" s="197" t="s">
        <v>29</v>
      </c>
      <c r="G34" s="200" t="s">
        <v>515</v>
      </c>
      <c r="H34" s="267"/>
      <c r="I34" s="14"/>
      <c r="J34" s="14"/>
      <c r="K34" s="14"/>
      <c r="L34" s="14"/>
      <c r="M34" s="14"/>
    </row>
    <row r="35" ht="22.5" customHeight="1">
      <c r="A35" s="208"/>
      <c r="B35" s="76">
        <f t="array" ref="B35">_xlfn.XLOOKUP(C35,Table1_2[TEAMID],Table1_2[`])</f>
        <v>133</v>
      </c>
      <c r="C35" s="269" t="s">
        <v>522</v>
      </c>
      <c r="D35" s="210" t="s">
        <v>525</v>
      </c>
      <c r="E35" s="210">
        <v>9.080265174E9</v>
      </c>
      <c r="F35" s="210" t="s">
        <v>528</v>
      </c>
      <c r="G35" s="214" t="s">
        <v>529</v>
      </c>
      <c r="H35" s="207"/>
      <c r="I35" s="14"/>
      <c r="J35" s="14"/>
      <c r="K35" s="14"/>
      <c r="L35" s="14"/>
      <c r="M35" s="14"/>
    </row>
    <row r="36" ht="22.5" customHeight="1">
      <c r="A36" s="271"/>
      <c r="B36" s="76">
        <f t="array" ref="B36">_xlfn.XLOOKUP(C36,Table1_2[TEAMID],Table1_2[`])</f>
        <v>14</v>
      </c>
      <c r="C36" s="273" t="s">
        <v>316</v>
      </c>
      <c r="D36" s="258" t="s">
        <v>537</v>
      </c>
      <c r="E36" s="259">
        <v>8.148522265E9</v>
      </c>
      <c r="F36" s="258" t="s">
        <v>540</v>
      </c>
      <c r="G36" s="260" t="s">
        <v>541</v>
      </c>
      <c r="H36" s="201"/>
      <c r="I36" s="14"/>
      <c r="J36" s="14"/>
      <c r="K36" s="14"/>
      <c r="L36" s="14"/>
      <c r="M36" s="14"/>
    </row>
    <row r="37" ht="22.5" customHeight="1">
      <c r="A37" s="274"/>
      <c r="B37" s="76">
        <f t="array" ref="B37">_xlfn.XLOOKUP(C37,Table1_2[TEAMID],Table1_2[`])</f>
        <v>14</v>
      </c>
      <c r="C37" s="276" t="s">
        <v>316</v>
      </c>
      <c r="D37" s="210" t="s">
        <v>537</v>
      </c>
      <c r="E37" s="210">
        <v>8.148522265E9</v>
      </c>
      <c r="F37" s="210" t="s">
        <v>540</v>
      </c>
      <c r="G37" s="214" t="s">
        <v>550</v>
      </c>
      <c r="H37" s="230"/>
      <c r="I37" s="14"/>
      <c r="J37" s="14"/>
      <c r="K37" s="14"/>
      <c r="L37" s="14"/>
      <c r="M37" s="14"/>
    </row>
    <row r="38" ht="22.5" customHeight="1">
      <c r="A38" s="195"/>
      <c r="B38" s="76">
        <f t="array" ref="B38">_xlfn.XLOOKUP(C38,Table1_2[TEAMID],Table1_2[`])</f>
        <v>191</v>
      </c>
      <c r="C38" s="280" t="s">
        <v>556</v>
      </c>
      <c r="D38" s="197" t="s">
        <v>557</v>
      </c>
      <c r="E38" s="197">
        <v>9.705933771E9</v>
      </c>
      <c r="F38" s="197" t="s">
        <v>558</v>
      </c>
      <c r="G38" s="200" t="s">
        <v>560</v>
      </c>
      <c r="H38" s="201"/>
      <c r="I38" s="14"/>
      <c r="J38" s="14"/>
      <c r="K38" s="14"/>
      <c r="L38" s="14"/>
      <c r="M38" s="14"/>
    </row>
    <row r="39" ht="22.5" customHeight="1">
      <c r="A39" s="202"/>
      <c r="B39" s="76">
        <f t="array" ref="B39">_xlfn.XLOOKUP(C39,Table1_2[TEAMID],Table1_2[`])</f>
        <v>71</v>
      </c>
      <c r="C39" s="204" t="s">
        <v>568</v>
      </c>
      <c r="D39" s="204" t="s">
        <v>570</v>
      </c>
      <c r="E39" s="205">
        <v>8.825987128E9</v>
      </c>
      <c r="F39" s="204" t="s">
        <v>571</v>
      </c>
      <c r="G39" s="206" t="s">
        <v>572</v>
      </c>
      <c r="H39" s="207"/>
      <c r="I39" s="14"/>
      <c r="J39" s="14"/>
      <c r="K39" s="14"/>
      <c r="L39" s="14"/>
      <c r="M39" s="14"/>
    </row>
    <row r="40" ht="22.5" customHeight="1">
      <c r="A40" s="300"/>
      <c r="B40" s="76">
        <f t="array" ref="B40">_xlfn.XLOOKUP(C40,Table1_2[TEAMID],Table1_2[`])</f>
        <v>29</v>
      </c>
      <c r="C40" s="305" t="s">
        <v>455</v>
      </c>
      <c r="D40" s="204" t="s">
        <v>588</v>
      </c>
      <c r="E40" s="205">
        <v>6.385256271E9</v>
      </c>
      <c r="F40" s="204" t="s">
        <v>591</v>
      </c>
      <c r="G40" s="206" t="s">
        <v>593</v>
      </c>
      <c r="H40" s="207"/>
      <c r="I40" s="14"/>
      <c r="J40" s="14"/>
      <c r="K40" s="14"/>
      <c r="L40" s="14"/>
      <c r="M40" s="14"/>
    </row>
    <row r="41" ht="22.5" customHeight="1">
      <c r="A41" s="256"/>
      <c r="B41" s="76">
        <f t="array" ref="B41">_xlfn.XLOOKUP(C41,Table1_2[TEAMID],Table1_2[`])</f>
        <v>40</v>
      </c>
      <c r="C41" s="258" t="s">
        <v>585</v>
      </c>
      <c r="D41" s="258" t="s">
        <v>608</v>
      </c>
      <c r="E41" s="259">
        <v>9.383475378E9</v>
      </c>
      <c r="F41" s="258" t="s">
        <v>610</v>
      </c>
      <c r="G41" s="260" t="s">
        <v>612</v>
      </c>
      <c r="H41" s="201"/>
      <c r="I41" s="14"/>
      <c r="J41" s="14"/>
      <c r="K41" s="14"/>
      <c r="L41" s="14"/>
      <c r="M41" s="14"/>
    </row>
    <row r="42" ht="22.5" customHeight="1">
      <c r="A42" s="243"/>
      <c r="B42" s="76">
        <f t="array" ref="B42">_xlfn.XLOOKUP(C42,Table1_2[TEAMID],Table1_2[`])</f>
        <v>173</v>
      </c>
      <c r="C42" s="244" t="s">
        <v>626</v>
      </c>
      <c r="D42" s="244" t="s">
        <v>627</v>
      </c>
      <c r="E42" s="245">
        <v>9.02555982E9</v>
      </c>
      <c r="F42" s="244" t="s">
        <v>629</v>
      </c>
      <c r="G42" s="248" t="s">
        <v>632</v>
      </c>
      <c r="H42" s="207"/>
      <c r="I42" s="14"/>
      <c r="J42" s="14"/>
      <c r="K42" s="14"/>
      <c r="L42" s="14"/>
      <c r="M42" s="14"/>
    </row>
    <row r="43" ht="22.5" customHeight="1">
      <c r="A43" s="195"/>
      <c r="B43" s="76">
        <f t="array" ref="B43">_xlfn.XLOOKUP(C43,Table1_2[TEAMID],Table1_2[`])</f>
        <v>87</v>
      </c>
      <c r="C43" s="197" t="s">
        <v>648</v>
      </c>
      <c r="D43" s="197" t="s">
        <v>650</v>
      </c>
      <c r="E43" s="197">
        <v>9.821350641E9</v>
      </c>
      <c r="F43" s="197" t="s">
        <v>652</v>
      </c>
      <c r="G43" s="200" t="s">
        <v>654</v>
      </c>
      <c r="H43" s="201"/>
      <c r="I43" s="14"/>
      <c r="J43" s="14"/>
      <c r="K43" s="14"/>
      <c r="L43" s="14"/>
      <c r="M43" s="14"/>
    </row>
    <row r="44" ht="22.5" customHeight="1">
      <c r="A44" s="243"/>
      <c r="B44" s="28" t="str">
        <f t="array" ref="B44">_xlfn.XLOOKUP(C44,Table1_2[TEAMID],Table1_2[`])</f>
        <v>#N/A</v>
      </c>
      <c r="C44" s="244" t="s">
        <v>667</v>
      </c>
      <c r="D44" s="244" t="s">
        <v>668</v>
      </c>
      <c r="E44" s="245">
        <v>6.381885067E9</v>
      </c>
      <c r="F44" s="244" t="s">
        <v>671</v>
      </c>
      <c r="G44" s="248" t="s">
        <v>675</v>
      </c>
      <c r="H44" s="207"/>
      <c r="I44" s="14"/>
      <c r="J44" s="14"/>
      <c r="K44" s="14"/>
      <c r="L44" s="14"/>
      <c r="M44" s="14"/>
    </row>
    <row r="45" ht="22.5" customHeight="1">
      <c r="A45" s="271"/>
      <c r="B45" s="76">
        <f t="array" ref="B45">_xlfn.XLOOKUP(C45,Table1_2[TEAMID],Table1_2[`])</f>
        <v>4</v>
      </c>
      <c r="C45" s="273" t="s">
        <v>142</v>
      </c>
      <c r="D45" s="258" t="s">
        <v>691</v>
      </c>
      <c r="E45" s="259">
        <v>7.845262049E9</v>
      </c>
      <c r="F45" s="258" t="s">
        <v>693</v>
      </c>
      <c r="G45" s="260" t="s">
        <v>697</v>
      </c>
      <c r="H45" s="267"/>
      <c r="I45" s="14"/>
      <c r="J45" s="14"/>
      <c r="K45" s="14"/>
      <c r="L45" s="14"/>
      <c r="M45" s="14"/>
    </row>
    <row r="46" ht="22.5" customHeight="1">
      <c r="A46" s="208"/>
      <c r="B46" s="76">
        <f t="array" ref="B46">_xlfn.XLOOKUP(C46,Table1_2[TEAMID],Table1_2[`])</f>
        <v>110</v>
      </c>
      <c r="C46" s="210" t="s">
        <v>709</v>
      </c>
      <c r="D46" s="210" t="s">
        <v>713</v>
      </c>
      <c r="E46" s="210">
        <v>9.843930292E9</v>
      </c>
      <c r="F46" s="210" t="s">
        <v>715</v>
      </c>
      <c r="G46" s="214" t="s">
        <v>717</v>
      </c>
      <c r="H46" s="230"/>
      <c r="I46" s="14"/>
      <c r="J46" s="14"/>
      <c r="K46" s="14"/>
      <c r="L46" s="14"/>
      <c r="M46" s="14"/>
    </row>
    <row r="47" ht="22.5" customHeight="1">
      <c r="A47" s="195"/>
      <c r="B47" s="76">
        <f t="array" ref="B47">_xlfn.XLOOKUP(C47,Table1_2[TEAMID],Table1_2[`])</f>
        <v>90</v>
      </c>
      <c r="C47" s="197" t="s">
        <v>731</v>
      </c>
      <c r="D47" s="197" t="s">
        <v>734</v>
      </c>
      <c r="E47" s="197">
        <v>8.807821116E9</v>
      </c>
      <c r="F47" s="197" t="s">
        <v>738</v>
      </c>
      <c r="G47" s="200" t="s">
        <v>740</v>
      </c>
      <c r="H47" s="201"/>
      <c r="I47" s="14"/>
      <c r="J47" s="14"/>
      <c r="K47" s="14"/>
      <c r="L47" s="14"/>
      <c r="M47" s="14"/>
    </row>
    <row r="48" ht="22.5" customHeight="1">
      <c r="A48" s="243"/>
      <c r="B48" s="76">
        <f t="array" ref="B48">_xlfn.XLOOKUP(C48,Table1_2[TEAMID],Table1_2[`])</f>
        <v>56</v>
      </c>
      <c r="C48" s="244" t="s">
        <v>754</v>
      </c>
      <c r="D48" s="244" t="s">
        <v>756</v>
      </c>
      <c r="E48" s="245">
        <v>6.382725434E9</v>
      </c>
      <c r="F48" s="244" t="s">
        <v>759</v>
      </c>
      <c r="G48" s="248" t="s">
        <v>760</v>
      </c>
      <c r="H48" s="207"/>
      <c r="I48" s="14"/>
      <c r="J48" s="14"/>
      <c r="K48" s="14"/>
      <c r="L48" s="14"/>
      <c r="M48" s="14"/>
    </row>
    <row r="49" ht="22.5" customHeight="1">
      <c r="A49" s="232"/>
      <c r="B49" s="76">
        <f t="array" ref="B49">_xlfn.XLOOKUP(C49,Table1_2[TEAMID],Table1_2[`])</f>
        <v>38</v>
      </c>
      <c r="C49" s="233" t="s">
        <v>559</v>
      </c>
      <c r="D49" s="233" t="s">
        <v>770</v>
      </c>
      <c r="E49" s="237">
        <v>9.360119932E9</v>
      </c>
      <c r="F49" s="233" t="s">
        <v>774</v>
      </c>
      <c r="G49" s="242" t="s">
        <v>778</v>
      </c>
      <c r="H49" s="267"/>
      <c r="I49" s="14"/>
      <c r="J49" s="14"/>
      <c r="K49" s="14"/>
      <c r="L49" s="14"/>
      <c r="M49" s="14"/>
    </row>
    <row r="50" ht="22.5" customHeight="1">
      <c r="A50" s="202"/>
      <c r="B50" s="76">
        <f t="array" ref="B50">_xlfn.XLOOKUP(C50,Table1_2[TEAMID],Table1_2[`])</f>
        <v>30</v>
      </c>
      <c r="C50" s="204" t="s">
        <v>144</v>
      </c>
      <c r="D50" s="204" t="s">
        <v>786</v>
      </c>
      <c r="E50" s="205">
        <v>8.925873434E9</v>
      </c>
      <c r="F50" s="204" t="s">
        <v>441</v>
      </c>
      <c r="G50" s="348" t="s">
        <v>145</v>
      </c>
      <c r="H50" s="207"/>
      <c r="I50" s="14"/>
      <c r="J50" s="14"/>
      <c r="K50" s="14"/>
      <c r="L50" s="14"/>
      <c r="M50" s="14"/>
    </row>
    <row r="51" ht="22.5" customHeight="1">
      <c r="A51" s="232"/>
      <c r="B51" s="76">
        <f t="array" ref="B51">_xlfn.XLOOKUP(C51,Table1_2[TEAMID],Table1_2[`])</f>
        <v>101</v>
      </c>
      <c r="C51" s="233" t="s">
        <v>634</v>
      </c>
      <c r="D51" s="233" t="s">
        <v>801</v>
      </c>
      <c r="E51" s="237">
        <v>8.681879364E9</v>
      </c>
      <c r="F51" s="233" t="s">
        <v>805</v>
      </c>
      <c r="G51" s="242" t="s">
        <v>808</v>
      </c>
      <c r="H51" s="201"/>
      <c r="I51" s="14"/>
      <c r="J51" s="14"/>
      <c r="K51" s="14"/>
      <c r="L51" s="14"/>
      <c r="M51" s="14"/>
    </row>
    <row r="52" ht="22.5" customHeight="1">
      <c r="A52" s="208"/>
      <c r="B52" s="76">
        <f t="array" ref="B52">_xlfn.XLOOKUP(C52,Table1_2[TEAMID],Table1_2[`])</f>
        <v>157</v>
      </c>
      <c r="C52" s="276" t="s">
        <v>819</v>
      </c>
      <c r="D52" s="210" t="s">
        <v>821</v>
      </c>
      <c r="E52" s="276">
        <v>8.807685504E9</v>
      </c>
      <c r="F52" s="210" t="s">
        <v>823</v>
      </c>
      <c r="G52" s="214" t="s">
        <v>825</v>
      </c>
      <c r="H52" s="207"/>
      <c r="I52" s="14"/>
      <c r="J52" s="14"/>
      <c r="K52" s="14"/>
      <c r="L52" s="14"/>
      <c r="M52" s="14"/>
    </row>
    <row r="53" ht="22.5" customHeight="1">
      <c r="A53" s="232"/>
      <c r="B53" s="76">
        <f t="array" ref="B53">_xlfn.XLOOKUP(C53,Table1_2[TEAMID],Table1_2[`])</f>
        <v>137</v>
      </c>
      <c r="C53" s="366" t="s">
        <v>729</v>
      </c>
      <c r="D53" s="233" t="s">
        <v>837</v>
      </c>
      <c r="E53" s="237">
        <v>9.789962388E9</v>
      </c>
      <c r="F53" s="233" t="s">
        <v>839</v>
      </c>
      <c r="G53" s="242" t="s">
        <v>841</v>
      </c>
      <c r="H53" s="201"/>
      <c r="I53" s="14"/>
      <c r="J53" s="14"/>
      <c r="K53" s="14"/>
      <c r="L53" s="14"/>
      <c r="M53" s="14"/>
    </row>
    <row r="54" ht="22.5" customHeight="1">
      <c r="A54" s="243"/>
      <c r="B54" s="76">
        <f t="array" ref="B54">_xlfn.XLOOKUP(C54,Table1_2[TEAMID],Table1_2[`])</f>
        <v>172</v>
      </c>
      <c r="C54" s="244" t="s">
        <v>832</v>
      </c>
      <c r="D54" s="244" t="s">
        <v>852</v>
      </c>
      <c r="E54" s="245">
        <v>8.903672237E9</v>
      </c>
      <c r="F54" s="244" t="s">
        <v>855</v>
      </c>
      <c r="G54" s="248" t="s">
        <v>856</v>
      </c>
      <c r="H54" s="207"/>
      <c r="I54" s="14"/>
      <c r="J54" s="14"/>
      <c r="K54" s="14"/>
      <c r="L54" s="14"/>
      <c r="M54" s="14"/>
    </row>
    <row r="55" ht="22.5" customHeight="1">
      <c r="A55" s="232"/>
      <c r="B55" s="28" t="str">
        <f t="array" ref="B55">_xlfn.XLOOKUP(C55,Table1_2[TEAMID],Table1_2[`])</f>
        <v>#N/A</v>
      </c>
      <c r="C55" s="233" t="s">
        <v>867</v>
      </c>
      <c r="D55" s="233" t="s">
        <v>870</v>
      </c>
      <c r="E55" s="237">
        <v>9.884964396E9</v>
      </c>
      <c r="F55" s="233" t="s">
        <v>871</v>
      </c>
      <c r="G55" s="242" t="s">
        <v>872</v>
      </c>
      <c r="H55" s="201"/>
      <c r="I55" s="14"/>
      <c r="J55" s="14"/>
      <c r="K55" s="14"/>
      <c r="L55" s="14"/>
      <c r="M55" s="14"/>
    </row>
    <row r="56" ht="22.5" customHeight="1">
      <c r="A56" s="369"/>
      <c r="B56" s="28" t="str">
        <f t="array" ref="B56">_xlfn.XLOOKUP(C56,Table1_2[TEAMID],Table1_2[`])</f>
        <v>#N/A</v>
      </c>
      <c r="C56" s="373" t="s">
        <v>884</v>
      </c>
      <c r="D56" s="373" t="s">
        <v>887</v>
      </c>
      <c r="E56" s="379">
        <v>9.445633545E9</v>
      </c>
      <c r="F56" s="373" t="s">
        <v>889</v>
      </c>
      <c r="G56" s="383" t="s">
        <v>893</v>
      </c>
      <c r="H56" s="384"/>
      <c r="I56" s="14"/>
      <c r="J56" s="14"/>
      <c r="K56" s="14"/>
      <c r="L56" s="14"/>
      <c r="M56" s="14"/>
    </row>
    <row r="57">
      <c r="A57" s="14"/>
      <c r="B57" s="14"/>
      <c r="C57" s="14"/>
      <c r="D57" s="14"/>
      <c r="E57" s="14"/>
      <c r="F57" s="14"/>
      <c r="G57" s="14"/>
      <c r="H57" s="14"/>
      <c r="I57" s="14"/>
      <c r="J57" s="14"/>
      <c r="K57" s="14"/>
      <c r="L57" s="14"/>
      <c r="M57" s="14"/>
    </row>
    <row r="58">
      <c r="A58" s="14"/>
      <c r="B58" s="14"/>
      <c r="C58" s="14"/>
      <c r="D58" s="14"/>
      <c r="E58" s="14"/>
      <c r="F58" s="14"/>
      <c r="G58" s="14"/>
      <c r="H58" s="14"/>
      <c r="I58" s="14"/>
      <c r="J58" s="14"/>
      <c r="K58" s="14"/>
      <c r="L58" s="14"/>
      <c r="M58" s="14"/>
    </row>
    <row r="59">
      <c r="A59" s="14"/>
      <c r="B59" s="14"/>
      <c r="C59" s="14"/>
      <c r="D59" s="14"/>
      <c r="E59" s="14"/>
      <c r="F59" s="14"/>
      <c r="G59" s="14"/>
      <c r="H59" s="14"/>
      <c r="I59" s="14"/>
      <c r="J59" s="14"/>
      <c r="K59" s="14"/>
      <c r="L59" s="14"/>
      <c r="M59" s="14"/>
    </row>
    <row r="60">
      <c r="A60" s="14"/>
      <c r="B60" s="14"/>
      <c r="C60" s="14"/>
      <c r="D60" s="14"/>
      <c r="E60" s="14"/>
      <c r="F60" s="14"/>
      <c r="G60" s="14"/>
      <c r="H60" s="14"/>
      <c r="I60" s="14"/>
      <c r="J60" s="14"/>
      <c r="K60" s="14"/>
      <c r="L60" s="14"/>
      <c r="M60" s="14"/>
    </row>
    <row r="61">
      <c r="A61" s="14"/>
      <c r="B61" s="14"/>
      <c r="C61" s="14"/>
      <c r="D61" s="14"/>
      <c r="E61" s="14"/>
      <c r="F61" s="14"/>
      <c r="G61" s="14"/>
      <c r="H61" s="14"/>
      <c r="I61" s="14"/>
      <c r="J61" s="14"/>
      <c r="K61" s="14"/>
      <c r="L61" s="14"/>
      <c r="M61" s="14"/>
    </row>
    <row r="62">
      <c r="A62" s="14"/>
      <c r="B62" s="14"/>
      <c r="C62" s="14"/>
      <c r="D62" s="14"/>
      <c r="E62" s="14"/>
      <c r="F62" s="14"/>
      <c r="G62" s="14"/>
      <c r="H62" s="14"/>
      <c r="I62" s="14"/>
      <c r="J62" s="14"/>
      <c r="K62" s="14"/>
      <c r="L62" s="14"/>
      <c r="M62" s="14"/>
    </row>
    <row r="63">
      <c r="A63" s="14"/>
      <c r="B63" s="14"/>
      <c r="C63" s="14"/>
      <c r="D63" s="14"/>
      <c r="E63" s="14"/>
      <c r="F63" s="14"/>
      <c r="G63" s="14"/>
      <c r="H63" s="14"/>
      <c r="I63" s="14"/>
      <c r="J63" s="14"/>
      <c r="K63" s="14"/>
      <c r="L63" s="14"/>
      <c r="M63" s="14"/>
    </row>
    <row r="64">
      <c r="A64" s="14"/>
      <c r="B64" s="14"/>
      <c r="C64" s="14"/>
      <c r="D64" s="14"/>
      <c r="E64" s="14"/>
      <c r="F64" s="14"/>
      <c r="G64" s="14"/>
      <c r="H64" s="14"/>
      <c r="I64" s="14"/>
      <c r="J64" s="14"/>
      <c r="K64" s="14"/>
      <c r="L64" s="14"/>
      <c r="M64" s="14"/>
    </row>
    <row r="65">
      <c r="A65" s="14"/>
      <c r="B65" s="14"/>
      <c r="C65" s="14"/>
      <c r="D65" s="14"/>
      <c r="E65" s="14"/>
      <c r="F65" s="14"/>
      <c r="G65" s="14"/>
      <c r="H65" s="14"/>
      <c r="I65" s="14"/>
      <c r="J65" s="14"/>
      <c r="K65" s="14"/>
      <c r="L65" s="14"/>
      <c r="M65" s="14"/>
    </row>
    <row r="66">
      <c r="A66" s="14"/>
      <c r="B66" s="14"/>
      <c r="C66" s="14"/>
      <c r="D66" s="14"/>
      <c r="E66" s="14"/>
      <c r="F66" s="14"/>
      <c r="G66" s="14"/>
      <c r="H66" s="14"/>
      <c r="I66" s="14"/>
      <c r="J66" s="14"/>
      <c r="K66" s="14"/>
      <c r="L66" s="14"/>
      <c r="M66" s="14"/>
    </row>
    <row r="67">
      <c r="A67" s="14"/>
      <c r="B67" s="14"/>
      <c r="C67" s="14"/>
      <c r="D67" s="14"/>
      <c r="E67" s="14"/>
      <c r="F67" s="14"/>
      <c r="G67" s="14"/>
      <c r="H67" s="14"/>
      <c r="I67" s="14"/>
      <c r="J67" s="14"/>
      <c r="K67" s="14"/>
      <c r="L67" s="14"/>
      <c r="M67" s="14"/>
    </row>
    <row r="68">
      <c r="A68" s="14"/>
      <c r="B68" s="14"/>
      <c r="C68" s="14"/>
      <c r="D68" s="14"/>
      <c r="E68" s="14"/>
      <c r="F68" s="14"/>
      <c r="G68" s="14"/>
      <c r="H68" s="14"/>
      <c r="I68" s="14"/>
      <c r="J68" s="14"/>
      <c r="K68" s="14"/>
      <c r="L68" s="14"/>
      <c r="M68" s="14"/>
    </row>
    <row r="69">
      <c r="A69" s="14"/>
      <c r="B69" s="14"/>
      <c r="C69" s="14"/>
      <c r="D69" s="14"/>
      <c r="E69" s="14"/>
      <c r="F69" s="14"/>
      <c r="G69" s="14"/>
      <c r="H69" s="14"/>
      <c r="I69" s="14"/>
      <c r="J69" s="14"/>
      <c r="K69" s="14"/>
      <c r="L69" s="14"/>
      <c r="M69" s="14"/>
    </row>
    <row r="70">
      <c r="A70" s="14"/>
      <c r="B70" s="14"/>
      <c r="C70" s="14"/>
      <c r="D70" s="14"/>
      <c r="E70" s="14"/>
      <c r="F70" s="14"/>
      <c r="G70" s="14"/>
      <c r="H70" s="14"/>
      <c r="I70" s="14"/>
      <c r="J70" s="14"/>
      <c r="K70" s="14"/>
      <c r="L70" s="14"/>
      <c r="M70" s="14"/>
    </row>
    <row r="71">
      <c r="A71" s="14"/>
      <c r="B71" s="14"/>
      <c r="C71" s="14"/>
      <c r="D71" s="14"/>
      <c r="E71" s="14"/>
      <c r="F71" s="14"/>
      <c r="G71" s="14"/>
      <c r="H71" s="14"/>
      <c r="I71" s="14"/>
      <c r="J71" s="14"/>
      <c r="K71" s="14"/>
      <c r="L71" s="14"/>
      <c r="M71" s="14"/>
    </row>
    <row r="72">
      <c r="A72" s="14"/>
      <c r="B72" s="14"/>
      <c r="C72" s="14"/>
      <c r="D72" s="14"/>
      <c r="E72" s="14"/>
      <c r="F72" s="14"/>
      <c r="G72" s="14"/>
      <c r="H72" s="14"/>
      <c r="I72" s="14"/>
      <c r="J72" s="14"/>
      <c r="K72" s="14"/>
      <c r="L72" s="14"/>
      <c r="M72" s="14"/>
    </row>
    <row r="73">
      <c r="A73" s="14"/>
      <c r="B73" s="14"/>
      <c r="C73" s="14"/>
      <c r="D73" s="14"/>
      <c r="E73" s="14"/>
      <c r="F73" s="14"/>
      <c r="G73" s="14"/>
      <c r="H73" s="14"/>
      <c r="I73" s="14"/>
      <c r="J73" s="14"/>
      <c r="K73" s="14"/>
      <c r="L73" s="14"/>
      <c r="M73" s="14"/>
    </row>
    <row r="74">
      <c r="A74" s="14"/>
      <c r="B74" s="14"/>
      <c r="C74" s="14"/>
      <c r="D74" s="14"/>
      <c r="E74" s="14"/>
      <c r="F74" s="14"/>
      <c r="G74" s="14"/>
      <c r="H74" s="14"/>
      <c r="I74" s="14"/>
      <c r="J74" s="14"/>
      <c r="K74" s="14"/>
      <c r="L74" s="14"/>
      <c r="M74" s="14"/>
    </row>
    <row r="75">
      <c r="A75" s="14"/>
      <c r="B75" s="14"/>
      <c r="C75" s="14"/>
      <c r="D75" s="14"/>
      <c r="E75" s="14"/>
      <c r="F75" s="14"/>
      <c r="G75" s="14"/>
      <c r="H75" s="14"/>
      <c r="I75" s="14"/>
      <c r="J75" s="14"/>
      <c r="K75" s="14"/>
      <c r="L75" s="14"/>
      <c r="M75" s="14"/>
    </row>
    <row r="76">
      <c r="A76" s="14"/>
      <c r="B76" s="14"/>
      <c r="C76" s="14"/>
      <c r="D76" s="14"/>
      <c r="E76" s="14"/>
      <c r="F76" s="14"/>
      <c r="G76" s="14"/>
      <c r="H76" s="14"/>
      <c r="I76" s="14"/>
      <c r="J76" s="14"/>
      <c r="K76" s="14"/>
      <c r="L76" s="14"/>
      <c r="M76" s="14"/>
    </row>
    <row r="77">
      <c r="A77" s="14"/>
      <c r="B77" s="14"/>
      <c r="C77" s="14"/>
      <c r="D77" s="14"/>
      <c r="E77" s="14"/>
      <c r="F77" s="14"/>
      <c r="G77" s="14"/>
      <c r="H77" s="14"/>
      <c r="I77" s="14"/>
      <c r="J77" s="14"/>
      <c r="K77" s="14"/>
      <c r="L77" s="14"/>
      <c r="M77" s="14"/>
    </row>
    <row r="78">
      <c r="A78" s="14"/>
      <c r="B78" s="14"/>
      <c r="C78" s="14"/>
      <c r="D78" s="14"/>
      <c r="E78" s="14"/>
      <c r="F78" s="14"/>
      <c r="G78" s="14"/>
      <c r="H78" s="14"/>
      <c r="I78" s="14"/>
      <c r="J78" s="14"/>
      <c r="K78" s="14"/>
      <c r="L78" s="14"/>
      <c r="M78" s="14"/>
    </row>
    <row r="79">
      <c r="A79" s="14"/>
      <c r="B79" s="14"/>
      <c r="C79" s="14"/>
      <c r="D79" s="14"/>
      <c r="E79" s="14"/>
      <c r="F79" s="14"/>
      <c r="G79" s="14"/>
      <c r="H79" s="14"/>
      <c r="I79" s="14"/>
      <c r="J79" s="14"/>
      <c r="K79" s="14"/>
      <c r="L79" s="14"/>
      <c r="M79" s="14"/>
    </row>
    <row r="80">
      <c r="A80" s="14"/>
      <c r="B80" s="14"/>
      <c r="C80" s="14"/>
      <c r="D80" s="14"/>
      <c r="E80" s="14"/>
      <c r="F80" s="14"/>
      <c r="G80" s="14"/>
      <c r="H80" s="14"/>
      <c r="I80" s="14"/>
      <c r="J80" s="14"/>
      <c r="K80" s="14"/>
      <c r="L80" s="14"/>
      <c r="M80" s="14"/>
    </row>
    <row r="81">
      <c r="A81" s="14"/>
      <c r="B81" s="14"/>
      <c r="C81" s="14"/>
      <c r="D81" s="14"/>
      <c r="E81" s="14"/>
      <c r="F81" s="14"/>
      <c r="G81" s="14"/>
      <c r="H81" s="14"/>
      <c r="I81" s="14"/>
      <c r="J81" s="14"/>
      <c r="K81" s="14"/>
      <c r="L81" s="14"/>
      <c r="M81" s="14"/>
    </row>
    <row r="82">
      <c r="A82" s="14"/>
      <c r="B82" s="14"/>
      <c r="C82" s="14"/>
      <c r="D82" s="14"/>
      <c r="E82" s="14"/>
      <c r="F82" s="14"/>
      <c r="G82" s="14"/>
      <c r="H82" s="14"/>
      <c r="I82" s="14"/>
      <c r="J82" s="14"/>
      <c r="K82" s="14"/>
      <c r="L82" s="14"/>
      <c r="M82" s="14"/>
    </row>
    <row r="83">
      <c r="A83" s="14"/>
      <c r="B83" s="14"/>
      <c r="C83" s="14"/>
      <c r="D83" s="14"/>
      <c r="E83" s="14"/>
      <c r="F83" s="14"/>
      <c r="G83" s="14"/>
      <c r="H83" s="14"/>
      <c r="I83" s="14"/>
      <c r="J83" s="14"/>
      <c r="K83" s="14"/>
      <c r="L83" s="14"/>
      <c r="M83" s="14"/>
    </row>
    <row r="84">
      <c r="A84" s="14"/>
      <c r="B84" s="14"/>
      <c r="C84" s="14"/>
      <c r="D84" s="14"/>
      <c r="E84" s="14"/>
      <c r="F84" s="14"/>
      <c r="G84" s="14"/>
      <c r="H84" s="14"/>
      <c r="I84" s="14"/>
      <c r="J84" s="14"/>
      <c r="K84" s="14"/>
      <c r="L84" s="14"/>
      <c r="M84" s="14"/>
    </row>
    <row r="85">
      <c r="A85" s="14"/>
      <c r="B85" s="14"/>
      <c r="C85" s="14"/>
      <c r="D85" s="14"/>
      <c r="E85" s="14"/>
      <c r="F85" s="14"/>
      <c r="G85" s="14"/>
      <c r="H85" s="14"/>
      <c r="I85" s="14"/>
      <c r="J85" s="14"/>
      <c r="K85" s="14"/>
      <c r="L85" s="14"/>
      <c r="M85" s="14"/>
    </row>
    <row r="86">
      <c r="A86" s="14"/>
      <c r="B86" s="14"/>
      <c r="C86" s="14"/>
      <c r="D86" s="14"/>
      <c r="E86" s="14"/>
      <c r="F86" s="14"/>
      <c r="G86" s="14"/>
      <c r="H86" s="14"/>
      <c r="I86" s="14"/>
      <c r="J86" s="14"/>
      <c r="K86" s="14"/>
      <c r="L86" s="14"/>
      <c r="M86" s="14"/>
    </row>
    <row r="87">
      <c r="A87" s="14"/>
      <c r="B87" s="14"/>
      <c r="C87" s="14"/>
      <c r="D87" s="14"/>
      <c r="E87" s="14"/>
      <c r="F87" s="14"/>
      <c r="G87" s="14"/>
      <c r="H87" s="14"/>
      <c r="I87" s="14"/>
      <c r="J87" s="14"/>
      <c r="K87" s="14"/>
      <c r="L87" s="14"/>
      <c r="M87" s="14"/>
    </row>
    <row r="88">
      <c r="A88" s="14"/>
      <c r="B88" s="14"/>
      <c r="C88" s="14"/>
      <c r="D88" s="14"/>
      <c r="E88" s="14"/>
      <c r="F88" s="14"/>
      <c r="G88" s="14"/>
      <c r="H88" s="14"/>
      <c r="I88" s="14"/>
      <c r="J88" s="14"/>
      <c r="K88" s="14"/>
      <c r="L88" s="14"/>
      <c r="M88" s="14"/>
    </row>
    <row r="89">
      <c r="A89" s="14"/>
      <c r="B89" s="14"/>
      <c r="C89" s="14"/>
      <c r="D89" s="14"/>
      <c r="E89" s="14"/>
      <c r="F89" s="14"/>
      <c r="G89" s="14"/>
      <c r="H89" s="14"/>
      <c r="I89" s="14"/>
      <c r="J89" s="14"/>
      <c r="K89" s="14"/>
      <c r="L89" s="14"/>
      <c r="M89" s="14"/>
    </row>
    <row r="90">
      <c r="A90" s="14"/>
      <c r="B90" s="14"/>
      <c r="C90" s="14"/>
      <c r="D90" s="14"/>
      <c r="E90" s="14"/>
      <c r="F90" s="14"/>
      <c r="G90" s="14"/>
      <c r="H90" s="14"/>
      <c r="I90" s="14"/>
      <c r="J90" s="14"/>
      <c r="K90" s="14"/>
      <c r="L90" s="14"/>
      <c r="M90" s="14"/>
    </row>
    <row r="91">
      <c r="A91" s="14"/>
      <c r="B91" s="14"/>
      <c r="C91" s="14"/>
      <c r="D91" s="14"/>
      <c r="E91" s="14"/>
      <c r="F91" s="14"/>
      <c r="G91" s="14"/>
      <c r="H91" s="14"/>
      <c r="I91" s="14"/>
      <c r="J91" s="14"/>
      <c r="K91" s="14"/>
      <c r="L91" s="14"/>
      <c r="M91" s="14"/>
    </row>
    <row r="92">
      <c r="A92" s="14"/>
      <c r="B92" s="14"/>
      <c r="C92" s="14"/>
      <c r="D92" s="14"/>
      <c r="E92" s="14"/>
      <c r="F92" s="14"/>
      <c r="G92" s="14"/>
      <c r="H92" s="14"/>
      <c r="I92" s="14"/>
      <c r="J92" s="14"/>
      <c r="K92" s="14"/>
      <c r="L92" s="14"/>
      <c r="M92" s="14"/>
    </row>
    <row r="93">
      <c r="A93" s="14"/>
      <c r="B93" s="14"/>
      <c r="C93" s="14"/>
      <c r="D93" s="14"/>
      <c r="E93" s="14"/>
      <c r="F93" s="14"/>
      <c r="G93" s="14"/>
      <c r="H93" s="14"/>
      <c r="I93" s="14"/>
      <c r="J93" s="14"/>
      <c r="K93" s="14"/>
      <c r="L93" s="14"/>
      <c r="M93" s="14"/>
    </row>
    <row r="94">
      <c r="A94" s="14"/>
      <c r="B94" s="14"/>
      <c r="C94" s="14"/>
      <c r="D94" s="14"/>
      <c r="E94" s="14"/>
      <c r="F94" s="14"/>
      <c r="G94" s="14"/>
      <c r="H94" s="14"/>
      <c r="I94" s="14"/>
      <c r="J94" s="14"/>
      <c r="K94" s="14"/>
      <c r="L94" s="14"/>
      <c r="M94" s="14"/>
    </row>
    <row r="95">
      <c r="A95" s="14"/>
      <c r="B95" s="14"/>
      <c r="C95" s="14"/>
      <c r="D95" s="14"/>
      <c r="E95" s="14"/>
      <c r="F95" s="14"/>
      <c r="G95" s="14"/>
      <c r="H95" s="14"/>
      <c r="I95" s="14"/>
      <c r="J95" s="14"/>
      <c r="K95" s="14"/>
      <c r="L95" s="14"/>
      <c r="M95" s="14"/>
    </row>
    <row r="96">
      <c r="A96" s="14"/>
      <c r="B96" s="14"/>
      <c r="C96" s="14"/>
      <c r="D96" s="14"/>
      <c r="E96" s="14"/>
      <c r="F96" s="14"/>
      <c r="G96" s="14"/>
      <c r="H96" s="14"/>
      <c r="I96" s="14"/>
      <c r="J96" s="14"/>
      <c r="K96" s="14"/>
      <c r="L96" s="14"/>
      <c r="M96" s="14"/>
    </row>
    <row r="97">
      <c r="A97" s="14"/>
      <c r="B97" s="14"/>
      <c r="C97" s="14"/>
      <c r="D97" s="14"/>
      <c r="E97" s="14"/>
      <c r="F97" s="14"/>
      <c r="G97" s="14"/>
      <c r="H97" s="14"/>
      <c r="I97" s="14"/>
      <c r="J97" s="14"/>
      <c r="K97" s="14"/>
      <c r="L97" s="14"/>
      <c r="M97" s="14"/>
    </row>
    <row r="98">
      <c r="A98" s="14"/>
      <c r="B98" s="14"/>
      <c r="C98" s="14"/>
      <c r="D98" s="14"/>
      <c r="E98" s="14"/>
      <c r="F98" s="14"/>
      <c r="G98" s="14"/>
      <c r="H98" s="14"/>
      <c r="I98" s="14"/>
      <c r="J98" s="14"/>
      <c r="K98" s="14"/>
      <c r="L98" s="14"/>
      <c r="M98" s="14"/>
    </row>
    <row r="99">
      <c r="A99" s="14"/>
      <c r="B99" s="14"/>
      <c r="C99" s="14"/>
      <c r="D99" s="14"/>
      <c r="E99" s="14"/>
      <c r="F99" s="14"/>
      <c r="G99" s="14"/>
      <c r="H99" s="14"/>
      <c r="I99" s="14"/>
      <c r="J99" s="14"/>
      <c r="K99" s="14"/>
      <c r="L99" s="14"/>
      <c r="M99" s="14"/>
    </row>
    <row r="100">
      <c r="A100" s="14"/>
      <c r="B100" s="14"/>
      <c r="C100" s="14"/>
      <c r="D100" s="14"/>
      <c r="E100" s="14"/>
      <c r="F100" s="14"/>
      <c r="G100" s="14"/>
      <c r="H100" s="14"/>
      <c r="I100" s="14"/>
      <c r="J100" s="14"/>
      <c r="K100" s="14"/>
      <c r="L100" s="14"/>
      <c r="M100" s="14"/>
    </row>
    <row r="101">
      <c r="A101" s="14"/>
      <c r="B101" s="14"/>
      <c r="C101" s="14"/>
      <c r="D101" s="14"/>
      <c r="E101" s="14"/>
      <c r="F101" s="14"/>
      <c r="G101" s="14"/>
      <c r="H101" s="14"/>
      <c r="I101" s="14"/>
      <c r="J101" s="14"/>
      <c r="K101" s="14"/>
      <c r="L101" s="14"/>
      <c r="M101" s="14"/>
    </row>
    <row r="102">
      <c r="A102" s="14"/>
      <c r="B102" s="14"/>
      <c r="C102" s="14"/>
      <c r="D102" s="14"/>
      <c r="E102" s="14"/>
      <c r="F102" s="14"/>
      <c r="G102" s="14"/>
      <c r="H102" s="14"/>
      <c r="I102" s="14"/>
      <c r="J102" s="14"/>
      <c r="K102" s="14"/>
      <c r="L102" s="14"/>
      <c r="M102" s="14"/>
    </row>
    <row r="103">
      <c r="A103" s="14"/>
      <c r="B103" s="14"/>
      <c r="C103" s="14"/>
      <c r="D103" s="14"/>
      <c r="E103" s="14"/>
      <c r="F103" s="14"/>
      <c r="G103" s="14"/>
      <c r="H103" s="14"/>
      <c r="I103" s="14"/>
      <c r="J103" s="14"/>
      <c r="K103" s="14"/>
      <c r="L103" s="14"/>
      <c r="M103" s="14"/>
    </row>
    <row r="104">
      <c r="A104" s="14"/>
      <c r="B104" s="14"/>
      <c r="C104" s="14"/>
      <c r="D104" s="14"/>
      <c r="E104" s="14"/>
      <c r="F104" s="14"/>
      <c r="G104" s="14"/>
      <c r="H104" s="14"/>
      <c r="I104" s="14"/>
      <c r="J104" s="14"/>
      <c r="K104" s="14"/>
      <c r="L104" s="14"/>
      <c r="M104" s="14"/>
    </row>
    <row r="105">
      <c r="A105" s="14"/>
      <c r="B105" s="14"/>
      <c r="C105" s="14"/>
      <c r="D105" s="14"/>
      <c r="E105" s="14"/>
      <c r="F105" s="14"/>
      <c r="G105" s="14"/>
      <c r="H105" s="14"/>
      <c r="I105" s="14"/>
      <c r="J105" s="14"/>
      <c r="K105" s="14"/>
      <c r="L105" s="14"/>
      <c r="M105" s="14"/>
    </row>
    <row r="106">
      <c r="A106" s="14"/>
      <c r="B106" s="14"/>
      <c r="C106" s="14"/>
      <c r="D106" s="14"/>
      <c r="E106" s="14"/>
      <c r="F106" s="14"/>
      <c r="G106" s="14"/>
      <c r="H106" s="14"/>
      <c r="I106" s="14"/>
      <c r="J106" s="14"/>
      <c r="K106" s="14"/>
      <c r="L106" s="14"/>
      <c r="M106" s="14"/>
    </row>
    <row r="107">
      <c r="A107" s="14"/>
      <c r="B107" s="14"/>
      <c r="C107" s="14"/>
      <c r="D107" s="14"/>
      <c r="E107" s="14"/>
      <c r="F107" s="14"/>
      <c r="G107" s="14"/>
      <c r="H107" s="14"/>
      <c r="I107" s="14"/>
      <c r="J107" s="14"/>
      <c r="K107" s="14"/>
      <c r="L107" s="14"/>
      <c r="M107" s="14"/>
    </row>
    <row r="108">
      <c r="A108" s="14"/>
      <c r="B108" s="14"/>
      <c r="C108" s="14"/>
      <c r="D108" s="14"/>
      <c r="E108" s="14"/>
      <c r="F108" s="14"/>
      <c r="G108" s="14"/>
      <c r="H108" s="14"/>
      <c r="I108" s="14"/>
      <c r="J108" s="14"/>
      <c r="K108" s="14"/>
      <c r="L108" s="14"/>
      <c r="M108" s="14"/>
    </row>
    <row r="109">
      <c r="A109" s="14"/>
      <c r="B109" s="14"/>
      <c r="C109" s="14"/>
      <c r="D109" s="14"/>
      <c r="E109" s="14"/>
      <c r="F109" s="14"/>
      <c r="G109" s="14"/>
      <c r="H109" s="14"/>
      <c r="I109" s="14"/>
      <c r="J109" s="14"/>
      <c r="K109" s="14"/>
      <c r="L109" s="14"/>
      <c r="M109" s="14"/>
    </row>
    <row r="110">
      <c r="A110" s="14"/>
      <c r="B110" s="14"/>
      <c r="C110" s="14"/>
      <c r="D110" s="14"/>
      <c r="E110" s="14"/>
      <c r="F110" s="14"/>
      <c r="G110" s="14"/>
      <c r="H110" s="14"/>
      <c r="I110" s="14"/>
      <c r="J110" s="14"/>
      <c r="K110" s="14"/>
      <c r="L110" s="14"/>
      <c r="M110" s="14"/>
    </row>
    <row r="111">
      <c r="A111" s="14"/>
      <c r="B111" s="14"/>
      <c r="C111" s="14"/>
      <c r="D111" s="14"/>
      <c r="E111" s="14"/>
      <c r="F111" s="14"/>
      <c r="G111" s="14"/>
      <c r="H111" s="14"/>
      <c r="I111" s="14"/>
      <c r="J111" s="14"/>
      <c r="K111" s="14"/>
      <c r="L111" s="14"/>
      <c r="M111" s="14"/>
    </row>
    <row r="112">
      <c r="A112" s="14"/>
      <c r="B112" s="14"/>
      <c r="C112" s="14"/>
      <c r="D112" s="14"/>
      <c r="E112" s="14"/>
      <c r="F112" s="14"/>
      <c r="G112" s="14"/>
      <c r="H112" s="14"/>
      <c r="I112" s="14"/>
      <c r="J112" s="14"/>
      <c r="K112" s="14"/>
      <c r="L112" s="14"/>
      <c r="M112" s="14"/>
    </row>
    <row r="113">
      <c r="A113" s="14"/>
      <c r="B113" s="14"/>
      <c r="C113" s="14"/>
      <c r="D113" s="14"/>
      <c r="E113" s="14"/>
      <c r="F113" s="14"/>
      <c r="G113" s="14"/>
      <c r="H113" s="14"/>
      <c r="I113" s="14"/>
      <c r="J113" s="14"/>
      <c r="K113" s="14"/>
      <c r="L113" s="14"/>
      <c r="M113" s="14"/>
    </row>
    <row r="114">
      <c r="A114" s="14"/>
      <c r="B114" s="14"/>
      <c r="C114" s="14"/>
      <c r="D114" s="14"/>
      <c r="E114" s="14"/>
      <c r="F114" s="14"/>
      <c r="G114" s="14"/>
      <c r="H114" s="14"/>
      <c r="I114" s="14"/>
      <c r="J114" s="14"/>
      <c r="K114" s="14"/>
      <c r="L114" s="14"/>
      <c r="M114" s="14"/>
    </row>
    <row r="115">
      <c r="A115" s="14"/>
      <c r="B115" s="14"/>
      <c r="C115" s="14"/>
      <c r="D115" s="14"/>
      <c r="E115" s="14"/>
      <c r="F115" s="14"/>
      <c r="G115" s="14"/>
      <c r="H115" s="14"/>
      <c r="I115" s="14"/>
      <c r="J115" s="14"/>
      <c r="K115" s="14"/>
      <c r="L115" s="14"/>
      <c r="M115" s="14"/>
    </row>
    <row r="116">
      <c r="A116" s="14"/>
      <c r="B116" s="14"/>
      <c r="C116" s="14"/>
      <c r="D116" s="14"/>
      <c r="E116" s="14"/>
      <c r="F116" s="14"/>
      <c r="G116" s="14"/>
      <c r="H116" s="14"/>
      <c r="I116" s="14"/>
      <c r="J116" s="14"/>
      <c r="K116" s="14"/>
      <c r="L116" s="14"/>
      <c r="M116" s="14"/>
    </row>
    <row r="117">
      <c r="A117" s="14"/>
      <c r="B117" s="14"/>
      <c r="C117" s="14"/>
      <c r="D117" s="14"/>
      <c r="E117" s="14"/>
      <c r="F117" s="14"/>
      <c r="G117" s="14"/>
      <c r="H117" s="14"/>
      <c r="I117" s="14"/>
      <c r="J117" s="14"/>
      <c r="K117" s="14"/>
      <c r="L117" s="14"/>
      <c r="M117" s="14"/>
    </row>
    <row r="118">
      <c r="A118" s="14"/>
      <c r="B118" s="14"/>
      <c r="C118" s="14"/>
      <c r="D118" s="14"/>
      <c r="E118" s="14"/>
      <c r="F118" s="14"/>
      <c r="G118" s="14"/>
      <c r="H118" s="14"/>
      <c r="I118" s="14"/>
      <c r="J118" s="14"/>
      <c r="K118" s="14"/>
      <c r="L118" s="14"/>
      <c r="M118" s="14"/>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s>
  <drawing r:id="rId56"/>
  <tableParts count="1">
    <tablePart r:id="rId58"/>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24.5"/>
    <col customWidth="1" min="2" max="2" width="8.13"/>
    <col customWidth="1" min="3" max="3" width="30.88"/>
    <col customWidth="1" min="4" max="4" width="20.63"/>
    <col customWidth="1" min="5" max="5" width="17.0"/>
    <col customWidth="1" min="6" max="6" width="13.25"/>
    <col customWidth="1" min="7" max="7" width="17.38"/>
    <col customWidth="1" min="8" max="8" width="16.0"/>
    <col customWidth="1" min="9" max="9" width="11.0"/>
    <col customWidth="1" min="10" max="13" width="24.5"/>
  </cols>
  <sheetData>
    <row r="1" ht="26.25" customHeight="1">
      <c r="A1" s="281" t="s">
        <v>563</v>
      </c>
      <c r="B1" s="282" t="s">
        <v>402</v>
      </c>
      <c r="C1" s="283" t="s">
        <v>564</v>
      </c>
      <c r="D1" s="284" t="s">
        <v>5</v>
      </c>
      <c r="E1" s="286" t="s">
        <v>566</v>
      </c>
      <c r="F1" s="287" t="s">
        <v>21</v>
      </c>
      <c r="G1" s="284" t="s">
        <v>567</v>
      </c>
      <c r="H1" s="284" t="s">
        <v>48</v>
      </c>
      <c r="I1" s="288" t="s">
        <v>569</v>
      </c>
      <c r="J1" s="289" t="s">
        <v>39</v>
      </c>
    </row>
    <row r="2" ht="26.25" customHeight="1">
      <c r="A2" s="159" t="s">
        <v>509</v>
      </c>
      <c r="B2" s="290"/>
      <c r="C2" s="290" t="s">
        <v>401</v>
      </c>
      <c r="D2" s="291" t="s">
        <v>5</v>
      </c>
      <c r="E2" s="292">
        <v>9.003815145E9</v>
      </c>
      <c r="F2" s="291" t="s">
        <v>283</v>
      </c>
      <c r="G2" s="293" t="s">
        <v>575</v>
      </c>
      <c r="H2" s="294" t="s">
        <v>576</v>
      </c>
      <c r="I2" s="295" t="s">
        <v>577</v>
      </c>
      <c r="J2" s="296" t="s">
        <v>578</v>
      </c>
    </row>
    <row r="3" ht="26.25" customHeight="1">
      <c r="A3" s="18">
        <v>26.0</v>
      </c>
      <c r="B3" s="290"/>
      <c r="C3" s="290" t="s">
        <v>581</v>
      </c>
      <c r="D3" s="298" t="s">
        <v>5</v>
      </c>
      <c r="E3" s="292">
        <v>7.845414195E9</v>
      </c>
      <c r="F3" s="302" t="s">
        <v>583</v>
      </c>
      <c r="G3" s="294" t="s">
        <v>586</v>
      </c>
      <c r="H3" s="294" t="s">
        <v>393</v>
      </c>
      <c r="I3" s="296" t="s">
        <v>587</v>
      </c>
      <c r="J3" s="306" t="s">
        <v>390</v>
      </c>
    </row>
    <row r="4" ht="26.25" customHeight="1">
      <c r="A4" s="18">
        <v>27.0</v>
      </c>
      <c r="B4" s="308">
        <v>1.0</v>
      </c>
      <c r="C4" s="309" t="s">
        <v>592</v>
      </c>
      <c r="D4" s="298" t="s">
        <v>5</v>
      </c>
      <c r="E4" s="292">
        <v>9.790339415E9</v>
      </c>
      <c r="F4" s="302" t="s">
        <v>594</v>
      </c>
      <c r="G4" s="294" t="s">
        <v>595</v>
      </c>
      <c r="H4" s="294" t="s">
        <v>596</v>
      </c>
      <c r="I4" s="306" t="s">
        <v>597</v>
      </c>
      <c r="J4" s="306" t="s">
        <v>95</v>
      </c>
    </row>
    <row r="5" ht="26.25" customHeight="1">
      <c r="A5" s="18">
        <v>31.0</v>
      </c>
      <c r="B5" s="308">
        <v>2.0</v>
      </c>
      <c r="C5" s="309" t="s">
        <v>598</v>
      </c>
      <c r="D5" s="298" t="s">
        <v>5</v>
      </c>
      <c r="E5" s="292">
        <v>8.939077434E9</v>
      </c>
      <c r="F5" s="298" t="s">
        <v>600</v>
      </c>
      <c r="G5" s="294" t="s">
        <v>601</v>
      </c>
      <c r="H5" s="294" t="s">
        <v>596</v>
      </c>
      <c r="I5" s="306" t="s">
        <v>597</v>
      </c>
      <c r="J5" s="306" t="s">
        <v>442</v>
      </c>
    </row>
    <row r="6" ht="26.25" customHeight="1">
      <c r="A6" s="18">
        <v>25.0</v>
      </c>
      <c r="B6" s="308">
        <v>3.0</v>
      </c>
      <c r="C6" s="309" t="s">
        <v>604</v>
      </c>
      <c r="D6" s="298" t="s">
        <v>5</v>
      </c>
      <c r="E6" s="292">
        <v>7.539960504E9</v>
      </c>
      <c r="F6" s="298" t="s">
        <v>454</v>
      </c>
      <c r="G6" s="311" t="s">
        <v>605</v>
      </c>
      <c r="H6" s="294" t="s">
        <v>596</v>
      </c>
      <c r="I6" s="306" t="s">
        <v>597</v>
      </c>
      <c r="J6" s="312" t="s">
        <v>349</v>
      </c>
    </row>
    <row r="7" ht="26.25" customHeight="1">
      <c r="A7" s="18">
        <v>30.0</v>
      </c>
      <c r="B7" s="308">
        <v>4.0</v>
      </c>
      <c r="C7" s="313" t="s">
        <v>609</v>
      </c>
      <c r="D7" s="298" t="s">
        <v>5</v>
      </c>
      <c r="E7" s="292">
        <v>9.342049639E9</v>
      </c>
      <c r="F7" s="298" t="s">
        <v>59</v>
      </c>
      <c r="G7" s="294" t="s">
        <v>611</v>
      </c>
      <c r="H7" s="294" t="s">
        <v>114</v>
      </c>
      <c r="I7" s="306" t="s">
        <v>613</v>
      </c>
      <c r="J7" s="306" t="s">
        <v>95</v>
      </c>
    </row>
    <row r="8" ht="26.25" customHeight="1">
      <c r="A8" s="18">
        <v>28.0</v>
      </c>
      <c r="B8" s="290"/>
      <c r="C8" s="290" t="s">
        <v>615</v>
      </c>
      <c r="D8" s="298" t="s">
        <v>5</v>
      </c>
      <c r="E8" s="292">
        <v>6.385256271E9</v>
      </c>
      <c r="F8" s="298" t="s">
        <v>455</v>
      </c>
      <c r="G8" s="294" t="s">
        <v>617</v>
      </c>
      <c r="H8" s="294" t="s">
        <v>251</v>
      </c>
      <c r="I8" s="317" t="s">
        <v>618</v>
      </c>
      <c r="J8" s="306" t="s">
        <v>453</v>
      </c>
    </row>
    <row r="9" ht="26.25" customHeight="1">
      <c r="A9" s="18">
        <v>33.0</v>
      </c>
      <c r="B9" s="308">
        <v>5.0</v>
      </c>
      <c r="C9" s="309" t="s">
        <v>620</v>
      </c>
      <c r="D9" s="298" t="s">
        <v>5</v>
      </c>
      <c r="E9" s="292">
        <v>8.939747045E9</v>
      </c>
      <c r="F9" s="298" t="s">
        <v>622</v>
      </c>
      <c r="G9" s="319" t="s">
        <v>623</v>
      </c>
      <c r="H9" s="294" t="s">
        <v>596</v>
      </c>
      <c r="I9" s="306" t="s">
        <v>597</v>
      </c>
      <c r="J9" s="306" t="s">
        <v>628</v>
      </c>
    </row>
    <row r="10" ht="26.25" customHeight="1">
      <c r="A10" s="18">
        <v>41.0</v>
      </c>
      <c r="B10" s="308">
        <v>6.0</v>
      </c>
      <c r="C10" s="309" t="s">
        <v>631</v>
      </c>
      <c r="D10" s="298" t="s">
        <v>5</v>
      </c>
      <c r="E10" s="292">
        <v>8.681879364E9</v>
      </c>
      <c r="F10" s="298" t="s">
        <v>634</v>
      </c>
      <c r="G10" s="294" t="s">
        <v>636</v>
      </c>
      <c r="H10" s="294" t="s">
        <v>637</v>
      </c>
      <c r="I10" s="306" t="s">
        <v>638</v>
      </c>
      <c r="J10" s="306" t="s">
        <v>639</v>
      </c>
    </row>
    <row r="11" ht="26.25" customHeight="1">
      <c r="A11" s="18">
        <v>43.0</v>
      </c>
      <c r="B11" s="290"/>
      <c r="C11" s="290" t="s">
        <v>640</v>
      </c>
      <c r="D11" s="298" t="s">
        <v>5</v>
      </c>
      <c r="E11" s="292">
        <v>7.395956159E9</v>
      </c>
      <c r="F11" s="298" t="s">
        <v>83</v>
      </c>
      <c r="G11" s="294" t="s">
        <v>642</v>
      </c>
      <c r="H11" s="294" t="s">
        <v>333</v>
      </c>
      <c r="I11" s="306" t="s">
        <v>638</v>
      </c>
      <c r="J11" s="306" t="s">
        <v>645</v>
      </c>
    </row>
    <row r="12" ht="26.25" customHeight="1">
      <c r="A12" s="18">
        <v>42.0</v>
      </c>
      <c r="B12" s="308">
        <v>7.0</v>
      </c>
      <c r="C12" s="309" t="s">
        <v>647</v>
      </c>
      <c r="D12" s="298" t="s">
        <v>5</v>
      </c>
      <c r="E12" s="292">
        <v>9.791005395E9</v>
      </c>
      <c r="F12" s="298" t="s">
        <v>235</v>
      </c>
      <c r="G12" s="323" t="s">
        <v>649</v>
      </c>
      <c r="H12" s="294" t="s">
        <v>596</v>
      </c>
      <c r="I12" s="306" t="s">
        <v>597</v>
      </c>
      <c r="J12" s="295" t="s">
        <v>651</v>
      </c>
    </row>
    <row r="13" ht="26.25" customHeight="1">
      <c r="A13" s="87">
        <v>45.0</v>
      </c>
      <c r="B13" s="324"/>
      <c r="C13" s="324" t="s">
        <v>653</v>
      </c>
      <c r="D13" s="325" t="s">
        <v>5</v>
      </c>
      <c r="E13" s="326">
        <v>9.361054415E9</v>
      </c>
      <c r="F13" s="325" t="s">
        <v>405</v>
      </c>
      <c r="G13" s="324" t="s">
        <v>657</v>
      </c>
      <c r="H13" s="294" t="s">
        <v>393</v>
      </c>
      <c r="I13" s="317" t="s">
        <v>618</v>
      </c>
      <c r="J13" s="327" t="s">
        <v>399</v>
      </c>
    </row>
    <row r="14" ht="26.25" customHeight="1">
      <c r="A14" s="18">
        <v>44.0</v>
      </c>
      <c r="B14" s="308">
        <v>8.0</v>
      </c>
      <c r="C14" s="309" t="s">
        <v>658</v>
      </c>
      <c r="D14" s="294" t="s">
        <v>5</v>
      </c>
      <c r="E14" s="292">
        <v>8.438532004E9</v>
      </c>
      <c r="F14" s="328" t="s">
        <v>659</v>
      </c>
      <c r="G14" s="294" t="s">
        <v>660</v>
      </c>
      <c r="H14" s="294" t="s">
        <v>596</v>
      </c>
      <c r="I14" s="306" t="s">
        <v>597</v>
      </c>
      <c r="J14" s="306" t="s">
        <v>661</v>
      </c>
    </row>
    <row r="15" ht="26.25" customHeight="1">
      <c r="A15" s="87" t="s">
        <v>509</v>
      </c>
      <c r="B15" s="308">
        <v>9.0</v>
      </c>
      <c r="C15" s="313" t="s">
        <v>662</v>
      </c>
      <c r="D15" s="325" t="s">
        <v>5</v>
      </c>
      <c r="E15" s="326">
        <v>7.30549974E9</v>
      </c>
      <c r="F15" s="325" t="s">
        <v>108</v>
      </c>
      <c r="G15" s="324" t="s">
        <v>665</v>
      </c>
      <c r="H15" s="294" t="s">
        <v>114</v>
      </c>
      <c r="I15" s="306" t="s">
        <v>613</v>
      </c>
      <c r="J15" s="327" t="s">
        <v>628</v>
      </c>
    </row>
    <row r="16" ht="26.25" customHeight="1">
      <c r="A16" s="18" t="s">
        <v>509</v>
      </c>
      <c r="B16" s="308">
        <v>10.0</v>
      </c>
      <c r="C16" s="309" t="s">
        <v>669</v>
      </c>
      <c r="D16" s="294" t="s">
        <v>5</v>
      </c>
      <c r="E16" s="329">
        <v>9.363197584E9</v>
      </c>
      <c r="F16" s="294" t="s">
        <v>670</v>
      </c>
      <c r="G16" s="294" t="s">
        <v>672</v>
      </c>
      <c r="H16" s="294" t="s">
        <v>596</v>
      </c>
      <c r="I16" s="306" t="s">
        <v>597</v>
      </c>
      <c r="J16" s="306" t="s">
        <v>676</v>
      </c>
    </row>
    <row r="17" ht="26.25" customHeight="1">
      <c r="A17" s="18">
        <v>52.0</v>
      </c>
      <c r="B17" s="290"/>
      <c r="C17" s="290" t="s">
        <v>678</v>
      </c>
      <c r="D17" s="298" t="s">
        <v>5</v>
      </c>
      <c r="E17" s="292">
        <v>9.600407657E9</v>
      </c>
      <c r="F17" s="298" t="s">
        <v>135</v>
      </c>
      <c r="G17" s="294" t="s">
        <v>679</v>
      </c>
      <c r="H17" s="294" t="s">
        <v>333</v>
      </c>
      <c r="I17" s="306" t="s">
        <v>638</v>
      </c>
      <c r="J17" s="306" t="s">
        <v>390</v>
      </c>
    </row>
    <row r="18" ht="26.25" customHeight="1">
      <c r="A18" s="87">
        <v>48.0</v>
      </c>
      <c r="B18" s="290"/>
      <c r="C18" s="290" t="s">
        <v>58</v>
      </c>
      <c r="D18" s="294" t="s">
        <v>5</v>
      </c>
      <c r="E18" s="329">
        <v>7.358629515E9</v>
      </c>
      <c r="F18" s="330" t="s">
        <v>69</v>
      </c>
      <c r="G18" s="323" t="s">
        <v>681</v>
      </c>
      <c r="H18" s="294" t="s">
        <v>596</v>
      </c>
      <c r="I18" s="306" t="s">
        <v>597</v>
      </c>
      <c r="J18" s="295" t="s">
        <v>578</v>
      </c>
    </row>
    <row r="19" ht="26.25" customHeight="1">
      <c r="A19" s="18">
        <v>50.0</v>
      </c>
      <c r="B19" s="209"/>
      <c r="C19" s="209" t="s">
        <v>688</v>
      </c>
      <c r="D19" s="331" t="s">
        <v>5</v>
      </c>
      <c r="E19" s="332">
        <v>9.003530044E9</v>
      </c>
      <c r="F19" s="333" t="s">
        <v>689</v>
      </c>
      <c r="G19" s="331" t="s">
        <v>690</v>
      </c>
      <c r="H19" s="294" t="s">
        <v>596</v>
      </c>
      <c r="I19" s="306" t="s">
        <v>597</v>
      </c>
      <c r="J19" s="317" t="s">
        <v>692</v>
      </c>
    </row>
    <row r="20" ht="26.25" customHeight="1">
      <c r="A20" s="18">
        <v>49.0</v>
      </c>
      <c r="B20" s="290"/>
      <c r="C20" s="290" t="s">
        <v>171</v>
      </c>
      <c r="D20" s="298" t="s">
        <v>5</v>
      </c>
      <c r="E20" s="292">
        <v>9.384233122E9</v>
      </c>
      <c r="F20" s="298" t="s">
        <v>696</v>
      </c>
      <c r="G20" s="294" t="s">
        <v>699</v>
      </c>
      <c r="H20" s="294" t="s">
        <v>700</v>
      </c>
      <c r="I20" s="306" t="s">
        <v>618</v>
      </c>
      <c r="J20" s="306" t="s">
        <v>639</v>
      </c>
    </row>
    <row r="21" ht="26.25" customHeight="1">
      <c r="A21" s="18">
        <v>51.0</v>
      </c>
      <c r="B21" s="331"/>
      <c r="C21" s="331" t="s">
        <v>701</v>
      </c>
      <c r="D21" s="298" t="s">
        <v>5</v>
      </c>
      <c r="E21" s="292">
        <v>9.944039984E9</v>
      </c>
      <c r="F21" s="298" t="s">
        <v>703</v>
      </c>
      <c r="G21" s="294" t="s">
        <v>704</v>
      </c>
      <c r="H21" s="294" t="s">
        <v>616</v>
      </c>
      <c r="I21" s="296" t="s">
        <v>587</v>
      </c>
      <c r="J21" s="306" t="s">
        <v>628</v>
      </c>
    </row>
    <row r="22" ht="26.25" customHeight="1">
      <c r="A22" s="18">
        <v>52.0</v>
      </c>
      <c r="B22" s="308">
        <v>11.0</v>
      </c>
      <c r="C22" s="309" t="s">
        <v>440</v>
      </c>
      <c r="D22" s="298" t="s">
        <v>5</v>
      </c>
      <c r="E22" s="329">
        <v>9.952048318E9</v>
      </c>
      <c r="F22" s="298" t="s">
        <v>144</v>
      </c>
      <c r="G22" s="334" t="s">
        <v>707</v>
      </c>
      <c r="H22" s="294" t="s">
        <v>114</v>
      </c>
      <c r="I22" s="306" t="s">
        <v>613</v>
      </c>
      <c r="J22" s="335" t="s">
        <v>381</v>
      </c>
    </row>
    <row r="23" ht="26.25" customHeight="1">
      <c r="A23" s="87">
        <v>39.0</v>
      </c>
      <c r="B23" s="324"/>
      <c r="C23" s="324" t="s">
        <v>332</v>
      </c>
      <c r="D23" s="325" t="s">
        <v>5</v>
      </c>
      <c r="E23" s="326">
        <v>9.176435615E9</v>
      </c>
      <c r="F23" s="324" t="s">
        <v>161</v>
      </c>
      <c r="G23" s="324" t="s">
        <v>710</v>
      </c>
      <c r="H23" s="294" t="s">
        <v>711</v>
      </c>
      <c r="I23" s="306" t="s">
        <v>712</v>
      </c>
      <c r="J23" s="327" t="s">
        <v>628</v>
      </c>
    </row>
    <row r="24" ht="26.25" customHeight="1">
      <c r="A24" s="18">
        <v>55.0</v>
      </c>
      <c r="B24" s="290"/>
      <c r="C24" s="290" t="s">
        <v>713</v>
      </c>
      <c r="D24" s="298" t="s">
        <v>5</v>
      </c>
      <c r="E24" s="292">
        <v>9.843930292E9</v>
      </c>
      <c r="F24" s="294" t="s">
        <v>709</v>
      </c>
      <c r="G24" s="294" t="s">
        <v>716</v>
      </c>
      <c r="H24" s="294" t="s">
        <v>333</v>
      </c>
      <c r="I24" s="306" t="s">
        <v>638</v>
      </c>
      <c r="J24" s="306" t="s">
        <v>718</v>
      </c>
    </row>
    <row r="25" ht="26.25" customHeight="1">
      <c r="A25" s="18">
        <v>56.0</v>
      </c>
      <c r="B25" s="290"/>
      <c r="C25" s="290" t="s">
        <v>720</v>
      </c>
      <c r="D25" s="298" t="s">
        <v>5</v>
      </c>
      <c r="E25" s="292">
        <v>7.200326094E9</v>
      </c>
      <c r="F25" s="298" t="s">
        <v>621</v>
      </c>
      <c r="G25" s="336" t="s">
        <v>721</v>
      </c>
      <c r="H25" s="294" t="s">
        <v>616</v>
      </c>
      <c r="I25" s="296" t="s">
        <v>587</v>
      </c>
      <c r="J25" s="337" t="s">
        <v>442</v>
      </c>
    </row>
    <row r="26" ht="26.25" customHeight="1">
      <c r="A26" s="65"/>
      <c r="B26" s="290"/>
      <c r="C26" s="290" t="s">
        <v>723</v>
      </c>
      <c r="D26" s="298" t="s">
        <v>5</v>
      </c>
      <c r="E26" s="292">
        <v>8.12268775E9</v>
      </c>
      <c r="F26" s="298" t="s">
        <v>725</v>
      </c>
      <c r="G26" s="311" t="s">
        <v>726</v>
      </c>
      <c r="H26" s="294" t="s">
        <v>393</v>
      </c>
      <c r="I26" s="296" t="s">
        <v>587</v>
      </c>
      <c r="J26" s="312" t="s">
        <v>356</v>
      </c>
    </row>
    <row r="27" ht="26.25" customHeight="1">
      <c r="A27" s="87" t="s">
        <v>509</v>
      </c>
      <c r="B27" s="324"/>
      <c r="C27" s="324" t="s">
        <v>728</v>
      </c>
      <c r="D27" s="324" t="s">
        <v>5</v>
      </c>
      <c r="E27" s="326">
        <v>9.789962388E9</v>
      </c>
      <c r="F27" s="325" t="s">
        <v>729</v>
      </c>
      <c r="G27" s="324" t="s">
        <v>730</v>
      </c>
      <c r="H27" s="294" t="s">
        <v>251</v>
      </c>
      <c r="I27" s="317" t="s">
        <v>618</v>
      </c>
      <c r="J27" s="327" t="s">
        <v>639</v>
      </c>
    </row>
    <row r="28" ht="26.25" customHeight="1">
      <c r="A28" s="18">
        <v>61.0</v>
      </c>
      <c r="B28" s="313"/>
      <c r="C28" s="313" t="s">
        <v>736</v>
      </c>
      <c r="D28" s="298" t="s">
        <v>5</v>
      </c>
      <c r="E28" s="292">
        <v>9.150452331E9</v>
      </c>
      <c r="F28" s="298" t="s">
        <v>178</v>
      </c>
      <c r="G28" s="339" t="s">
        <v>739</v>
      </c>
      <c r="H28" s="294" t="s">
        <v>742</v>
      </c>
      <c r="I28" s="340" t="s">
        <v>577</v>
      </c>
      <c r="J28" s="340" t="s">
        <v>744</v>
      </c>
    </row>
    <row r="29" ht="26.25" customHeight="1">
      <c r="A29" s="18">
        <v>60.0</v>
      </c>
      <c r="B29" s="290"/>
      <c r="C29" s="290" t="s">
        <v>745</v>
      </c>
      <c r="D29" s="298" t="s">
        <v>5</v>
      </c>
      <c r="E29" s="292">
        <v>6.381784015E9</v>
      </c>
      <c r="F29" s="298" t="s">
        <v>345</v>
      </c>
      <c r="G29" s="336" t="s">
        <v>747</v>
      </c>
      <c r="H29" s="294" t="s">
        <v>749</v>
      </c>
      <c r="I29" s="296" t="s">
        <v>587</v>
      </c>
      <c r="J29" s="337" t="s">
        <v>338</v>
      </c>
    </row>
    <row r="30" ht="26.25" customHeight="1">
      <c r="A30" s="18" t="s">
        <v>509</v>
      </c>
      <c r="B30" s="308">
        <v>12.0</v>
      </c>
      <c r="C30" s="309" t="s">
        <v>750</v>
      </c>
      <c r="D30" s="298" t="s">
        <v>5</v>
      </c>
      <c r="E30" s="292">
        <v>6.38133723E9</v>
      </c>
      <c r="F30" s="298" t="s">
        <v>469</v>
      </c>
      <c r="G30" s="339" t="s">
        <v>751</v>
      </c>
      <c r="H30" s="294" t="s">
        <v>637</v>
      </c>
      <c r="I30" s="306" t="s">
        <v>638</v>
      </c>
      <c r="J30" s="340" t="s">
        <v>381</v>
      </c>
    </row>
    <row r="31" ht="26.25" customHeight="1">
      <c r="A31" s="18" t="s">
        <v>509</v>
      </c>
      <c r="B31" s="342"/>
      <c r="C31" s="342" t="s">
        <v>544</v>
      </c>
      <c r="D31" s="324" t="s">
        <v>5</v>
      </c>
      <c r="E31" s="343">
        <v>7.845471602E9</v>
      </c>
      <c r="F31" s="343" t="s">
        <v>549</v>
      </c>
      <c r="G31" s="324" t="s">
        <v>757</v>
      </c>
      <c r="H31" s="294" t="s">
        <v>596</v>
      </c>
      <c r="I31" s="306" t="s">
        <v>597</v>
      </c>
      <c r="J31" s="327" t="s">
        <v>692</v>
      </c>
    </row>
    <row r="32" ht="26.25" customHeight="1">
      <c r="A32" s="65"/>
      <c r="B32" s="308">
        <v>13.0</v>
      </c>
      <c r="C32" s="309" t="s">
        <v>762</v>
      </c>
      <c r="D32" s="298" t="s">
        <v>5</v>
      </c>
      <c r="E32" s="292">
        <v>9.025314278E9</v>
      </c>
      <c r="F32" s="302" t="s">
        <v>763</v>
      </c>
      <c r="G32" s="294" t="s">
        <v>766</v>
      </c>
      <c r="H32" s="294" t="s">
        <v>596</v>
      </c>
      <c r="I32" s="306" t="s">
        <v>597</v>
      </c>
      <c r="J32" s="306" t="s">
        <v>506</v>
      </c>
    </row>
    <row r="33" ht="26.25" customHeight="1">
      <c r="A33" s="18" t="s">
        <v>509</v>
      </c>
      <c r="B33" s="290"/>
      <c r="C33" s="290" t="s">
        <v>97</v>
      </c>
      <c r="D33" s="298" t="s">
        <v>5</v>
      </c>
      <c r="E33" s="292">
        <v>9.940432697E9</v>
      </c>
      <c r="F33" s="330" t="s">
        <v>40</v>
      </c>
      <c r="G33" s="344" t="s">
        <v>767</v>
      </c>
      <c r="H33" s="294" t="s">
        <v>768</v>
      </c>
      <c r="I33" s="306" t="s">
        <v>638</v>
      </c>
      <c r="J33" s="345" t="s">
        <v>628</v>
      </c>
    </row>
    <row r="34" ht="26.25" customHeight="1">
      <c r="A34" s="18" t="s">
        <v>509</v>
      </c>
      <c r="B34" s="308">
        <v>14.0</v>
      </c>
      <c r="C34" s="309" t="s">
        <v>769</v>
      </c>
      <c r="D34" s="298" t="s">
        <v>5</v>
      </c>
      <c r="E34" s="292">
        <v>9.042934637E9</v>
      </c>
      <c r="F34" s="298" t="s">
        <v>421</v>
      </c>
      <c r="G34" s="336" t="s">
        <v>772</v>
      </c>
      <c r="H34" s="294" t="s">
        <v>114</v>
      </c>
      <c r="I34" s="306" t="s">
        <v>613</v>
      </c>
      <c r="J34" s="337" t="s">
        <v>773</v>
      </c>
    </row>
    <row r="35" ht="26.25" customHeight="1">
      <c r="A35" s="18">
        <v>57.0</v>
      </c>
      <c r="B35" s="308">
        <v>15.0</v>
      </c>
      <c r="C35" s="309" t="s">
        <v>776</v>
      </c>
      <c r="D35" s="294" t="s">
        <v>5</v>
      </c>
      <c r="E35" s="292">
        <v>9.79163837E9</v>
      </c>
      <c r="F35" s="298" t="s">
        <v>117</v>
      </c>
      <c r="G35" s="346" t="s">
        <v>779</v>
      </c>
      <c r="H35" s="294" t="s">
        <v>780</v>
      </c>
      <c r="I35" s="306" t="s">
        <v>613</v>
      </c>
      <c r="J35" s="347" t="s">
        <v>628</v>
      </c>
    </row>
    <row r="36" ht="26.25" customHeight="1">
      <c r="A36" s="18" t="s">
        <v>509</v>
      </c>
      <c r="B36" s="308">
        <v>16.0</v>
      </c>
      <c r="C36" s="313" t="s">
        <v>781</v>
      </c>
      <c r="D36" s="298" t="s">
        <v>5</v>
      </c>
      <c r="E36" s="292">
        <v>9.380184164E9</v>
      </c>
      <c r="F36" s="294" t="s">
        <v>299</v>
      </c>
      <c r="G36" s="294" t="s">
        <v>782</v>
      </c>
      <c r="H36" s="294" t="s">
        <v>596</v>
      </c>
      <c r="I36" s="306" t="s">
        <v>597</v>
      </c>
      <c r="J36" s="306" t="s">
        <v>381</v>
      </c>
    </row>
    <row r="37" ht="26.25" customHeight="1">
      <c r="A37" s="87" t="s">
        <v>509</v>
      </c>
      <c r="B37" s="324"/>
      <c r="C37" s="324" t="s">
        <v>157</v>
      </c>
      <c r="D37" s="324" t="s">
        <v>5</v>
      </c>
      <c r="E37" s="326">
        <v>6.382396276E9</v>
      </c>
      <c r="F37" s="325" t="s">
        <v>168</v>
      </c>
      <c r="G37" s="324" t="s">
        <v>785</v>
      </c>
      <c r="H37" s="294" t="s">
        <v>576</v>
      </c>
      <c r="I37" s="295" t="s">
        <v>577</v>
      </c>
      <c r="J37" s="327" t="s">
        <v>628</v>
      </c>
    </row>
    <row r="38" ht="26.25" customHeight="1">
      <c r="A38" s="18" t="s">
        <v>509</v>
      </c>
      <c r="B38" s="290"/>
      <c r="C38" s="290" t="s">
        <v>75</v>
      </c>
      <c r="D38" s="298" t="s">
        <v>5</v>
      </c>
      <c r="E38" s="292">
        <v>9.363300142E9</v>
      </c>
      <c r="F38" s="298" t="s">
        <v>92</v>
      </c>
      <c r="G38" s="323" t="s">
        <v>787</v>
      </c>
      <c r="H38" s="294" t="s">
        <v>576</v>
      </c>
      <c r="I38" s="295" t="s">
        <v>577</v>
      </c>
      <c r="J38" s="295" t="s">
        <v>788</v>
      </c>
    </row>
    <row r="39" ht="26.25" customHeight="1">
      <c r="A39" s="18">
        <v>29.0</v>
      </c>
      <c r="B39" s="308">
        <v>17.0</v>
      </c>
      <c r="C39" s="309" t="s">
        <v>790</v>
      </c>
      <c r="D39" s="298" t="s">
        <v>5</v>
      </c>
      <c r="E39" s="292">
        <v>8.092225251E9</v>
      </c>
      <c r="F39" s="298" t="s">
        <v>291</v>
      </c>
      <c r="G39" s="344" t="s">
        <v>791</v>
      </c>
      <c r="H39" s="294" t="s">
        <v>596</v>
      </c>
      <c r="I39" s="306" t="s">
        <v>597</v>
      </c>
      <c r="J39" s="345" t="s">
        <v>793</v>
      </c>
    </row>
    <row r="40" ht="26.25" customHeight="1">
      <c r="A40" s="18">
        <v>35.0</v>
      </c>
      <c r="B40" s="308">
        <v>18.0</v>
      </c>
      <c r="C40" s="309" t="s">
        <v>794</v>
      </c>
      <c r="D40" s="298" t="s">
        <v>5</v>
      </c>
      <c r="E40" s="292">
        <v>8.122302503E9</v>
      </c>
      <c r="F40" s="298" t="s">
        <v>796</v>
      </c>
      <c r="G40" s="294" t="s">
        <v>797</v>
      </c>
      <c r="H40" s="294" t="s">
        <v>637</v>
      </c>
      <c r="I40" s="306" t="s">
        <v>638</v>
      </c>
      <c r="J40" s="306" t="s">
        <v>639</v>
      </c>
    </row>
    <row r="41" ht="26.25" customHeight="1">
      <c r="A41" s="65"/>
      <c r="B41" s="290"/>
      <c r="C41" s="290" t="s">
        <v>154</v>
      </c>
      <c r="D41" s="298" t="s">
        <v>5</v>
      </c>
      <c r="E41" s="292">
        <v>7.397252915E9</v>
      </c>
      <c r="F41" s="298" t="s">
        <v>151</v>
      </c>
      <c r="G41" s="344" t="s">
        <v>800</v>
      </c>
      <c r="H41" s="294" t="s">
        <v>333</v>
      </c>
      <c r="I41" s="306" t="s">
        <v>638</v>
      </c>
      <c r="J41" s="345" t="s">
        <v>330</v>
      </c>
    </row>
    <row r="42" ht="26.25" customHeight="1">
      <c r="A42" s="87">
        <v>46.0</v>
      </c>
      <c r="B42" s="13"/>
      <c r="C42" s="13" t="s">
        <v>579</v>
      </c>
      <c r="D42" s="331" t="s">
        <v>5</v>
      </c>
      <c r="E42" s="332">
        <v>6.379496755E9</v>
      </c>
      <c r="F42" s="333" t="s">
        <v>589</v>
      </c>
      <c r="G42" s="331" t="s">
        <v>802</v>
      </c>
      <c r="H42" s="294" t="s">
        <v>596</v>
      </c>
      <c r="I42" s="306" t="s">
        <v>597</v>
      </c>
      <c r="J42" s="349" t="s">
        <v>692</v>
      </c>
    </row>
    <row r="43" ht="26.25" customHeight="1">
      <c r="A43" s="65"/>
      <c r="B43" s="308">
        <v>19.0</v>
      </c>
      <c r="C43" s="309" t="s">
        <v>803</v>
      </c>
      <c r="D43" s="298" t="s">
        <v>5</v>
      </c>
      <c r="E43" s="292">
        <v>9.042871766E9</v>
      </c>
      <c r="F43" s="302" t="s">
        <v>293</v>
      </c>
      <c r="G43" s="294" t="s">
        <v>804</v>
      </c>
      <c r="H43" s="294" t="s">
        <v>807</v>
      </c>
      <c r="I43" s="306" t="s">
        <v>712</v>
      </c>
      <c r="J43" s="306" t="s">
        <v>630</v>
      </c>
    </row>
    <row r="44" ht="26.25" customHeight="1">
      <c r="A44" s="18">
        <v>36.0</v>
      </c>
      <c r="B44" s="308">
        <v>20.0</v>
      </c>
      <c r="C44" s="309" t="s">
        <v>809</v>
      </c>
      <c r="D44" s="298" t="s">
        <v>5</v>
      </c>
      <c r="E44" s="292">
        <v>7.094149367E9</v>
      </c>
      <c r="F44" s="298" t="s">
        <v>142</v>
      </c>
      <c r="G44" s="294" t="s">
        <v>810</v>
      </c>
      <c r="H44" s="294" t="s">
        <v>807</v>
      </c>
      <c r="I44" s="306" t="s">
        <v>712</v>
      </c>
      <c r="J44" s="306" t="s">
        <v>131</v>
      </c>
    </row>
    <row r="45" ht="26.25" customHeight="1">
      <c r="A45" s="87" t="s">
        <v>509</v>
      </c>
      <c r="B45" s="324"/>
      <c r="C45" s="324" t="s">
        <v>172</v>
      </c>
      <c r="D45" s="325" t="s">
        <v>5</v>
      </c>
      <c r="E45" s="326">
        <v>8.608487249E9</v>
      </c>
      <c r="F45" s="325" t="s">
        <v>73</v>
      </c>
      <c r="G45" s="352" t="s">
        <v>812</v>
      </c>
      <c r="H45" s="294" t="s">
        <v>393</v>
      </c>
      <c r="I45" s="296" t="s">
        <v>587</v>
      </c>
      <c r="J45" s="353" t="s">
        <v>578</v>
      </c>
    </row>
    <row r="46" ht="26.25" customHeight="1">
      <c r="A46" s="18"/>
      <c r="B46" s="308">
        <v>21.0</v>
      </c>
      <c r="C46" s="309" t="s">
        <v>814</v>
      </c>
      <c r="D46" s="298" t="s">
        <v>5</v>
      </c>
      <c r="E46" s="329">
        <v>7.358254947E9</v>
      </c>
      <c r="F46" s="328" t="s">
        <v>287</v>
      </c>
      <c r="G46" s="294" t="s">
        <v>815</v>
      </c>
      <c r="H46" s="294" t="s">
        <v>807</v>
      </c>
      <c r="I46" s="306" t="s">
        <v>712</v>
      </c>
      <c r="J46" s="306" t="s">
        <v>95</v>
      </c>
    </row>
    <row r="47" ht="26.25" customHeight="1">
      <c r="A47" s="18" t="s">
        <v>509</v>
      </c>
      <c r="B47" s="308">
        <v>22.0</v>
      </c>
      <c r="C47" s="309" t="s">
        <v>817</v>
      </c>
      <c r="D47" s="325" t="s">
        <v>5</v>
      </c>
      <c r="E47" s="326">
        <v>7.708365986E9</v>
      </c>
      <c r="F47" s="325" t="s">
        <v>126</v>
      </c>
      <c r="G47" s="324" t="s">
        <v>818</v>
      </c>
      <c r="H47" s="294" t="s">
        <v>71</v>
      </c>
      <c r="I47" s="306" t="s">
        <v>712</v>
      </c>
      <c r="J47" s="327" t="s">
        <v>381</v>
      </c>
    </row>
    <row r="48" ht="26.25" customHeight="1">
      <c r="A48" s="18" t="s">
        <v>509</v>
      </c>
      <c r="B48" s="290"/>
      <c r="C48" s="290" t="s">
        <v>822</v>
      </c>
      <c r="D48" s="298" t="s">
        <v>5</v>
      </c>
      <c r="E48" s="292">
        <v>9.791896178E9</v>
      </c>
      <c r="F48" s="298" t="s">
        <v>826</v>
      </c>
      <c r="G48" s="294" t="s">
        <v>827</v>
      </c>
      <c r="H48" s="294" t="s">
        <v>576</v>
      </c>
      <c r="I48" s="295" t="s">
        <v>577</v>
      </c>
      <c r="J48" s="306" t="s">
        <v>628</v>
      </c>
    </row>
    <row r="49" ht="26.25" customHeight="1">
      <c r="A49" s="87"/>
      <c r="B49" s="324"/>
      <c r="C49" s="324" t="s">
        <v>115</v>
      </c>
      <c r="D49" s="324" t="s">
        <v>5</v>
      </c>
      <c r="E49" s="361">
        <v>9.043405357E9</v>
      </c>
      <c r="F49" s="324" t="s">
        <v>132</v>
      </c>
      <c r="G49" s="363" t="s">
        <v>829</v>
      </c>
      <c r="H49" s="294" t="s">
        <v>71</v>
      </c>
      <c r="I49" s="306" t="s">
        <v>712</v>
      </c>
      <c r="J49" s="364" t="s">
        <v>788</v>
      </c>
    </row>
    <row r="50" ht="26.25" customHeight="1">
      <c r="A50" s="87" t="s">
        <v>509</v>
      </c>
      <c r="B50" s="324"/>
      <c r="C50" s="324" t="s">
        <v>831</v>
      </c>
      <c r="D50" s="324" t="s">
        <v>5</v>
      </c>
      <c r="E50" s="326">
        <v>8.903672237E9</v>
      </c>
      <c r="F50" s="325" t="s">
        <v>832</v>
      </c>
      <c r="G50" s="324" t="s">
        <v>833</v>
      </c>
      <c r="H50" s="294" t="s">
        <v>393</v>
      </c>
      <c r="I50" s="296" t="s">
        <v>587</v>
      </c>
      <c r="J50" s="327" t="s">
        <v>628</v>
      </c>
    </row>
    <row r="51" ht="26.25" customHeight="1">
      <c r="A51" s="87" t="s">
        <v>509</v>
      </c>
      <c r="B51" s="308">
        <v>23.0</v>
      </c>
      <c r="C51" s="309" t="s">
        <v>279</v>
      </c>
      <c r="D51" s="298" t="s">
        <v>5</v>
      </c>
      <c r="E51" s="292">
        <v>7.200939492E9</v>
      </c>
      <c r="F51" s="294" t="s">
        <v>163</v>
      </c>
      <c r="G51" s="294" t="s">
        <v>835</v>
      </c>
      <c r="H51" s="294" t="s">
        <v>71</v>
      </c>
      <c r="I51" s="306" t="s">
        <v>712</v>
      </c>
      <c r="J51" s="306" t="s">
        <v>95</v>
      </c>
    </row>
    <row r="52" ht="26.25" customHeight="1">
      <c r="A52" s="19" t="s">
        <v>509</v>
      </c>
      <c r="B52" s="308">
        <v>24.0</v>
      </c>
      <c r="C52" s="309" t="s">
        <v>836</v>
      </c>
      <c r="D52" s="298" t="s">
        <v>5</v>
      </c>
      <c r="E52" s="292">
        <v>9.790004554E9</v>
      </c>
      <c r="F52" s="367" t="s">
        <v>255</v>
      </c>
      <c r="G52" s="346" t="s">
        <v>838</v>
      </c>
      <c r="H52" s="294" t="s">
        <v>71</v>
      </c>
      <c r="I52" s="306" t="s">
        <v>712</v>
      </c>
      <c r="J52" s="347" t="s">
        <v>639</v>
      </c>
    </row>
    <row r="53" ht="26.25" customHeight="1">
      <c r="A53" s="18" t="s">
        <v>509</v>
      </c>
      <c r="B53" s="290"/>
      <c r="C53" s="290" t="s">
        <v>840</v>
      </c>
      <c r="D53" s="294" t="s">
        <v>5</v>
      </c>
      <c r="E53" s="292">
        <v>8.825987128E9</v>
      </c>
      <c r="F53" s="298" t="s">
        <v>568</v>
      </c>
      <c r="G53" s="294" t="s">
        <v>843</v>
      </c>
      <c r="H53" s="294" t="s">
        <v>768</v>
      </c>
      <c r="I53" s="306" t="s">
        <v>638</v>
      </c>
      <c r="J53" s="306" t="s">
        <v>844</v>
      </c>
    </row>
    <row r="54" ht="26.25" customHeight="1">
      <c r="A54" s="18"/>
      <c r="B54" s="290"/>
      <c r="C54" s="290" t="s">
        <v>845</v>
      </c>
      <c r="D54" s="294" t="s">
        <v>5</v>
      </c>
      <c r="E54" s="329">
        <v>8.1480911E9</v>
      </c>
      <c r="F54" s="294" t="s">
        <v>304</v>
      </c>
      <c r="G54" s="331" t="s">
        <v>847</v>
      </c>
      <c r="H54" s="294" t="s">
        <v>749</v>
      </c>
      <c r="I54" s="296" t="s">
        <v>587</v>
      </c>
      <c r="J54" s="317" t="s">
        <v>628</v>
      </c>
    </row>
    <row r="55" ht="26.25" customHeight="1">
      <c r="A55" s="18"/>
      <c r="B55" s="331"/>
      <c r="C55" s="331" t="s">
        <v>850</v>
      </c>
      <c r="D55" s="294" t="s">
        <v>5</v>
      </c>
      <c r="E55" s="292">
        <v>8.610254655E9</v>
      </c>
      <c r="F55" s="298" t="s">
        <v>448</v>
      </c>
      <c r="G55" s="294" t="e">
        <v>#N/A</v>
      </c>
      <c r="H55" s="294" t="s">
        <v>333</v>
      </c>
      <c r="I55" s="306" t="s">
        <v>638</v>
      </c>
      <c r="J55" s="306" t="s">
        <v>442</v>
      </c>
    </row>
    <row r="56" ht="26.25" customHeight="1">
      <c r="A56" s="18"/>
      <c r="B56" s="290"/>
      <c r="C56" s="290" t="s">
        <v>851</v>
      </c>
      <c r="D56" s="294" t="s">
        <v>5</v>
      </c>
      <c r="E56" s="292">
        <v>8.883035691E9</v>
      </c>
      <c r="F56" s="328" t="s">
        <v>80</v>
      </c>
      <c r="G56" s="344" t="s">
        <v>854</v>
      </c>
      <c r="H56" s="294" t="s">
        <v>576</v>
      </c>
      <c r="I56" s="306" t="s">
        <v>577</v>
      </c>
      <c r="J56" s="345" t="s">
        <v>66</v>
      </c>
    </row>
    <row r="57" ht="26.25" customHeight="1">
      <c r="A57" s="18">
        <v>70.0</v>
      </c>
      <c r="B57" s="308">
        <v>25.0</v>
      </c>
      <c r="C57" s="309" t="s">
        <v>857</v>
      </c>
      <c r="D57" s="324" t="s">
        <v>5</v>
      </c>
      <c r="E57" s="326">
        <v>6.382725434E9</v>
      </c>
      <c r="F57" s="324" t="s">
        <v>754</v>
      </c>
      <c r="G57" s="352" t="s">
        <v>858</v>
      </c>
      <c r="H57" s="294" t="s">
        <v>71</v>
      </c>
      <c r="I57" s="306" t="s">
        <v>712</v>
      </c>
      <c r="J57" s="353" t="s">
        <v>216</v>
      </c>
    </row>
    <row r="58" ht="26.25" customHeight="1">
      <c r="A58" s="18">
        <v>74.0</v>
      </c>
      <c r="B58" s="290"/>
      <c r="C58" s="290" t="s">
        <v>860</v>
      </c>
      <c r="D58" s="294" t="s">
        <v>5</v>
      </c>
      <c r="E58" s="368">
        <v>9.500194696E9</v>
      </c>
      <c r="F58" s="330" t="s">
        <v>864</v>
      </c>
      <c r="G58" s="294" t="s">
        <v>865</v>
      </c>
      <c r="H58" s="294" t="s">
        <v>711</v>
      </c>
      <c r="I58" s="306" t="s">
        <v>712</v>
      </c>
      <c r="J58" s="306" t="s">
        <v>788</v>
      </c>
    </row>
    <row r="59" ht="26.25" customHeight="1">
      <c r="A59" s="18">
        <v>75.0</v>
      </c>
      <c r="B59" s="308">
        <v>26.0</v>
      </c>
      <c r="C59" s="309" t="s">
        <v>866</v>
      </c>
      <c r="D59" s="294" t="s">
        <v>5</v>
      </c>
      <c r="E59" s="292">
        <v>6.374990762E9</v>
      </c>
      <c r="F59" s="328" t="s">
        <v>511</v>
      </c>
      <c r="G59" s="294" t="s">
        <v>873</v>
      </c>
      <c r="H59" s="294" t="s">
        <v>71</v>
      </c>
      <c r="I59" s="306" t="s">
        <v>712</v>
      </c>
      <c r="J59" s="306" t="s">
        <v>506</v>
      </c>
    </row>
    <row r="60" ht="26.25" customHeight="1">
      <c r="A60" s="18">
        <v>80.0</v>
      </c>
      <c r="B60" s="308">
        <v>27.0</v>
      </c>
      <c r="C60" s="309" t="s">
        <v>875</v>
      </c>
      <c r="D60" s="294" t="s">
        <v>5</v>
      </c>
      <c r="E60" s="329">
        <v>8.10687252E9</v>
      </c>
      <c r="F60" s="298" t="s">
        <v>877</v>
      </c>
      <c r="G60" s="294" t="s">
        <v>878</v>
      </c>
      <c r="H60" s="294" t="s">
        <v>71</v>
      </c>
      <c r="I60" s="306" t="s">
        <v>712</v>
      </c>
      <c r="J60" s="306" t="s">
        <v>493</v>
      </c>
    </row>
    <row r="61" ht="26.25" customHeight="1">
      <c r="A61" s="18">
        <v>79.0</v>
      </c>
      <c r="B61" s="308">
        <v>28.0</v>
      </c>
      <c r="C61" s="309" t="s">
        <v>881</v>
      </c>
      <c r="D61" s="370" t="s">
        <v>5</v>
      </c>
      <c r="E61" s="372">
        <v>8.667282961E9</v>
      </c>
      <c r="F61" s="370" t="s">
        <v>885</v>
      </c>
      <c r="G61" s="374" t="s">
        <v>886</v>
      </c>
      <c r="H61" s="294" t="s">
        <v>71</v>
      </c>
      <c r="I61" s="306" t="s">
        <v>712</v>
      </c>
      <c r="J61" s="377" t="s">
        <v>95</v>
      </c>
    </row>
    <row r="62" ht="26.25" customHeight="1">
      <c r="A62" s="87">
        <v>78.0</v>
      </c>
      <c r="B62" s="313"/>
      <c r="C62" s="313" t="s">
        <v>890</v>
      </c>
      <c r="D62" s="324" t="s">
        <v>5</v>
      </c>
      <c r="E62" s="361">
        <v>9.626316318E9</v>
      </c>
      <c r="F62" s="382" t="s">
        <v>894</v>
      </c>
      <c r="G62" s="324" t="s">
        <v>895</v>
      </c>
      <c r="H62" s="294" t="s">
        <v>251</v>
      </c>
      <c r="I62" s="317" t="s">
        <v>618</v>
      </c>
      <c r="J62" s="327" t="s">
        <v>898</v>
      </c>
    </row>
    <row r="63" ht="26.25" customHeight="1">
      <c r="A63" s="87">
        <v>76.0</v>
      </c>
      <c r="B63" s="308">
        <v>29.0</v>
      </c>
      <c r="C63" s="309" t="s">
        <v>899</v>
      </c>
      <c r="D63" s="324" t="s">
        <v>5</v>
      </c>
      <c r="E63" s="326">
        <v>9.342242802E9</v>
      </c>
      <c r="F63" s="386" t="s">
        <v>900</v>
      </c>
      <c r="G63" s="324" t="s">
        <v>904</v>
      </c>
      <c r="H63" s="294" t="s">
        <v>780</v>
      </c>
      <c r="I63" s="306" t="s">
        <v>613</v>
      </c>
      <c r="J63" s="327" t="s">
        <v>906</v>
      </c>
    </row>
    <row r="64" ht="26.25" customHeight="1">
      <c r="A64" s="52">
        <v>77.0</v>
      </c>
      <c r="B64" s="308">
        <v>30.0</v>
      </c>
      <c r="C64" s="309" t="s">
        <v>557</v>
      </c>
      <c r="D64" s="294" t="s">
        <v>5</v>
      </c>
      <c r="E64" s="292">
        <v>9.705933771E9</v>
      </c>
      <c r="F64" s="328" t="s">
        <v>556</v>
      </c>
      <c r="G64" s="294" t="s">
        <v>909</v>
      </c>
      <c r="H64" s="294" t="s">
        <v>637</v>
      </c>
      <c r="I64" s="306" t="s">
        <v>638</v>
      </c>
      <c r="J64" s="306" t="s">
        <v>793</v>
      </c>
    </row>
    <row r="65" ht="26.25" customHeight="1">
      <c r="A65" s="18" t="s">
        <v>509</v>
      </c>
      <c r="B65" s="308">
        <v>31.0</v>
      </c>
      <c r="C65" s="393" t="s">
        <v>911</v>
      </c>
      <c r="D65" s="370" t="s">
        <v>5</v>
      </c>
      <c r="E65" s="394">
        <v>6.36976699E9</v>
      </c>
      <c r="F65" s="395" t="s">
        <v>912</v>
      </c>
      <c r="G65" s="396" t="s">
        <v>913</v>
      </c>
      <c r="H65" s="294" t="s">
        <v>71</v>
      </c>
      <c r="I65" s="306" t="s">
        <v>712</v>
      </c>
      <c r="J65" s="398" t="s">
        <v>906</v>
      </c>
    </row>
    <row r="66" ht="26.25" customHeight="1">
      <c r="A66" s="18">
        <v>53.0</v>
      </c>
      <c r="B66" s="308">
        <v>32.0</v>
      </c>
      <c r="C66" s="393" t="s">
        <v>917</v>
      </c>
      <c r="D66" s="331" t="s">
        <v>5</v>
      </c>
      <c r="E66" s="399">
        <v>8.939724423E9</v>
      </c>
      <c r="F66" s="400" t="s">
        <v>919</v>
      </c>
      <c r="G66" s="331" t="s">
        <v>920</v>
      </c>
      <c r="H66" s="294" t="s">
        <v>71</v>
      </c>
      <c r="I66" s="306" t="s">
        <v>712</v>
      </c>
      <c r="J66" s="317" t="s">
        <v>95</v>
      </c>
    </row>
    <row r="67" ht="26.25" customHeight="1">
      <c r="A67" s="87" t="s">
        <v>509</v>
      </c>
      <c r="B67" s="324"/>
      <c r="C67" s="324" t="s">
        <v>922</v>
      </c>
      <c r="D67" s="324" t="s">
        <v>5</v>
      </c>
      <c r="E67" s="401" t="s">
        <v>924</v>
      </c>
      <c r="F67" s="386" t="s">
        <v>361</v>
      </c>
      <c r="G67" s="324" t="s">
        <v>925</v>
      </c>
      <c r="H67" s="294" t="s">
        <v>251</v>
      </c>
      <c r="I67" s="317" t="s">
        <v>618</v>
      </c>
      <c r="J67" s="327" t="s">
        <v>928</v>
      </c>
    </row>
    <row r="68" ht="26.25" customHeight="1">
      <c r="A68" s="87" t="s">
        <v>509</v>
      </c>
      <c r="B68" s="308">
        <v>33.0</v>
      </c>
      <c r="C68" s="393" t="s">
        <v>472</v>
      </c>
      <c r="D68" s="331" t="s">
        <v>5</v>
      </c>
      <c r="E68" s="399">
        <v>8.608499779E9</v>
      </c>
      <c r="F68" s="400" t="s">
        <v>479</v>
      </c>
      <c r="G68" s="331" t="s">
        <v>930</v>
      </c>
      <c r="H68" s="294" t="s">
        <v>71</v>
      </c>
      <c r="I68" s="306" t="s">
        <v>712</v>
      </c>
      <c r="J68" s="317" t="s">
        <v>931</v>
      </c>
    </row>
    <row r="69" ht="26.25" customHeight="1">
      <c r="A69" s="87" t="s">
        <v>509</v>
      </c>
      <c r="B69" s="324"/>
      <c r="C69" s="324" t="s">
        <v>932</v>
      </c>
      <c r="D69" s="324" t="s">
        <v>5</v>
      </c>
      <c r="E69" s="403">
        <v>6.364057474E9</v>
      </c>
      <c r="F69" s="386" t="s">
        <v>905</v>
      </c>
      <c r="G69" s="324" t="s">
        <v>935</v>
      </c>
      <c r="H69" s="294" t="s">
        <v>576</v>
      </c>
      <c r="I69" s="295" t="s">
        <v>577</v>
      </c>
      <c r="J69" s="327" t="s">
        <v>891</v>
      </c>
    </row>
    <row r="70" ht="26.25" customHeight="1">
      <c r="A70" s="87">
        <v>38.0</v>
      </c>
      <c r="B70" s="324"/>
      <c r="C70" s="324" t="s">
        <v>938</v>
      </c>
      <c r="D70" s="324" t="s">
        <v>5</v>
      </c>
      <c r="E70" s="326">
        <v>6.380541322E9</v>
      </c>
      <c r="F70" s="386" t="s">
        <v>939</v>
      </c>
      <c r="G70" s="324" t="s">
        <v>940</v>
      </c>
      <c r="H70" s="294" t="s">
        <v>768</v>
      </c>
      <c r="I70" s="306" t="s">
        <v>638</v>
      </c>
      <c r="J70" s="327" t="s">
        <v>628</v>
      </c>
    </row>
    <row r="71" ht="26.25" customHeight="1">
      <c r="A71" s="18">
        <v>52.0</v>
      </c>
      <c r="B71" s="290"/>
      <c r="C71" s="290" t="s">
        <v>942</v>
      </c>
      <c r="D71" s="294" t="s">
        <v>5</v>
      </c>
      <c r="E71" s="404">
        <v>9.566834018E9</v>
      </c>
      <c r="F71" s="330" t="s">
        <v>943</v>
      </c>
      <c r="G71" s="294" t="s">
        <v>944</v>
      </c>
      <c r="H71" s="294" t="s">
        <v>700</v>
      </c>
      <c r="I71" s="317" t="s">
        <v>618</v>
      </c>
      <c r="J71" s="306" t="s">
        <v>628</v>
      </c>
    </row>
    <row r="72" ht="26.25" customHeight="1">
      <c r="A72" s="87">
        <v>62.0</v>
      </c>
      <c r="B72" s="324"/>
      <c r="C72" s="324" t="s">
        <v>265</v>
      </c>
      <c r="D72" s="324" t="s">
        <v>5</v>
      </c>
      <c r="E72" s="361">
        <v>7.358299188E9</v>
      </c>
      <c r="F72" s="382" t="s">
        <v>267</v>
      </c>
      <c r="G72" s="323" t="s">
        <v>949</v>
      </c>
      <c r="H72" s="294" t="s">
        <v>576</v>
      </c>
      <c r="I72" s="306" t="s">
        <v>577</v>
      </c>
      <c r="J72" s="295" t="s">
        <v>578</v>
      </c>
    </row>
    <row r="73" ht="26.25" customHeight="1">
      <c r="A73" s="87" t="s">
        <v>509</v>
      </c>
      <c r="B73" s="324"/>
      <c r="C73" s="324" t="s">
        <v>950</v>
      </c>
      <c r="D73" s="324" t="s">
        <v>5</v>
      </c>
      <c r="E73" s="361">
        <v>9.884065356E9</v>
      </c>
      <c r="F73" s="324" t="s">
        <v>952</v>
      </c>
      <c r="G73" s="294" t="s">
        <v>953</v>
      </c>
      <c r="H73" s="294" t="s">
        <v>333</v>
      </c>
      <c r="I73" s="306" t="s">
        <v>638</v>
      </c>
      <c r="J73" s="306" t="s">
        <v>628</v>
      </c>
    </row>
    <row r="74" ht="26.25" customHeight="1">
      <c r="A74" s="87" t="s">
        <v>509</v>
      </c>
      <c r="B74" s="290"/>
      <c r="C74" s="290" t="s">
        <v>286</v>
      </c>
      <c r="D74" s="294" t="s">
        <v>5</v>
      </c>
      <c r="E74" s="406">
        <v>7.395903061E9</v>
      </c>
      <c r="F74" s="407" t="s">
        <v>301</v>
      </c>
      <c r="G74" s="294" t="s">
        <v>955</v>
      </c>
      <c r="H74" s="406" t="s">
        <v>71</v>
      </c>
      <c r="I74" s="306" t="s">
        <v>712</v>
      </c>
      <c r="J74" s="408" t="s">
        <v>578</v>
      </c>
    </row>
    <row r="75" ht="26.25" hidden="1" customHeight="1">
      <c r="A75" s="18" t="s">
        <v>509</v>
      </c>
      <c r="B75" s="331"/>
      <c r="C75" s="331" t="s">
        <v>302</v>
      </c>
      <c r="D75" s="294" t="s">
        <v>958</v>
      </c>
      <c r="E75" s="329" t="s">
        <v>164</v>
      </c>
      <c r="F75" s="330" t="s">
        <v>311</v>
      </c>
      <c r="G75" s="323" t="e">
        <v>#N/A</v>
      </c>
      <c r="H75" s="294" t="e">
        <v>#N/A</v>
      </c>
      <c r="I75" s="295"/>
      <c r="J75" s="295" t="s">
        <v>578</v>
      </c>
    </row>
    <row r="76" ht="26.25" customHeight="1">
      <c r="A76" s="18" t="s">
        <v>960</v>
      </c>
      <c r="B76" s="308">
        <v>34.0</v>
      </c>
      <c r="C76" s="393" t="s">
        <v>961</v>
      </c>
      <c r="D76" s="331" t="s">
        <v>5</v>
      </c>
      <c r="E76" s="409">
        <v>9.080861148E9</v>
      </c>
      <c r="F76" s="33" t="s">
        <v>42</v>
      </c>
      <c r="G76" s="410" t="s">
        <v>962</v>
      </c>
      <c r="H76" s="294" t="s">
        <v>71</v>
      </c>
      <c r="I76" s="306" t="s">
        <v>712</v>
      </c>
      <c r="J76" s="411" t="s">
        <v>321</v>
      </c>
    </row>
    <row r="77" ht="26.25" customHeight="1">
      <c r="A77" s="18" t="s">
        <v>509</v>
      </c>
      <c r="B77" s="308">
        <v>35.0</v>
      </c>
      <c r="C77" s="393" t="s">
        <v>963</v>
      </c>
      <c r="D77" s="331" t="s">
        <v>5</v>
      </c>
      <c r="E77" s="332">
        <v>9.840620303E9</v>
      </c>
      <c r="F77" s="333" t="s">
        <v>965</v>
      </c>
      <c r="G77" s="413" t="s">
        <v>966</v>
      </c>
      <c r="H77" s="294" t="s">
        <v>114</v>
      </c>
      <c r="I77" s="306" t="s">
        <v>613</v>
      </c>
      <c r="J77" s="414" t="s">
        <v>969</v>
      </c>
    </row>
    <row r="78" ht="26.25" hidden="1" customHeight="1">
      <c r="A78" s="18" t="s">
        <v>509</v>
      </c>
      <c r="B78" s="290"/>
      <c r="C78" s="290" t="s">
        <v>313</v>
      </c>
      <c r="D78" s="294" t="s">
        <v>958</v>
      </c>
      <c r="E78" s="329">
        <v>8.248375363E9</v>
      </c>
      <c r="F78" s="330" t="s">
        <v>319</v>
      </c>
      <c r="G78" s="323" t="e">
        <v>#N/A</v>
      </c>
      <c r="H78" s="294" t="e">
        <v>#N/A</v>
      </c>
      <c r="I78" s="295"/>
      <c r="J78" s="295" t="s">
        <v>578</v>
      </c>
    </row>
    <row r="79" ht="26.25" customHeight="1">
      <c r="A79" s="18">
        <v>81.0</v>
      </c>
      <c r="B79" s="290"/>
      <c r="C79" s="290" t="s">
        <v>970</v>
      </c>
      <c r="D79" s="294" t="s">
        <v>5</v>
      </c>
      <c r="E79" s="329">
        <v>6.384712172E9</v>
      </c>
      <c r="F79" s="330" t="s">
        <v>435</v>
      </c>
      <c r="G79" s="323" t="s">
        <v>971</v>
      </c>
      <c r="H79" s="294" t="s">
        <v>251</v>
      </c>
      <c r="I79" s="317" t="s">
        <v>618</v>
      </c>
      <c r="J79" s="295" t="s">
        <v>578</v>
      </c>
    </row>
    <row r="80" ht="26.25" customHeight="1">
      <c r="A80" s="18" t="s">
        <v>509</v>
      </c>
      <c r="B80" s="308">
        <v>36.0</v>
      </c>
      <c r="C80" s="309" t="s">
        <v>250</v>
      </c>
      <c r="D80" s="294" t="s">
        <v>5</v>
      </c>
      <c r="E80" s="329">
        <v>9.444910521E9</v>
      </c>
      <c r="F80" s="294" t="s">
        <v>260</v>
      </c>
      <c r="G80" s="294" t="s">
        <v>975</v>
      </c>
      <c r="H80" s="294" t="s">
        <v>637</v>
      </c>
      <c r="I80" s="306" t="s">
        <v>638</v>
      </c>
      <c r="J80" s="306" t="s">
        <v>628</v>
      </c>
    </row>
    <row r="81" ht="26.25" customHeight="1">
      <c r="A81" s="52" t="s">
        <v>509</v>
      </c>
      <c r="B81" s="290"/>
      <c r="C81" s="290" t="s">
        <v>143</v>
      </c>
      <c r="D81" s="294" t="s">
        <v>5</v>
      </c>
      <c r="E81" s="329">
        <v>8.148402208E9</v>
      </c>
      <c r="F81" s="330" t="s">
        <v>152</v>
      </c>
      <c r="G81" s="323" t="s">
        <v>977</v>
      </c>
      <c r="H81" s="294" t="s">
        <v>251</v>
      </c>
      <c r="I81" s="317" t="s">
        <v>618</v>
      </c>
      <c r="J81" s="295" t="s">
        <v>578</v>
      </c>
    </row>
    <row r="82" ht="26.25" customHeight="1">
      <c r="A82" s="52"/>
      <c r="B82" s="308">
        <v>37.0</v>
      </c>
      <c r="C82" s="309" t="s">
        <v>537</v>
      </c>
      <c r="D82" s="298" t="s">
        <v>5</v>
      </c>
      <c r="E82" s="292">
        <v>8.148522265E9</v>
      </c>
      <c r="F82" s="298" t="s">
        <v>316</v>
      </c>
      <c r="G82" s="344" t="s">
        <v>981</v>
      </c>
      <c r="H82" s="294" t="s">
        <v>198</v>
      </c>
      <c r="I82" s="306" t="s">
        <v>982</v>
      </c>
      <c r="J82" s="345" t="s">
        <v>312</v>
      </c>
    </row>
    <row r="83" ht="26.25" customHeight="1">
      <c r="A83" s="87"/>
      <c r="B83" s="324"/>
      <c r="C83" s="324" t="s">
        <v>914</v>
      </c>
      <c r="D83" s="324" t="s">
        <v>5</v>
      </c>
      <c r="E83" s="361">
        <v>8.675058253E9</v>
      </c>
      <c r="F83" s="382" t="s">
        <v>926</v>
      </c>
      <c r="G83" s="363" t="s">
        <v>985</v>
      </c>
      <c r="H83" s="294" t="s">
        <v>616</v>
      </c>
      <c r="I83" s="296" t="s">
        <v>587</v>
      </c>
      <c r="J83" s="364" t="s">
        <v>987</v>
      </c>
    </row>
    <row r="84" ht="26.25" customHeight="1">
      <c r="A84" s="18"/>
      <c r="B84" s="290"/>
      <c r="C84" s="290" t="s">
        <v>989</v>
      </c>
      <c r="D84" s="419" t="s">
        <v>5</v>
      </c>
      <c r="E84" s="329">
        <v>9.15062444E9</v>
      </c>
      <c r="F84" s="420" t="s">
        <v>974</v>
      </c>
      <c r="G84" s="294" t="s">
        <v>991</v>
      </c>
      <c r="H84" s="294" t="s">
        <v>333</v>
      </c>
      <c r="I84" s="306" t="s">
        <v>638</v>
      </c>
      <c r="J84" s="306" t="s">
        <v>381</v>
      </c>
    </row>
    <row r="85" ht="26.25" customHeight="1">
      <c r="A85" s="87"/>
      <c r="B85" s="324"/>
      <c r="C85" s="324" t="s">
        <v>992</v>
      </c>
      <c r="D85" s="324" t="s">
        <v>5</v>
      </c>
      <c r="E85" s="361">
        <v>8.148232205E9</v>
      </c>
      <c r="F85" s="421" t="s">
        <v>994</v>
      </c>
      <c r="G85" s="324" t="s">
        <v>995</v>
      </c>
      <c r="H85" s="294" t="s">
        <v>711</v>
      </c>
      <c r="I85" s="306" t="s">
        <v>712</v>
      </c>
      <c r="J85" s="327" t="s">
        <v>543</v>
      </c>
    </row>
    <row r="86" ht="26.25" customHeight="1">
      <c r="A86" s="18"/>
      <c r="B86" s="308">
        <v>38.0</v>
      </c>
      <c r="C86" s="309" t="s">
        <v>996</v>
      </c>
      <c r="D86" s="294" t="s">
        <v>5</v>
      </c>
      <c r="E86" s="329">
        <v>8.270345463E9</v>
      </c>
      <c r="F86" s="423" t="s">
        <v>997</v>
      </c>
      <c r="G86" s="294" t="s">
        <v>998</v>
      </c>
      <c r="H86" s="294" t="s">
        <v>637</v>
      </c>
      <c r="I86" s="306" t="s">
        <v>638</v>
      </c>
      <c r="J86" s="306" t="s">
        <v>999</v>
      </c>
    </row>
    <row r="87" ht="26.25" customHeight="1">
      <c r="A87" s="87"/>
      <c r="B87" s="324"/>
      <c r="C87" s="324" t="s">
        <v>1000</v>
      </c>
      <c r="D87" s="324" t="s">
        <v>5</v>
      </c>
      <c r="E87" s="361">
        <v>7.305714848E9</v>
      </c>
      <c r="F87" s="425" t="s">
        <v>1002</v>
      </c>
      <c r="G87" s="324" t="s">
        <v>1004</v>
      </c>
      <c r="H87" s="294" t="s">
        <v>509</v>
      </c>
      <c r="I87" s="327"/>
      <c r="J87" s="327" t="s">
        <v>356</v>
      </c>
    </row>
    <row r="88" ht="26.25" customHeight="1">
      <c r="A88" s="19"/>
      <c r="B88" s="308">
        <v>39.0</v>
      </c>
      <c r="C88" s="423" t="s">
        <v>329</v>
      </c>
      <c r="D88" s="421" t="s">
        <v>5</v>
      </c>
      <c r="E88" s="426">
        <v>9.176529116E9</v>
      </c>
      <c r="F88" s="421" t="s">
        <v>220</v>
      </c>
      <c r="G88" s="323" t="s">
        <v>1006</v>
      </c>
      <c r="H88" s="294" t="s">
        <v>198</v>
      </c>
      <c r="I88" s="306" t="s">
        <v>982</v>
      </c>
      <c r="J88" s="295" t="s">
        <v>1007</v>
      </c>
    </row>
    <row r="89" ht="26.25" customHeight="1">
      <c r="A89" s="211"/>
      <c r="B89" s="308">
        <v>40.0</v>
      </c>
      <c r="C89" s="309" t="s">
        <v>186</v>
      </c>
      <c r="D89" s="294" t="s">
        <v>5</v>
      </c>
      <c r="E89" s="329">
        <v>9.944085762E9</v>
      </c>
      <c r="F89" s="294" t="s">
        <v>200</v>
      </c>
      <c r="G89" s="346" t="s">
        <v>1010</v>
      </c>
      <c r="H89" s="294" t="s">
        <v>198</v>
      </c>
      <c r="I89" s="306" t="s">
        <v>982</v>
      </c>
      <c r="J89" s="347" t="s">
        <v>628</v>
      </c>
    </row>
    <row r="90" ht="26.25" customHeight="1">
      <c r="A90" s="87"/>
      <c r="B90" s="428"/>
      <c r="C90" s="428" t="s">
        <v>1012</v>
      </c>
      <c r="D90" s="324" t="s">
        <v>5</v>
      </c>
      <c r="E90" s="429">
        <v>9.361579843E9</v>
      </c>
      <c r="F90" s="324" t="s">
        <v>1014</v>
      </c>
      <c r="G90" s="352" t="s">
        <v>1015</v>
      </c>
      <c r="H90" s="294" t="s">
        <v>333</v>
      </c>
      <c r="I90" s="306" t="s">
        <v>638</v>
      </c>
      <c r="J90" s="353" t="s">
        <v>1016</v>
      </c>
    </row>
    <row r="91" ht="26.25" customHeight="1">
      <c r="A91" s="430"/>
      <c r="B91" s="431">
        <v>41.0</v>
      </c>
      <c r="C91" s="432" t="s">
        <v>1017</v>
      </c>
      <c r="D91" s="331" t="s">
        <v>5</v>
      </c>
      <c r="E91" s="399">
        <v>8.610004262E9</v>
      </c>
      <c r="F91" s="400" t="s">
        <v>1018</v>
      </c>
      <c r="G91" s="331" t="s">
        <v>1019</v>
      </c>
      <c r="H91" s="294" t="s">
        <v>637</v>
      </c>
      <c r="I91" s="306" t="s">
        <v>638</v>
      </c>
      <c r="J91" s="317" t="s">
        <v>1020</v>
      </c>
    </row>
    <row r="92" ht="26.25" customHeight="1">
      <c r="A92" s="433"/>
      <c r="B92" s="209"/>
      <c r="C92" s="209" t="s">
        <v>880</v>
      </c>
      <c r="D92" s="370" t="s">
        <v>5</v>
      </c>
      <c r="E92" s="435">
        <v>9.790341644E9</v>
      </c>
      <c r="F92" s="400" t="s">
        <v>896</v>
      </c>
      <c r="G92" s="331" t="s">
        <v>1022</v>
      </c>
      <c r="H92" s="294" t="s">
        <v>333</v>
      </c>
      <c r="I92" s="306" t="s">
        <v>638</v>
      </c>
      <c r="J92" s="317" t="s">
        <v>1024</v>
      </c>
    </row>
    <row r="93" ht="26.25" customHeight="1">
      <c r="A93" s="430"/>
      <c r="B93" s="431">
        <v>42.0</v>
      </c>
      <c r="C93" s="432" t="s">
        <v>1025</v>
      </c>
      <c r="D93" s="331" t="s">
        <v>5</v>
      </c>
      <c r="E93" s="399">
        <v>6.38278593E9</v>
      </c>
      <c r="F93" s="400" t="s">
        <v>1026</v>
      </c>
      <c r="G93" s="436" t="s">
        <v>1028</v>
      </c>
      <c r="H93" s="294" t="s">
        <v>637</v>
      </c>
      <c r="I93" s="306" t="s">
        <v>638</v>
      </c>
      <c r="J93" s="437" t="s">
        <v>1029</v>
      </c>
    </row>
    <row r="94" ht="26.25" customHeight="1">
      <c r="A94" s="430"/>
      <c r="B94" s="438"/>
      <c r="C94" s="438" t="s">
        <v>1031</v>
      </c>
      <c r="D94" s="331" t="s">
        <v>5</v>
      </c>
      <c r="E94" s="399">
        <v>8.754864334E9</v>
      </c>
      <c r="F94" s="400" t="s">
        <v>603</v>
      </c>
      <c r="G94" s="331" t="s">
        <v>1032</v>
      </c>
      <c r="H94" s="294" t="s">
        <v>393</v>
      </c>
      <c r="I94" s="296" t="s">
        <v>587</v>
      </c>
      <c r="J94" s="317" t="s">
        <v>356</v>
      </c>
    </row>
    <row r="95" ht="26.25" customHeight="1">
      <c r="A95" s="433"/>
      <c r="B95" s="431">
        <v>43.0</v>
      </c>
      <c r="C95" s="439" t="s">
        <v>1033</v>
      </c>
      <c r="D95" s="294" t="s">
        <v>5</v>
      </c>
      <c r="E95" s="292">
        <v>9.789095971E9</v>
      </c>
      <c r="F95" s="298" t="s">
        <v>350</v>
      </c>
      <c r="G95" s="346" t="s">
        <v>1034</v>
      </c>
      <c r="H95" s="294" t="s">
        <v>198</v>
      </c>
      <c r="I95" s="306" t="s">
        <v>982</v>
      </c>
      <c r="J95" s="347" t="s">
        <v>628</v>
      </c>
    </row>
    <row r="96" ht="26.25" customHeight="1">
      <c r="A96" s="430"/>
      <c r="B96" s="441">
        <v>44.0</v>
      </c>
      <c r="C96" s="331" t="s">
        <v>249</v>
      </c>
      <c r="D96" s="331" t="s">
        <v>5</v>
      </c>
      <c r="E96" s="442">
        <v>9.962764646E9</v>
      </c>
      <c r="F96" s="302" t="s">
        <v>248</v>
      </c>
      <c r="G96" s="331" t="s">
        <v>1037</v>
      </c>
      <c r="H96" s="294" t="s">
        <v>198</v>
      </c>
      <c r="I96" s="306" t="s">
        <v>982</v>
      </c>
      <c r="J96" s="317" t="s">
        <v>628</v>
      </c>
    </row>
    <row r="97" ht="26.25" customHeight="1">
      <c r="A97" s="430"/>
      <c r="B97" s="209"/>
      <c r="C97" s="209" t="s">
        <v>410</v>
      </c>
      <c r="D97" s="443" t="s">
        <v>5</v>
      </c>
      <c r="E97" s="399">
        <v>8.122980305E9</v>
      </c>
      <c r="F97" s="400" t="s">
        <v>418</v>
      </c>
      <c r="G97" s="331" t="s">
        <v>1040</v>
      </c>
      <c r="H97" s="294" t="s">
        <v>921</v>
      </c>
      <c r="I97" s="306" t="s">
        <v>712</v>
      </c>
      <c r="J97" s="317" t="s">
        <v>578</v>
      </c>
    </row>
    <row r="98" ht="26.25" customHeight="1">
      <c r="A98" s="444"/>
      <c r="B98" s="441">
        <v>45.0</v>
      </c>
      <c r="C98" s="13" t="s">
        <v>901</v>
      </c>
      <c r="D98" s="324" t="s">
        <v>5</v>
      </c>
      <c r="E98" s="421">
        <v>7.305494413E9</v>
      </c>
      <c r="F98" s="343" t="s">
        <v>908</v>
      </c>
      <c r="G98" s="324" t="s">
        <v>1041</v>
      </c>
      <c r="H98" s="294" t="s">
        <v>114</v>
      </c>
      <c r="I98" s="306" t="s">
        <v>613</v>
      </c>
      <c r="J98" s="327" t="s">
        <v>1043</v>
      </c>
    </row>
    <row r="99" ht="26.25" customHeight="1">
      <c r="A99" s="430"/>
      <c r="B99" s="290"/>
      <c r="C99" s="290" t="s">
        <v>205</v>
      </c>
      <c r="D99" s="294" t="s">
        <v>5</v>
      </c>
      <c r="E99" s="292">
        <v>7.305184227E9</v>
      </c>
      <c r="F99" s="298" t="s">
        <v>215</v>
      </c>
      <c r="G99" s="323" t="s">
        <v>1044</v>
      </c>
      <c r="H99" s="294" t="s">
        <v>114</v>
      </c>
      <c r="I99" s="306" t="s">
        <v>613</v>
      </c>
      <c r="J99" s="295" t="s">
        <v>578</v>
      </c>
    </row>
    <row r="100" ht="26.25" customHeight="1">
      <c r="A100" s="430"/>
      <c r="B100" s="290"/>
      <c r="C100" s="290" t="s">
        <v>388</v>
      </c>
      <c r="D100" s="294" t="s">
        <v>5</v>
      </c>
      <c r="E100" s="329">
        <v>7.358734289E9</v>
      </c>
      <c r="F100" s="294" t="s">
        <v>396</v>
      </c>
      <c r="G100" s="447" t="s">
        <v>1045</v>
      </c>
      <c r="H100" s="294" t="s">
        <v>114</v>
      </c>
      <c r="I100" s="306" t="s">
        <v>613</v>
      </c>
      <c r="J100" s="295" t="s">
        <v>578</v>
      </c>
    </row>
    <row r="101" ht="26.25" customHeight="1">
      <c r="A101" s="430"/>
      <c r="B101" s="209"/>
      <c r="C101" s="209" t="s">
        <v>1048</v>
      </c>
      <c r="D101" s="331" t="s">
        <v>5</v>
      </c>
      <c r="E101" s="399">
        <v>8.610961896E9</v>
      </c>
      <c r="F101" s="400" t="s">
        <v>1050</v>
      </c>
      <c r="G101" s="331" t="s">
        <v>1052</v>
      </c>
      <c r="H101" s="294" t="s">
        <v>251</v>
      </c>
      <c r="I101" s="317" t="s">
        <v>618</v>
      </c>
      <c r="J101" s="317" t="s">
        <v>1053</v>
      </c>
    </row>
    <row r="102" ht="26.25" customHeight="1">
      <c r="A102" s="430"/>
      <c r="B102" s="209"/>
      <c r="C102" s="209" t="s">
        <v>1054</v>
      </c>
      <c r="D102" s="331" t="s">
        <v>5</v>
      </c>
      <c r="E102" s="399">
        <v>7.981973211E9</v>
      </c>
      <c r="F102" s="400" t="s">
        <v>956</v>
      </c>
      <c r="G102" s="331" t="s">
        <v>1056</v>
      </c>
      <c r="H102" s="294" t="s">
        <v>333</v>
      </c>
      <c r="I102" s="306" t="s">
        <v>638</v>
      </c>
      <c r="J102" s="317" t="s">
        <v>931</v>
      </c>
    </row>
    <row r="103" ht="26.25" customHeight="1">
      <c r="A103" s="430"/>
      <c r="B103" s="209"/>
      <c r="C103" s="209" t="s">
        <v>360</v>
      </c>
      <c r="D103" s="331" t="s">
        <v>5</v>
      </c>
      <c r="E103" s="399">
        <v>9.89411904E9</v>
      </c>
      <c r="F103" s="330" t="s">
        <v>370</v>
      </c>
      <c r="G103" s="331" t="s">
        <v>1062</v>
      </c>
      <c r="H103" s="294" t="s">
        <v>637</v>
      </c>
      <c r="I103" s="306" t="s">
        <v>638</v>
      </c>
      <c r="J103" s="317" t="s">
        <v>578</v>
      </c>
    </row>
    <row r="104" ht="26.25" customHeight="1">
      <c r="A104" s="444"/>
      <c r="B104" s="441">
        <v>46.0</v>
      </c>
      <c r="C104" s="331" t="s">
        <v>1065</v>
      </c>
      <c r="D104" s="324" t="s">
        <v>5</v>
      </c>
      <c r="E104" s="326">
        <v>8.87097621E9</v>
      </c>
      <c r="F104" s="382" t="s">
        <v>1067</v>
      </c>
      <c r="G104" s="452" t="s">
        <v>1068</v>
      </c>
      <c r="H104" s="294" t="s">
        <v>198</v>
      </c>
      <c r="I104" s="306" t="s">
        <v>982</v>
      </c>
      <c r="J104" s="453" t="s">
        <v>628</v>
      </c>
    </row>
    <row r="105" ht="26.25" customHeight="1">
      <c r="A105" s="444"/>
      <c r="B105" s="429"/>
      <c r="C105" s="429" t="s">
        <v>1071</v>
      </c>
      <c r="D105" s="324" t="s">
        <v>5</v>
      </c>
      <c r="E105" s="428">
        <v>9.361455523E9</v>
      </c>
      <c r="F105" s="343" t="s">
        <v>1073</v>
      </c>
      <c r="G105" s="324" t="s">
        <v>1074</v>
      </c>
      <c r="H105" s="294" t="s">
        <v>742</v>
      </c>
      <c r="I105" s="295" t="s">
        <v>577</v>
      </c>
      <c r="J105" s="327" t="s">
        <v>1075</v>
      </c>
    </row>
    <row r="106" ht="26.25" customHeight="1">
      <c r="A106" s="430"/>
      <c r="B106" s="454"/>
      <c r="C106" s="454" t="s">
        <v>1077</v>
      </c>
      <c r="D106" s="331" t="s">
        <v>5</v>
      </c>
      <c r="E106" s="455">
        <v>9.600447671E9</v>
      </c>
      <c r="F106" s="455" t="s">
        <v>1078</v>
      </c>
      <c r="G106" s="331" t="s">
        <v>1079</v>
      </c>
      <c r="H106" s="294" t="s">
        <v>576</v>
      </c>
      <c r="I106" s="306" t="s">
        <v>577</v>
      </c>
      <c r="J106" s="317" t="s">
        <v>506</v>
      </c>
    </row>
    <row r="107" ht="26.25" customHeight="1">
      <c r="A107" s="430"/>
      <c r="B107" s="431">
        <v>47.0</v>
      </c>
      <c r="C107" s="456" t="s">
        <v>269</v>
      </c>
      <c r="D107" s="331" t="s">
        <v>5</v>
      </c>
      <c r="E107" s="455">
        <v>7.358011726E9</v>
      </c>
      <c r="F107" s="455" t="s">
        <v>276</v>
      </c>
      <c r="G107" s="331" t="s">
        <v>1080</v>
      </c>
      <c r="H107" s="294" t="s">
        <v>780</v>
      </c>
      <c r="I107" s="306" t="s">
        <v>613</v>
      </c>
      <c r="J107" s="317" t="s">
        <v>628</v>
      </c>
    </row>
    <row r="108" ht="26.25" customHeight="1">
      <c r="A108" s="430"/>
      <c r="B108" s="441"/>
      <c r="C108" s="173" t="s">
        <v>859</v>
      </c>
      <c r="D108" s="18" t="s">
        <v>5</v>
      </c>
      <c r="E108" s="48">
        <v>9.943704677E9</v>
      </c>
      <c r="F108" s="18" t="s">
        <v>868</v>
      </c>
      <c r="G108" s="18" t="s">
        <v>1084</v>
      </c>
      <c r="H108" s="18" t="s">
        <v>780</v>
      </c>
      <c r="I108" s="48" t="s">
        <v>613</v>
      </c>
      <c r="J108" s="48" t="s">
        <v>788</v>
      </c>
    </row>
    <row r="109" ht="26.25" customHeight="1">
      <c r="A109" s="444"/>
      <c r="B109" s="429"/>
      <c r="C109" s="429" t="s">
        <v>1090</v>
      </c>
      <c r="D109" s="324" t="s">
        <v>5</v>
      </c>
      <c r="E109" s="428">
        <v>9.176775477E9</v>
      </c>
      <c r="F109" s="428" t="s">
        <v>929</v>
      </c>
      <c r="G109" s="324" t="s">
        <v>1092</v>
      </c>
      <c r="H109" s="294" t="s">
        <v>921</v>
      </c>
      <c r="I109" s="306" t="s">
        <v>712</v>
      </c>
      <c r="J109" s="327" t="s">
        <v>915</v>
      </c>
    </row>
    <row r="110" ht="26.25" customHeight="1">
      <c r="A110" s="461"/>
      <c r="B110" s="462"/>
      <c r="C110" s="209" t="s">
        <v>423</v>
      </c>
      <c r="D110" s="331" t="s">
        <v>5</v>
      </c>
      <c r="E110" s="332">
        <v>9.952437272E9</v>
      </c>
      <c r="F110" s="333" t="s">
        <v>428</v>
      </c>
      <c r="G110" s="331" t="s">
        <v>1097</v>
      </c>
      <c r="H110" s="294" t="s">
        <v>749</v>
      </c>
      <c r="I110" s="296" t="s">
        <v>587</v>
      </c>
      <c r="J110" s="317" t="s">
        <v>788</v>
      </c>
    </row>
    <row r="111" ht="26.25" customHeight="1">
      <c r="A111" s="461"/>
      <c r="B111" s="463"/>
      <c r="C111" s="464" t="s">
        <v>964</v>
      </c>
      <c r="D111" s="331" t="s">
        <v>5</v>
      </c>
      <c r="E111" s="332">
        <v>9.488505516E9</v>
      </c>
      <c r="F111" s="465" t="s">
        <v>973</v>
      </c>
      <c r="G111" s="331" t="s">
        <v>1102</v>
      </c>
      <c r="H111" s="294" t="s">
        <v>251</v>
      </c>
      <c r="I111" s="317" t="s">
        <v>618</v>
      </c>
      <c r="J111" s="317" t="s">
        <v>692</v>
      </c>
    </row>
    <row r="112" ht="26.25" customHeight="1">
      <c r="A112" s="467"/>
      <c r="B112" s="468"/>
      <c r="C112" s="469" t="s">
        <v>227</v>
      </c>
      <c r="D112" s="324" t="s">
        <v>5</v>
      </c>
      <c r="E112" s="343">
        <v>9.688299333E9</v>
      </c>
      <c r="F112" s="343" t="s">
        <v>242</v>
      </c>
      <c r="G112" s="324" t="s">
        <v>1112</v>
      </c>
      <c r="H112" s="294" t="s">
        <v>700</v>
      </c>
      <c r="I112" s="317" t="s">
        <v>618</v>
      </c>
      <c r="J112" s="327" t="s">
        <v>578</v>
      </c>
    </row>
    <row r="113" ht="26.25" customHeight="1">
      <c r="A113" s="467"/>
      <c r="B113" s="468"/>
      <c r="C113" s="469" t="s">
        <v>1115</v>
      </c>
      <c r="D113" s="324" t="s">
        <v>5</v>
      </c>
      <c r="E113" s="343">
        <v>8.973223615E9</v>
      </c>
      <c r="F113" s="343" t="s">
        <v>1119</v>
      </c>
      <c r="G113" s="324" t="s">
        <v>1121</v>
      </c>
      <c r="H113" s="294" t="s">
        <v>616</v>
      </c>
      <c r="I113" s="296" t="s">
        <v>587</v>
      </c>
      <c r="J113" s="327" t="s">
        <v>578</v>
      </c>
    </row>
    <row r="114" ht="26.25" customHeight="1">
      <c r="A114" s="470"/>
      <c r="B114" s="471"/>
      <c r="C114" s="472" t="s">
        <v>1124</v>
      </c>
      <c r="D114" s="473" t="s">
        <v>5</v>
      </c>
      <c r="E114" s="474">
        <v>9.080265174E9</v>
      </c>
      <c r="F114" s="474" t="s">
        <v>522</v>
      </c>
      <c r="G114" s="473" t="s">
        <v>1130</v>
      </c>
      <c r="H114" s="294" t="s">
        <v>576</v>
      </c>
      <c r="I114" s="295" t="s">
        <v>577</v>
      </c>
      <c r="J114" s="475" t="s">
        <v>442</v>
      </c>
    </row>
    <row r="115" ht="26.25" hidden="1" customHeight="1">
      <c r="A115" s="461"/>
      <c r="B115" s="476"/>
      <c r="C115" s="324" t="s">
        <v>1049</v>
      </c>
      <c r="D115" s="294" t="s">
        <v>958</v>
      </c>
      <c r="E115" s="403">
        <v>9.84066326E9</v>
      </c>
      <c r="F115" s="477" t="s">
        <v>1063</v>
      </c>
      <c r="G115" s="323" t="s">
        <v>1139</v>
      </c>
      <c r="H115" s="294" t="s">
        <v>198</v>
      </c>
      <c r="I115" s="306" t="s">
        <v>982</v>
      </c>
      <c r="J115" s="295" t="s">
        <v>578</v>
      </c>
    </row>
    <row r="116" ht="26.25" customHeight="1">
      <c r="A116" s="461"/>
      <c r="B116" s="462"/>
      <c r="C116" s="209" t="s">
        <v>462</v>
      </c>
      <c r="D116" s="331" t="s">
        <v>5</v>
      </c>
      <c r="E116" s="332">
        <v>8.555874504E9</v>
      </c>
      <c r="F116" s="333" t="s">
        <v>468</v>
      </c>
      <c r="G116" s="331" t="s">
        <v>1143</v>
      </c>
      <c r="H116" s="294" t="s">
        <v>1144</v>
      </c>
      <c r="I116" s="306" t="s">
        <v>712</v>
      </c>
      <c r="J116" s="317" t="s">
        <v>692</v>
      </c>
    </row>
    <row r="117" ht="26.25" customHeight="1">
      <c r="A117" s="461"/>
      <c r="B117" s="478"/>
      <c r="C117" s="290" t="s">
        <v>1147</v>
      </c>
      <c r="D117" s="294" t="s">
        <v>5</v>
      </c>
      <c r="E117" s="329">
        <v>7.092922565E9</v>
      </c>
      <c r="F117" s="330" t="s">
        <v>1149</v>
      </c>
      <c r="G117" s="323" t="s">
        <v>1152</v>
      </c>
      <c r="H117" s="294" t="s">
        <v>198</v>
      </c>
      <c r="I117" s="306" t="s">
        <v>982</v>
      </c>
      <c r="J117" s="295" t="s">
        <v>578</v>
      </c>
    </row>
    <row r="118" ht="26.25" customHeight="1">
      <c r="A118" s="461"/>
      <c r="B118" s="462"/>
      <c r="C118" s="209" t="s">
        <v>1150</v>
      </c>
      <c r="D118" s="331" t="s">
        <v>5</v>
      </c>
      <c r="E118" s="332">
        <v>8.220316694E9</v>
      </c>
      <c r="F118" s="333" t="s">
        <v>1157</v>
      </c>
      <c r="G118" s="331" t="s">
        <v>1159</v>
      </c>
      <c r="H118" s="294" t="s">
        <v>576</v>
      </c>
      <c r="I118" s="306" t="s">
        <v>577</v>
      </c>
      <c r="J118" s="317"/>
    </row>
    <row r="119" ht="26.25" customHeight="1">
      <c r="A119" s="467"/>
      <c r="B119" s="482"/>
      <c r="C119" s="342" t="s">
        <v>978</v>
      </c>
      <c r="D119" s="324" t="s">
        <v>5</v>
      </c>
      <c r="E119" s="343">
        <v>7.401252411E9</v>
      </c>
      <c r="F119" s="343" t="s">
        <v>986</v>
      </c>
      <c r="G119" s="436" t="s">
        <v>1164</v>
      </c>
      <c r="H119" s="294" t="s">
        <v>251</v>
      </c>
      <c r="I119" s="317" t="s">
        <v>618</v>
      </c>
      <c r="J119" s="437" t="s">
        <v>1166</v>
      </c>
    </row>
    <row r="120" ht="26.25" customHeight="1">
      <c r="A120" s="461"/>
      <c r="B120" s="462"/>
      <c r="C120" s="209" t="s">
        <v>1167</v>
      </c>
      <c r="D120" s="331" t="s">
        <v>5</v>
      </c>
      <c r="E120" s="332">
        <v>8.754728402E9</v>
      </c>
      <c r="F120" s="333" t="s">
        <v>489</v>
      </c>
      <c r="G120" s="331" t="s">
        <v>1170</v>
      </c>
      <c r="H120" s="294" t="s">
        <v>393</v>
      </c>
      <c r="I120" s="296" t="s">
        <v>587</v>
      </c>
      <c r="J120" s="317" t="s">
        <v>692</v>
      </c>
    </row>
    <row r="121" ht="26.25" customHeight="1">
      <c r="A121" s="461"/>
      <c r="B121" s="462"/>
      <c r="C121" s="209" t="s">
        <v>494</v>
      </c>
      <c r="D121" s="331" t="s">
        <v>5</v>
      </c>
      <c r="E121" s="332" t="s">
        <v>497</v>
      </c>
      <c r="F121" s="333" t="s">
        <v>502</v>
      </c>
      <c r="G121" s="331" t="s">
        <v>1177</v>
      </c>
      <c r="H121" s="294" t="s">
        <v>1178</v>
      </c>
      <c r="I121" s="295" t="s">
        <v>577</v>
      </c>
      <c r="J121" s="317" t="s">
        <v>692</v>
      </c>
    </row>
    <row r="122" ht="26.25" customHeight="1">
      <c r="A122" s="430"/>
      <c r="B122" s="290"/>
      <c r="C122" s="290" t="s">
        <v>320</v>
      </c>
      <c r="D122" s="294" t="s">
        <v>5</v>
      </c>
      <c r="E122" s="329">
        <v>6.36949251E9</v>
      </c>
      <c r="F122" s="330" t="s">
        <v>326</v>
      </c>
      <c r="G122" s="323" t="s">
        <v>1185</v>
      </c>
      <c r="H122" s="294" t="s">
        <v>198</v>
      </c>
      <c r="I122" s="306" t="s">
        <v>982</v>
      </c>
      <c r="J122" s="295" t="s">
        <v>578</v>
      </c>
    </row>
    <row r="123" ht="26.25" customHeight="1">
      <c r="A123" s="430"/>
      <c r="B123" s="431">
        <v>48.0</v>
      </c>
      <c r="C123" s="489" t="s">
        <v>1188</v>
      </c>
      <c r="D123" s="331" t="s">
        <v>5</v>
      </c>
      <c r="E123" s="333">
        <v>9.994608057E9</v>
      </c>
      <c r="F123" s="465" t="s">
        <v>1190</v>
      </c>
      <c r="G123" s="331" t="s">
        <v>1191</v>
      </c>
      <c r="H123" s="294" t="s">
        <v>637</v>
      </c>
      <c r="I123" s="306" t="s">
        <v>638</v>
      </c>
      <c r="J123" s="317" t="s">
        <v>1194</v>
      </c>
    </row>
    <row r="124" ht="26.25" customHeight="1">
      <c r="A124" s="430"/>
      <c r="B124" s="441">
        <v>49.0</v>
      </c>
      <c r="C124" s="331" t="s">
        <v>1198</v>
      </c>
      <c r="D124" s="331" t="s">
        <v>5</v>
      </c>
      <c r="E124" s="406">
        <v>8.807800947E9</v>
      </c>
      <c r="F124" s="455" t="s">
        <v>385</v>
      </c>
      <c r="G124" s="490" t="s">
        <v>1202</v>
      </c>
      <c r="H124" s="294" t="s">
        <v>198</v>
      </c>
      <c r="I124" s="306" t="s">
        <v>982</v>
      </c>
      <c r="J124" s="491" t="s">
        <v>381</v>
      </c>
    </row>
    <row r="125" ht="26.25" customHeight="1">
      <c r="A125" s="461"/>
      <c r="B125" s="462"/>
      <c r="C125" s="209" t="s">
        <v>1206</v>
      </c>
      <c r="D125" s="331" t="s">
        <v>5</v>
      </c>
      <c r="E125" s="399">
        <v>9.884706822E9</v>
      </c>
      <c r="F125" s="400" t="s">
        <v>456</v>
      </c>
      <c r="G125" s="331" t="s">
        <v>1208</v>
      </c>
      <c r="H125" s="294" t="s">
        <v>198</v>
      </c>
      <c r="I125" s="306" t="s">
        <v>982</v>
      </c>
      <c r="J125" s="317" t="s">
        <v>578</v>
      </c>
    </row>
    <row r="126" ht="26.25" customHeight="1">
      <c r="A126" s="461"/>
      <c r="B126" s="462"/>
      <c r="C126" s="209" t="s">
        <v>1210</v>
      </c>
      <c r="D126" s="331" t="s">
        <v>5</v>
      </c>
      <c r="E126" s="332">
        <v>9.597312212E9</v>
      </c>
      <c r="F126" s="423" t="s">
        <v>1211</v>
      </c>
      <c r="G126" s="331" t="s">
        <v>1214</v>
      </c>
      <c r="H126" s="294" t="s">
        <v>198</v>
      </c>
      <c r="I126" s="296" t="s">
        <v>982</v>
      </c>
      <c r="J126" s="317" t="s">
        <v>692</v>
      </c>
    </row>
    <row r="127" ht="26.25" customHeight="1">
      <c r="A127" s="492"/>
      <c r="B127" s="493"/>
      <c r="C127" s="426" t="s">
        <v>1220</v>
      </c>
      <c r="D127" s="382" t="s">
        <v>5</v>
      </c>
      <c r="E127" s="495">
        <v>8.056096632E9</v>
      </c>
      <c r="F127" s="425" t="s">
        <v>1222</v>
      </c>
      <c r="G127" s="382" t="s">
        <v>1223</v>
      </c>
      <c r="H127" s="294" t="s">
        <v>749</v>
      </c>
      <c r="I127" s="296" t="s">
        <v>587</v>
      </c>
      <c r="J127" s="496" t="s">
        <v>844</v>
      </c>
    </row>
    <row r="128" ht="26.25" customHeight="1">
      <c r="A128" s="467"/>
      <c r="B128" s="441">
        <v>50.0</v>
      </c>
      <c r="C128" s="497" t="s">
        <v>1226</v>
      </c>
      <c r="D128" s="324" t="s">
        <v>5</v>
      </c>
      <c r="E128" s="343">
        <v>9.150479903E9</v>
      </c>
      <c r="F128" s="421" t="s">
        <v>1229</v>
      </c>
      <c r="G128" s="324" t="s">
        <v>1230</v>
      </c>
      <c r="H128" s="294" t="s">
        <v>198</v>
      </c>
      <c r="I128" s="306" t="s">
        <v>982</v>
      </c>
      <c r="J128" s="327" t="s">
        <v>381</v>
      </c>
    </row>
    <row r="129" ht="26.25" customHeight="1">
      <c r="A129" s="467"/>
      <c r="B129" s="431">
        <v>51.0</v>
      </c>
      <c r="C129" s="432" t="s">
        <v>519</v>
      </c>
      <c r="D129" s="331" t="s">
        <v>5</v>
      </c>
      <c r="E129" s="332">
        <v>9.080721623E9</v>
      </c>
      <c r="F129" s="465" t="s">
        <v>526</v>
      </c>
      <c r="G129" s="498" t="s">
        <v>1234</v>
      </c>
      <c r="H129" s="294" t="s">
        <v>114</v>
      </c>
      <c r="I129" s="306" t="s">
        <v>613</v>
      </c>
      <c r="J129" s="499" t="s">
        <v>628</v>
      </c>
    </row>
    <row r="130" ht="26.25" customHeight="1">
      <c r="A130" s="461"/>
      <c r="B130" s="441">
        <v>52.0</v>
      </c>
      <c r="C130" s="13" t="s">
        <v>1238</v>
      </c>
      <c r="D130" s="331" t="s">
        <v>5</v>
      </c>
      <c r="E130" s="332">
        <v>6.380652935E9</v>
      </c>
      <c r="F130" s="423" t="s">
        <v>1240</v>
      </c>
      <c r="G130" s="498" t="s">
        <v>1241</v>
      </c>
      <c r="H130" s="294" t="s">
        <v>198</v>
      </c>
      <c r="I130" s="306" t="s">
        <v>982</v>
      </c>
      <c r="J130" s="499" t="s">
        <v>628</v>
      </c>
      <c r="K130" s="500"/>
      <c r="L130" s="500"/>
      <c r="M130" s="500"/>
    </row>
    <row r="131" ht="26.25" customHeight="1">
      <c r="A131" s="461"/>
      <c r="B131" s="501"/>
      <c r="C131" s="502" t="s">
        <v>552</v>
      </c>
      <c r="D131" s="443" t="s">
        <v>5</v>
      </c>
      <c r="E131" s="503">
        <v>8.870169974E9</v>
      </c>
      <c r="F131" s="504" t="s">
        <v>561</v>
      </c>
      <c r="G131" s="443" t="s">
        <v>1249</v>
      </c>
      <c r="H131" s="503" t="s">
        <v>637</v>
      </c>
      <c r="I131" s="306" t="s">
        <v>638</v>
      </c>
      <c r="J131" s="505" t="s">
        <v>692</v>
      </c>
      <c r="K131" s="506"/>
      <c r="L131" s="506"/>
      <c r="M131" s="506"/>
    </row>
    <row r="132" ht="26.25" customHeight="1">
      <c r="A132" s="461"/>
      <c r="B132" s="501"/>
      <c r="C132" s="502" t="s">
        <v>565</v>
      </c>
      <c r="D132" s="443" t="s">
        <v>5</v>
      </c>
      <c r="E132" s="503">
        <v>9.380523384E9</v>
      </c>
      <c r="F132" s="504" t="s">
        <v>573</v>
      </c>
      <c r="G132" s="443" t="s">
        <v>1254</v>
      </c>
      <c r="H132" s="503" t="s">
        <v>1178</v>
      </c>
      <c r="I132" s="306" t="s">
        <v>577</v>
      </c>
      <c r="J132" s="505" t="s">
        <v>692</v>
      </c>
      <c r="K132" s="506"/>
      <c r="L132" s="506"/>
      <c r="M132" s="506"/>
    </row>
    <row r="133" ht="26.25" customHeight="1">
      <c r="A133" s="461"/>
      <c r="B133" s="462"/>
      <c r="C133" s="209" t="s">
        <v>507</v>
      </c>
      <c r="D133" s="331" t="s">
        <v>5</v>
      </c>
      <c r="E133" s="332">
        <v>8.939797268E9</v>
      </c>
      <c r="F133" s="333" t="s">
        <v>514</v>
      </c>
      <c r="G133" s="323" t="s">
        <v>1259</v>
      </c>
      <c r="H133" s="294" t="s">
        <v>198</v>
      </c>
      <c r="I133" s="306" t="s">
        <v>982</v>
      </c>
      <c r="J133" s="295" t="s">
        <v>578</v>
      </c>
      <c r="K133" s="507"/>
      <c r="L133" s="507"/>
      <c r="M133" s="507"/>
    </row>
    <row r="134" ht="26.25" customHeight="1">
      <c r="A134" s="461"/>
      <c r="B134" s="441">
        <v>53.0</v>
      </c>
      <c r="C134" s="13" t="s">
        <v>531</v>
      </c>
      <c r="D134" s="324" t="s">
        <v>5</v>
      </c>
      <c r="E134" s="343">
        <v>9.476478885E9</v>
      </c>
      <c r="F134" s="343" t="s">
        <v>538</v>
      </c>
      <c r="G134" s="498" t="s">
        <v>1263</v>
      </c>
      <c r="H134" s="294" t="s">
        <v>198</v>
      </c>
      <c r="I134" s="306" t="s">
        <v>982</v>
      </c>
      <c r="J134" s="499" t="s">
        <v>628</v>
      </c>
      <c r="K134" s="507"/>
      <c r="L134" s="507"/>
      <c r="M134" s="507"/>
    </row>
    <row r="135" ht="26.25" customHeight="1">
      <c r="A135" s="461"/>
      <c r="B135" s="508"/>
      <c r="C135" s="257" t="s">
        <v>1268</v>
      </c>
      <c r="D135" s="443" t="s">
        <v>5</v>
      </c>
      <c r="E135" s="504" t="s">
        <v>1269</v>
      </c>
      <c r="F135" s="504" t="s">
        <v>633</v>
      </c>
      <c r="G135" s="443" t="s">
        <v>1270</v>
      </c>
      <c r="H135" s="504" t="s">
        <v>198</v>
      </c>
      <c r="I135" s="505" t="s">
        <v>982</v>
      </c>
      <c r="J135" s="505" t="s">
        <v>692</v>
      </c>
      <c r="K135" s="510"/>
      <c r="L135" s="510"/>
      <c r="M135" s="510"/>
    </row>
    <row r="136" ht="26.25" customHeight="1">
      <c r="A136" s="461"/>
      <c r="B136" s="513"/>
      <c r="C136" s="13" t="s">
        <v>599</v>
      </c>
      <c r="D136" s="331" t="s">
        <v>5</v>
      </c>
      <c r="E136" s="332">
        <v>9.952351453E9</v>
      </c>
      <c r="F136" s="333" t="s">
        <v>606</v>
      </c>
      <c r="G136" s="331" t="s">
        <v>1275</v>
      </c>
      <c r="H136" s="294" t="s">
        <v>198</v>
      </c>
      <c r="I136" s="306" t="s">
        <v>982</v>
      </c>
      <c r="J136" s="349" t="s">
        <v>692</v>
      </c>
      <c r="K136" s="510"/>
      <c r="L136" s="510"/>
      <c r="M136" s="510"/>
    </row>
    <row r="137" ht="26.25" customHeight="1">
      <c r="A137" s="461"/>
      <c r="B137" s="508"/>
      <c r="C137" s="257" t="s">
        <v>663</v>
      </c>
      <c r="D137" s="443" t="s">
        <v>5</v>
      </c>
      <c r="E137" s="504" t="s">
        <v>1278</v>
      </c>
      <c r="F137" s="504" t="s">
        <v>673</v>
      </c>
      <c r="G137" s="443" t="s">
        <v>1279</v>
      </c>
      <c r="H137" s="504" t="s">
        <v>393</v>
      </c>
      <c r="I137" s="296" t="s">
        <v>587</v>
      </c>
      <c r="J137" s="505" t="s">
        <v>628</v>
      </c>
      <c r="K137" s="510"/>
      <c r="L137" s="510"/>
      <c r="M137" s="510"/>
    </row>
    <row r="138" ht="26.25" customHeight="1">
      <c r="A138" s="461"/>
      <c r="B138" s="508"/>
      <c r="C138" s="257" t="s">
        <v>682</v>
      </c>
      <c r="D138" s="443" t="s">
        <v>5</v>
      </c>
      <c r="E138" s="504">
        <v>7.358088146E9</v>
      </c>
      <c r="F138" s="504" t="s">
        <v>686</v>
      </c>
      <c r="G138" s="443" t="s">
        <v>1282</v>
      </c>
      <c r="H138" s="504" t="s">
        <v>393</v>
      </c>
      <c r="I138" s="296" t="s">
        <v>587</v>
      </c>
      <c r="J138" s="505" t="s">
        <v>628</v>
      </c>
      <c r="K138" s="510"/>
      <c r="L138" s="510"/>
      <c r="M138" s="510"/>
    </row>
    <row r="139" ht="26.25" customHeight="1">
      <c r="A139" s="461"/>
      <c r="B139" s="508"/>
      <c r="C139" s="257" t="s">
        <v>694</v>
      </c>
      <c r="D139" s="443" t="s">
        <v>5</v>
      </c>
      <c r="E139" s="504" t="s">
        <v>1287</v>
      </c>
      <c r="F139" s="504" t="s">
        <v>705</v>
      </c>
      <c r="G139" s="443" t="s">
        <v>1288</v>
      </c>
      <c r="H139" s="504" t="s">
        <v>114</v>
      </c>
      <c r="I139" s="306" t="s">
        <v>613</v>
      </c>
      <c r="J139" s="505" t="s">
        <v>692</v>
      </c>
      <c r="K139" s="510"/>
      <c r="L139" s="510"/>
      <c r="M139" s="510"/>
    </row>
    <row r="140" ht="26.25" customHeight="1">
      <c r="A140" s="461"/>
      <c r="B140" s="508"/>
      <c r="C140" s="257" t="s">
        <v>641</v>
      </c>
      <c r="D140" s="443" t="s">
        <v>5</v>
      </c>
      <c r="E140" s="504" t="s">
        <v>1292</v>
      </c>
      <c r="F140" s="504" t="s">
        <v>655</v>
      </c>
      <c r="G140" s="443" t="s">
        <v>1295</v>
      </c>
      <c r="H140" s="294" t="s">
        <v>198</v>
      </c>
      <c r="I140" s="306" t="s">
        <v>982</v>
      </c>
      <c r="J140" s="505" t="s">
        <v>692</v>
      </c>
      <c r="K140" s="246"/>
      <c r="L140" s="246"/>
      <c r="M140" s="246"/>
    </row>
    <row r="141" ht="26.25" customHeight="1">
      <c r="A141" s="461"/>
      <c r="B141" s="478"/>
      <c r="C141" s="290" t="s">
        <v>993</v>
      </c>
      <c r="D141" s="294" t="s">
        <v>5</v>
      </c>
      <c r="E141" s="477">
        <v>9.75036657E9</v>
      </c>
      <c r="F141" s="477" t="s">
        <v>1001</v>
      </c>
      <c r="G141" s="294" t="s">
        <v>1298</v>
      </c>
      <c r="H141" s="406" t="s">
        <v>333</v>
      </c>
      <c r="I141" s="306" t="s">
        <v>638</v>
      </c>
      <c r="J141" s="518" t="s">
        <v>1299</v>
      </c>
      <c r="K141" s="500"/>
      <c r="L141" s="500"/>
      <c r="M141" s="500"/>
    </row>
    <row r="142" ht="26.25" customHeight="1">
      <c r="A142" s="461"/>
      <c r="B142" s="478"/>
      <c r="C142" s="290" t="s">
        <v>1042</v>
      </c>
      <c r="D142" s="294" t="s">
        <v>5</v>
      </c>
      <c r="E142" s="519">
        <v>8.098927503E9</v>
      </c>
      <c r="F142" s="477" t="s">
        <v>1046</v>
      </c>
      <c r="G142" s="294" t="s">
        <v>1304</v>
      </c>
      <c r="H142" s="406" t="s">
        <v>393</v>
      </c>
      <c r="I142" s="296" t="s">
        <v>587</v>
      </c>
      <c r="J142" s="518" t="s">
        <v>1299</v>
      </c>
      <c r="K142" s="500"/>
      <c r="L142" s="500"/>
      <c r="M142" s="500"/>
    </row>
    <row r="143" ht="26.25" customHeight="1">
      <c r="A143" s="461"/>
      <c r="B143" s="520"/>
      <c r="C143" s="331" t="s">
        <v>714</v>
      </c>
      <c r="D143" s="294" t="s">
        <v>5</v>
      </c>
      <c r="E143" s="332">
        <v>8.778373517E9</v>
      </c>
      <c r="F143" s="294" t="s">
        <v>722</v>
      </c>
      <c r="G143" s="294" t="s">
        <v>1306</v>
      </c>
      <c r="H143" s="294" t="s">
        <v>198</v>
      </c>
      <c r="I143" s="306" t="s">
        <v>982</v>
      </c>
      <c r="J143" s="349" t="s">
        <v>692</v>
      </c>
      <c r="K143" s="507"/>
      <c r="L143" s="507"/>
      <c r="M143" s="507"/>
    </row>
    <row r="144" ht="26.25" customHeight="1">
      <c r="A144" s="461"/>
      <c r="B144" s="520"/>
      <c r="C144" s="331" t="s">
        <v>771</v>
      </c>
      <c r="D144" s="294" t="s">
        <v>5</v>
      </c>
      <c r="E144" s="329">
        <v>9.551075056E9</v>
      </c>
      <c r="F144" s="294" t="s">
        <v>783</v>
      </c>
      <c r="G144" s="331" t="s">
        <v>1311</v>
      </c>
      <c r="H144" s="329" t="s">
        <v>393</v>
      </c>
      <c r="I144" s="296" t="s">
        <v>587</v>
      </c>
      <c r="J144" s="522" t="s">
        <v>692</v>
      </c>
      <c r="K144" s="246"/>
      <c r="L144" s="246"/>
      <c r="M144" s="246"/>
    </row>
    <row r="145" ht="26.25" customHeight="1">
      <c r="A145" s="461"/>
      <c r="B145" s="524"/>
      <c r="C145" s="525" t="s">
        <v>1183</v>
      </c>
      <c r="D145" s="526" t="s">
        <v>5</v>
      </c>
      <c r="E145" s="70">
        <v>6.374960838E9</v>
      </c>
      <c r="F145" s="48" t="s">
        <v>1193</v>
      </c>
      <c r="G145" s="174"/>
      <c r="H145" s="527"/>
      <c r="I145" s="528"/>
      <c r="J145" s="528"/>
      <c r="K145" s="78"/>
      <c r="L145" s="78"/>
      <c r="M145" s="65"/>
    </row>
    <row r="146" ht="26.25" customHeight="1">
      <c r="A146" s="461"/>
      <c r="B146" s="531"/>
      <c r="C146" s="532"/>
      <c r="D146" s="526"/>
      <c r="E146" s="533"/>
      <c r="F146" s="534"/>
      <c r="G146" s="537"/>
      <c r="H146" s="537"/>
      <c r="I146" s="538"/>
      <c r="J146" s="538"/>
    </row>
    <row r="147" ht="26.25" customHeight="1">
      <c r="A147" s="461"/>
      <c r="B147" s="524"/>
      <c r="C147" s="540"/>
      <c r="D147" s="526"/>
      <c r="E147" s="533"/>
      <c r="F147" s="534"/>
      <c r="G147" s="537"/>
      <c r="H147" s="537"/>
      <c r="I147" s="538"/>
      <c r="J147" s="538"/>
    </row>
    <row r="148" ht="26.25" customHeight="1">
      <c r="A148" s="461"/>
      <c r="B148" s="531"/>
      <c r="C148" s="532"/>
      <c r="D148" s="526"/>
      <c r="E148" s="533"/>
      <c r="F148" s="534"/>
      <c r="G148" s="537"/>
      <c r="H148" s="537"/>
      <c r="I148" s="538"/>
      <c r="J148" s="538"/>
    </row>
    <row r="149" ht="26.25" customHeight="1">
      <c r="A149" s="461"/>
      <c r="B149" s="524"/>
      <c r="C149" s="540"/>
      <c r="D149" s="526"/>
      <c r="E149" s="533"/>
      <c r="F149" s="534"/>
      <c r="G149" s="537"/>
      <c r="H149" s="537"/>
      <c r="I149" s="538"/>
      <c r="J149" s="538"/>
    </row>
    <row r="150" ht="26.25" customHeight="1">
      <c r="A150" s="461"/>
      <c r="B150" s="531"/>
      <c r="C150" s="532"/>
      <c r="D150" s="526"/>
      <c r="E150" s="533"/>
      <c r="F150" s="534"/>
      <c r="G150" s="537"/>
      <c r="H150" s="537"/>
      <c r="I150" s="538"/>
      <c r="J150" s="538"/>
    </row>
    <row r="151" ht="26.25" customHeight="1">
      <c r="A151" s="461"/>
      <c r="B151" s="524"/>
      <c r="C151" s="540"/>
      <c r="D151" s="526"/>
      <c r="E151" s="533"/>
      <c r="F151" s="534"/>
      <c r="G151" s="537"/>
      <c r="H151" s="537"/>
      <c r="I151" s="538"/>
      <c r="J151" s="538"/>
    </row>
    <row r="152" ht="26.25" customHeight="1">
      <c r="A152" s="461"/>
      <c r="B152" s="531"/>
      <c r="C152" s="532"/>
      <c r="D152" s="526"/>
      <c r="E152" s="533"/>
      <c r="F152" s="534"/>
      <c r="G152" s="537"/>
      <c r="H152" s="537"/>
      <c r="I152" s="538"/>
      <c r="J152" s="538"/>
    </row>
    <row r="153" ht="26.25" customHeight="1">
      <c r="A153" s="461"/>
      <c r="B153" s="524"/>
      <c r="C153" s="540"/>
      <c r="D153" s="526"/>
      <c r="E153" s="533"/>
      <c r="F153" s="534"/>
      <c r="G153" s="537"/>
      <c r="H153" s="537"/>
      <c r="I153" s="538"/>
      <c r="J153" s="538"/>
    </row>
    <row r="154" ht="26.25" customHeight="1">
      <c r="A154" s="461"/>
      <c r="B154" s="531"/>
      <c r="C154" s="532"/>
      <c r="D154" s="526"/>
      <c r="E154" s="533"/>
      <c r="F154" s="551"/>
      <c r="G154" s="537"/>
      <c r="H154" s="537"/>
      <c r="I154" s="538"/>
      <c r="J154" s="538"/>
    </row>
    <row r="155" ht="26.25" customHeight="1">
      <c r="A155" s="461"/>
      <c r="B155" s="524"/>
      <c r="C155" s="540"/>
      <c r="D155" s="526"/>
      <c r="E155" s="533"/>
      <c r="F155" s="534"/>
      <c r="G155" s="537"/>
      <c r="H155" s="537"/>
      <c r="I155" s="538"/>
      <c r="J155" s="538"/>
    </row>
    <row r="156" ht="26.25" customHeight="1">
      <c r="A156" s="461"/>
      <c r="B156" s="531"/>
      <c r="C156" s="532"/>
      <c r="D156" s="526"/>
      <c r="E156" s="533"/>
      <c r="F156" s="552"/>
      <c r="G156" s="537"/>
      <c r="H156" s="537"/>
      <c r="I156" s="538"/>
      <c r="J156" s="538"/>
    </row>
    <row r="157" ht="26.25" customHeight="1">
      <c r="A157" s="461"/>
      <c r="B157" s="524"/>
      <c r="C157" s="540"/>
      <c r="D157" s="526"/>
      <c r="E157" s="533"/>
      <c r="F157" s="552"/>
      <c r="G157" s="537"/>
      <c r="H157" s="537"/>
      <c r="I157" s="538"/>
      <c r="J157" s="538"/>
    </row>
    <row r="158" ht="26.25" customHeight="1">
      <c r="A158" s="461"/>
      <c r="B158" s="531"/>
      <c r="C158" s="532"/>
      <c r="D158" s="526"/>
      <c r="E158" s="533"/>
      <c r="F158" s="552"/>
      <c r="G158" s="537"/>
      <c r="H158" s="537"/>
      <c r="I158" s="538"/>
      <c r="J158" s="538"/>
    </row>
    <row r="159" ht="26.25" customHeight="1">
      <c r="A159" s="461"/>
      <c r="B159" s="531"/>
      <c r="C159" s="532"/>
      <c r="D159" s="526"/>
      <c r="E159" s="533"/>
      <c r="F159" s="552"/>
      <c r="G159" s="537"/>
      <c r="H159" s="537"/>
      <c r="I159" s="538"/>
      <c r="J159" s="538"/>
    </row>
    <row r="160" ht="26.25" customHeight="1">
      <c r="A160" s="461"/>
      <c r="B160" s="531"/>
      <c r="C160" s="532"/>
      <c r="D160" s="526"/>
      <c r="E160" s="533"/>
      <c r="F160" s="552"/>
      <c r="G160" s="537"/>
      <c r="H160" s="537"/>
      <c r="I160" s="538"/>
      <c r="J160" s="538"/>
    </row>
    <row r="161" ht="26.25" customHeight="1">
      <c r="A161" s="461"/>
      <c r="B161" s="531"/>
      <c r="C161" s="532"/>
      <c r="D161" s="526"/>
      <c r="E161" s="533"/>
      <c r="F161" s="552"/>
      <c r="G161" s="537"/>
      <c r="H161" s="537"/>
      <c r="I161" s="538"/>
      <c r="J161" s="538"/>
    </row>
    <row r="162" ht="26.25" customHeight="1">
      <c r="A162" s="461"/>
      <c r="B162" s="531"/>
      <c r="C162" s="532"/>
      <c r="D162" s="526"/>
      <c r="E162" s="533"/>
      <c r="F162" s="552"/>
      <c r="G162" s="537"/>
      <c r="H162" s="537"/>
      <c r="I162" s="538"/>
      <c r="J162" s="538"/>
    </row>
    <row r="163" ht="26.25" customHeight="1">
      <c r="A163" s="461"/>
      <c r="B163" s="531"/>
      <c r="C163" s="532"/>
      <c r="D163" s="526"/>
      <c r="E163" s="533"/>
      <c r="F163" s="552"/>
      <c r="G163" s="537"/>
      <c r="H163" s="537"/>
      <c r="I163" s="538"/>
      <c r="J163" s="538"/>
    </row>
    <row r="164" ht="26.25" customHeight="1">
      <c r="A164" s="461"/>
      <c r="B164" s="531"/>
      <c r="C164" s="532"/>
      <c r="D164" s="526"/>
      <c r="E164" s="533"/>
      <c r="F164" s="552"/>
      <c r="G164" s="537"/>
      <c r="H164" s="537"/>
      <c r="I164" s="538"/>
      <c r="J164" s="538"/>
    </row>
    <row r="165" ht="26.25" customHeight="1">
      <c r="A165" s="461"/>
      <c r="B165" s="531"/>
      <c r="C165" s="532"/>
      <c r="D165" s="526"/>
      <c r="E165" s="533"/>
      <c r="F165" s="552"/>
      <c r="G165" s="537"/>
      <c r="H165" s="537"/>
      <c r="I165" s="538"/>
      <c r="J165" s="538"/>
    </row>
    <row r="166" ht="26.25" customHeight="1">
      <c r="A166" s="461"/>
      <c r="B166" s="531"/>
      <c r="C166" s="532"/>
      <c r="D166" s="526"/>
      <c r="E166" s="533"/>
      <c r="F166" s="552"/>
      <c r="G166" s="537"/>
      <c r="H166" s="537"/>
      <c r="I166" s="538"/>
      <c r="J166" s="538"/>
    </row>
    <row r="167" ht="26.25" customHeight="1">
      <c r="A167" s="461"/>
      <c r="B167" s="531"/>
      <c r="C167" s="532"/>
      <c r="D167" s="526"/>
      <c r="E167" s="533"/>
      <c r="F167" s="552"/>
      <c r="G167" s="537"/>
      <c r="H167" s="537"/>
      <c r="I167" s="538"/>
      <c r="J167" s="538"/>
    </row>
    <row r="168" ht="26.25" customHeight="1">
      <c r="A168" s="461"/>
      <c r="B168" s="531"/>
      <c r="C168" s="532"/>
      <c r="D168" s="526"/>
      <c r="E168" s="533"/>
      <c r="F168" s="552"/>
      <c r="G168" s="537"/>
      <c r="H168" s="537"/>
      <c r="I168" s="538"/>
      <c r="J168" s="538"/>
    </row>
    <row r="169" ht="26.25" customHeight="1">
      <c r="A169" s="461"/>
      <c r="B169" s="531"/>
      <c r="C169" s="532"/>
      <c r="D169" s="526"/>
      <c r="E169" s="533"/>
      <c r="F169" s="552"/>
      <c r="G169" s="537"/>
      <c r="H169" s="537"/>
      <c r="I169" s="538"/>
      <c r="J169" s="538"/>
    </row>
    <row r="170" ht="26.25" customHeight="1">
      <c r="A170" s="461"/>
      <c r="B170" s="531"/>
      <c r="C170" s="532"/>
      <c r="D170" s="526"/>
      <c r="E170" s="533"/>
      <c r="F170" s="552"/>
      <c r="G170" s="537"/>
      <c r="H170" s="537"/>
      <c r="I170" s="538"/>
      <c r="J170" s="538"/>
    </row>
    <row r="171" ht="26.25" customHeight="1">
      <c r="A171" s="461"/>
      <c r="B171" s="531"/>
      <c r="C171" s="532"/>
      <c r="D171" s="526"/>
      <c r="E171" s="533"/>
      <c r="F171" s="552"/>
      <c r="G171" s="537"/>
      <c r="H171" s="537"/>
      <c r="I171" s="538"/>
      <c r="J171" s="538"/>
    </row>
    <row r="172" ht="26.25" customHeight="1">
      <c r="A172" s="461"/>
      <c r="B172" s="531"/>
      <c r="C172" s="532"/>
      <c r="D172" s="526"/>
      <c r="E172" s="533"/>
      <c r="F172" s="552"/>
      <c r="G172" s="537"/>
      <c r="H172" s="537"/>
      <c r="I172" s="538"/>
      <c r="J172" s="538"/>
    </row>
    <row r="173" ht="26.25" customHeight="1">
      <c r="A173" s="461"/>
      <c r="B173" s="531"/>
      <c r="C173" s="532"/>
      <c r="D173" s="526"/>
      <c r="E173" s="533"/>
      <c r="F173" s="552"/>
      <c r="G173" s="537"/>
      <c r="H173" s="537"/>
      <c r="I173" s="538"/>
      <c r="J173" s="538"/>
    </row>
    <row r="174" ht="26.25" customHeight="1">
      <c r="A174" s="461"/>
      <c r="B174" s="531"/>
      <c r="C174" s="532"/>
      <c r="D174" s="526"/>
      <c r="E174" s="533"/>
      <c r="F174" s="552"/>
      <c r="G174" s="537"/>
      <c r="H174" s="537"/>
      <c r="I174" s="538"/>
      <c r="J174" s="538"/>
    </row>
    <row r="175" ht="26.25" customHeight="1">
      <c r="A175" s="461"/>
      <c r="B175" s="531"/>
      <c r="C175" s="532"/>
      <c r="D175" s="526"/>
      <c r="E175" s="533"/>
      <c r="F175" s="552"/>
      <c r="G175" s="537"/>
      <c r="H175" s="537"/>
      <c r="I175" s="538"/>
      <c r="J175" s="538"/>
    </row>
    <row r="176" ht="26.25" customHeight="1">
      <c r="A176" s="461"/>
      <c r="B176" s="531"/>
      <c r="C176" s="532"/>
      <c r="D176" s="526"/>
      <c r="E176" s="533"/>
      <c r="F176" s="552"/>
      <c r="G176" s="537"/>
      <c r="H176" s="537"/>
      <c r="I176" s="538"/>
      <c r="J176" s="538"/>
    </row>
    <row r="177" ht="26.25" customHeight="1">
      <c r="A177" s="461"/>
      <c r="B177" s="531"/>
      <c r="C177" s="532"/>
      <c r="D177" s="526"/>
      <c r="E177" s="533"/>
      <c r="F177" s="552"/>
      <c r="G177" s="537"/>
      <c r="H177" s="537"/>
      <c r="I177" s="538"/>
      <c r="J177" s="538"/>
    </row>
    <row r="178" ht="26.25" customHeight="1">
      <c r="A178" s="461"/>
      <c r="B178" s="531"/>
      <c r="C178" s="532"/>
      <c r="D178" s="526"/>
      <c r="E178" s="533"/>
      <c r="F178" s="552"/>
      <c r="G178" s="537"/>
      <c r="H178" s="537"/>
      <c r="I178" s="538"/>
      <c r="J178" s="538"/>
    </row>
    <row r="179" ht="26.25" customHeight="1">
      <c r="A179" s="461"/>
      <c r="B179" s="531"/>
      <c r="C179" s="532"/>
      <c r="D179" s="526"/>
      <c r="E179" s="533"/>
      <c r="F179" s="552"/>
      <c r="G179" s="537"/>
      <c r="H179" s="537"/>
      <c r="I179" s="538"/>
      <c r="J179" s="538"/>
    </row>
    <row r="180" ht="26.25" customHeight="1">
      <c r="A180" s="461"/>
      <c r="B180" s="531"/>
      <c r="C180" s="532"/>
      <c r="D180" s="526"/>
      <c r="E180" s="533"/>
      <c r="F180" s="552"/>
      <c r="G180" s="537"/>
      <c r="H180" s="537"/>
      <c r="I180" s="538"/>
      <c r="J180" s="538"/>
    </row>
    <row r="181" ht="26.25" customHeight="1">
      <c r="A181" s="461"/>
      <c r="B181" s="531"/>
      <c r="C181" s="532"/>
      <c r="D181" s="526"/>
      <c r="E181" s="533"/>
      <c r="F181" s="552"/>
      <c r="G181" s="537"/>
      <c r="H181" s="537"/>
      <c r="I181" s="538"/>
      <c r="J181" s="538"/>
    </row>
    <row r="182" ht="26.25" customHeight="1">
      <c r="A182" s="461"/>
      <c r="B182" s="531"/>
      <c r="C182" s="532"/>
      <c r="D182" s="526"/>
      <c r="E182" s="533"/>
      <c r="F182" s="552"/>
      <c r="G182" s="537"/>
      <c r="H182" s="537"/>
      <c r="I182" s="538"/>
      <c r="J182" s="538"/>
    </row>
    <row r="183" ht="26.25" customHeight="1">
      <c r="A183" s="461"/>
      <c r="B183" s="531"/>
      <c r="C183" s="532"/>
      <c r="D183" s="526"/>
      <c r="E183" s="533"/>
      <c r="F183" s="552"/>
      <c r="G183" s="537"/>
      <c r="H183" s="537"/>
      <c r="I183" s="538"/>
      <c r="J183" s="538"/>
    </row>
    <row r="184" ht="26.25" customHeight="1">
      <c r="A184" s="461"/>
      <c r="B184" s="531"/>
      <c r="C184" s="532"/>
      <c r="D184" s="526"/>
      <c r="E184" s="533"/>
      <c r="F184" s="552"/>
      <c r="G184" s="537"/>
      <c r="H184" s="537"/>
      <c r="I184" s="538"/>
      <c r="J184" s="538"/>
    </row>
    <row r="185" ht="26.25" customHeight="1">
      <c r="A185" s="461"/>
      <c r="B185" s="531"/>
      <c r="C185" s="532"/>
      <c r="D185" s="526"/>
      <c r="E185" s="533"/>
      <c r="F185" s="552"/>
      <c r="G185" s="537"/>
      <c r="H185" s="537"/>
      <c r="I185" s="538"/>
      <c r="J185" s="538"/>
    </row>
    <row r="186" ht="26.25" customHeight="1">
      <c r="A186" s="461"/>
      <c r="B186" s="531"/>
      <c r="C186" s="532"/>
      <c r="D186" s="526"/>
      <c r="E186" s="533"/>
      <c r="F186" s="552"/>
      <c r="G186" s="537"/>
      <c r="H186" s="537"/>
      <c r="I186" s="538"/>
      <c r="J186" s="538"/>
    </row>
    <row r="187" ht="26.25" customHeight="1">
      <c r="A187" s="461"/>
      <c r="B187" s="531"/>
      <c r="C187" s="532"/>
      <c r="D187" s="526"/>
      <c r="E187" s="533"/>
      <c r="F187" s="552"/>
      <c r="G187" s="537"/>
      <c r="H187" s="537"/>
      <c r="I187" s="538"/>
      <c r="J187" s="538"/>
    </row>
    <row r="188" ht="26.25" customHeight="1">
      <c r="A188" s="461"/>
      <c r="B188" s="531"/>
      <c r="C188" s="532"/>
      <c r="D188" s="526"/>
      <c r="E188" s="533"/>
      <c r="F188" s="552"/>
      <c r="G188" s="537"/>
      <c r="H188" s="537"/>
      <c r="I188" s="538"/>
      <c r="J188" s="538"/>
    </row>
    <row r="189" ht="26.25" customHeight="1">
      <c r="A189" s="461"/>
      <c r="B189" s="531"/>
      <c r="C189" s="532"/>
      <c r="D189" s="526"/>
      <c r="E189" s="533"/>
      <c r="F189" s="552"/>
      <c r="G189" s="537"/>
      <c r="H189" s="537"/>
      <c r="I189" s="538"/>
      <c r="J189" s="538"/>
    </row>
    <row r="190" ht="26.25" customHeight="1">
      <c r="A190" s="461"/>
      <c r="B190" s="531"/>
      <c r="C190" s="532"/>
      <c r="D190" s="526"/>
      <c r="E190" s="533"/>
      <c r="F190" s="552"/>
      <c r="G190" s="537"/>
      <c r="H190" s="537"/>
      <c r="I190" s="538"/>
      <c r="J190" s="538"/>
    </row>
    <row r="191" ht="26.25" customHeight="1">
      <c r="A191" s="461"/>
      <c r="B191" s="531"/>
      <c r="C191" s="532"/>
      <c r="D191" s="526"/>
      <c r="E191" s="533"/>
      <c r="F191" s="552"/>
      <c r="G191" s="537"/>
      <c r="H191" s="537"/>
      <c r="I191" s="538"/>
      <c r="J191" s="538"/>
    </row>
    <row r="192" ht="26.25" customHeight="1">
      <c r="A192" s="461"/>
      <c r="B192" s="531"/>
      <c r="C192" s="532"/>
      <c r="D192" s="526"/>
      <c r="E192" s="533"/>
      <c r="F192" s="552"/>
      <c r="G192" s="537"/>
      <c r="H192" s="537"/>
      <c r="I192" s="538"/>
      <c r="J192" s="538"/>
    </row>
    <row r="193" ht="26.25" customHeight="1">
      <c r="A193" s="461"/>
      <c r="B193" s="531"/>
      <c r="C193" s="532"/>
      <c r="D193" s="526"/>
      <c r="E193" s="533"/>
      <c r="F193" s="552"/>
      <c r="G193" s="537"/>
      <c r="H193" s="537"/>
      <c r="I193" s="538"/>
      <c r="J193" s="538"/>
    </row>
    <row r="194" ht="26.25" customHeight="1">
      <c r="A194" s="461"/>
      <c r="B194" s="531"/>
      <c r="C194" s="532"/>
      <c r="D194" s="526"/>
      <c r="E194" s="533"/>
      <c r="F194" s="552"/>
      <c r="G194" s="537"/>
      <c r="H194" s="537"/>
      <c r="I194" s="538"/>
      <c r="J194" s="538"/>
    </row>
    <row r="195" ht="26.25" customHeight="1">
      <c r="A195" s="461"/>
      <c r="B195" s="531"/>
      <c r="C195" s="532"/>
      <c r="D195" s="526"/>
      <c r="E195" s="533"/>
      <c r="F195" s="552"/>
      <c r="G195" s="537"/>
      <c r="H195" s="537"/>
      <c r="I195" s="538"/>
      <c r="J195" s="538"/>
    </row>
    <row r="196" ht="26.25" customHeight="1">
      <c r="A196" s="461"/>
      <c r="B196" s="531"/>
      <c r="C196" s="532"/>
      <c r="D196" s="526"/>
      <c r="E196" s="533"/>
      <c r="F196" s="552"/>
      <c r="G196" s="537"/>
      <c r="H196" s="537"/>
      <c r="I196" s="538"/>
      <c r="J196" s="538"/>
    </row>
    <row r="197" ht="26.25" customHeight="1">
      <c r="A197" s="461"/>
      <c r="B197" s="531"/>
      <c r="C197" s="532"/>
      <c r="D197" s="526"/>
      <c r="E197" s="533"/>
      <c r="F197" s="552"/>
      <c r="G197" s="537"/>
      <c r="H197" s="537"/>
      <c r="I197" s="538"/>
      <c r="J197" s="538"/>
    </row>
    <row r="198" ht="26.25" customHeight="1">
      <c r="A198" s="461"/>
      <c r="B198" s="531"/>
      <c r="C198" s="532"/>
      <c r="D198" s="526"/>
      <c r="E198" s="533"/>
      <c r="F198" s="552"/>
      <c r="G198" s="537"/>
      <c r="H198" s="537"/>
      <c r="I198" s="538"/>
      <c r="J198" s="538"/>
    </row>
    <row r="199" ht="26.25" customHeight="1">
      <c r="A199" s="461"/>
      <c r="B199" s="531"/>
      <c r="C199" s="532"/>
      <c r="D199" s="526"/>
      <c r="E199" s="533"/>
      <c r="F199" s="552"/>
      <c r="G199" s="537"/>
      <c r="H199" s="537"/>
      <c r="I199" s="538"/>
      <c r="J199" s="538"/>
    </row>
    <row r="200" ht="26.25" customHeight="1">
      <c r="A200" s="461"/>
      <c r="B200" s="531"/>
      <c r="C200" s="532"/>
      <c r="D200" s="526"/>
      <c r="E200" s="533"/>
      <c r="F200" s="552"/>
      <c r="G200" s="537"/>
      <c r="H200" s="537"/>
      <c r="I200" s="538"/>
      <c r="J200" s="538"/>
    </row>
    <row r="201" ht="26.25" customHeight="1">
      <c r="A201" s="461"/>
      <c r="B201" s="531"/>
      <c r="C201" s="532"/>
      <c r="D201" s="526"/>
      <c r="E201" s="533"/>
      <c r="F201" s="552"/>
      <c r="G201" s="537"/>
      <c r="H201" s="537"/>
      <c r="I201" s="538"/>
      <c r="J201" s="538"/>
    </row>
    <row r="202" ht="26.25" customHeight="1">
      <c r="A202" s="461"/>
      <c r="B202" s="531"/>
      <c r="C202" s="532"/>
      <c r="D202" s="526"/>
      <c r="E202" s="533"/>
      <c r="F202" s="552"/>
      <c r="G202" s="537"/>
      <c r="H202" s="537"/>
      <c r="I202" s="538"/>
      <c r="J202" s="538"/>
    </row>
    <row r="203" ht="26.25" customHeight="1">
      <c r="A203" s="461"/>
      <c r="B203" s="531"/>
      <c r="C203" s="532"/>
      <c r="D203" s="526"/>
      <c r="E203" s="533"/>
      <c r="F203" s="552"/>
      <c r="G203" s="537"/>
      <c r="H203" s="537"/>
      <c r="I203" s="538"/>
      <c r="J203" s="538"/>
    </row>
    <row r="204" ht="26.25" customHeight="1">
      <c r="A204" s="461"/>
      <c r="B204" s="531"/>
      <c r="C204" s="532"/>
      <c r="D204" s="526"/>
      <c r="E204" s="533"/>
      <c r="F204" s="552"/>
      <c r="G204" s="537"/>
      <c r="H204" s="537"/>
      <c r="I204" s="538"/>
      <c r="J204" s="538"/>
    </row>
    <row r="205" ht="26.25" customHeight="1">
      <c r="A205" s="461"/>
      <c r="B205" s="531"/>
      <c r="C205" s="532"/>
      <c r="D205" s="526"/>
      <c r="E205" s="533"/>
      <c r="F205" s="552"/>
      <c r="G205" s="537"/>
      <c r="H205" s="537"/>
      <c r="I205" s="538"/>
      <c r="J205" s="538"/>
    </row>
    <row r="206" ht="26.25" customHeight="1">
      <c r="A206" s="461"/>
      <c r="B206" s="531"/>
      <c r="C206" s="532"/>
      <c r="D206" s="526"/>
      <c r="E206" s="533"/>
      <c r="F206" s="552"/>
      <c r="G206" s="537"/>
      <c r="H206" s="537"/>
      <c r="I206" s="538"/>
      <c r="J206" s="538"/>
    </row>
    <row r="207" ht="26.25" customHeight="1">
      <c r="A207" s="461"/>
      <c r="B207" s="531"/>
      <c r="C207" s="532"/>
      <c r="D207" s="526"/>
      <c r="E207" s="533"/>
      <c r="F207" s="552"/>
      <c r="G207" s="537"/>
      <c r="H207" s="537"/>
      <c r="I207" s="538"/>
      <c r="J207" s="538"/>
    </row>
    <row r="208" ht="26.25" customHeight="1">
      <c r="A208" s="461"/>
      <c r="B208" s="531"/>
      <c r="C208" s="532"/>
      <c r="D208" s="526"/>
      <c r="E208" s="533"/>
      <c r="F208" s="552"/>
      <c r="G208" s="537"/>
      <c r="H208" s="537"/>
      <c r="I208" s="538"/>
      <c r="J208" s="538"/>
    </row>
    <row r="209" ht="26.25" customHeight="1">
      <c r="A209" s="461"/>
      <c r="B209" s="531"/>
      <c r="C209" s="532"/>
      <c r="D209" s="526"/>
      <c r="E209" s="533"/>
      <c r="F209" s="552"/>
      <c r="G209" s="537"/>
      <c r="H209" s="537"/>
      <c r="I209" s="538"/>
      <c r="J209" s="538"/>
    </row>
    <row r="210" ht="26.25" customHeight="1">
      <c r="A210" s="461"/>
      <c r="B210" s="531"/>
      <c r="C210" s="532"/>
      <c r="D210" s="526"/>
      <c r="E210" s="533"/>
      <c r="F210" s="552"/>
      <c r="G210" s="537"/>
      <c r="H210" s="537"/>
      <c r="I210" s="538"/>
      <c r="J210" s="538"/>
    </row>
    <row r="211" ht="26.25" customHeight="1">
      <c r="A211" s="461"/>
      <c r="B211" s="531"/>
      <c r="C211" s="532"/>
      <c r="D211" s="526"/>
      <c r="E211" s="533"/>
      <c r="F211" s="552"/>
      <c r="G211" s="537"/>
      <c r="H211" s="537"/>
      <c r="I211" s="538"/>
      <c r="J211" s="538"/>
    </row>
    <row r="212" ht="26.25" customHeight="1">
      <c r="A212" s="461"/>
      <c r="B212" s="531"/>
      <c r="C212" s="532"/>
      <c r="D212" s="526"/>
      <c r="E212" s="533"/>
      <c r="F212" s="552"/>
      <c r="G212" s="537"/>
      <c r="H212" s="537"/>
      <c r="I212" s="538"/>
      <c r="J212" s="538"/>
    </row>
    <row r="213" ht="26.25" customHeight="1">
      <c r="A213" s="461"/>
      <c r="B213" s="531"/>
      <c r="C213" s="532"/>
      <c r="D213" s="526"/>
      <c r="E213" s="533"/>
      <c r="F213" s="552"/>
      <c r="G213" s="537"/>
      <c r="H213" s="537"/>
      <c r="I213" s="538"/>
      <c r="J213" s="538"/>
    </row>
    <row r="214" ht="26.25" customHeight="1">
      <c r="A214" s="461"/>
      <c r="B214" s="531"/>
      <c r="C214" s="532"/>
      <c r="D214" s="526"/>
      <c r="E214" s="533"/>
      <c r="F214" s="552"/>
      <c r="G214" s="537"/>
      <c r="H214" s="537"/>
      <c r="I214" s="538"/>
      <c r="J214" s="538"/>
    </row>
    <row r="215" ht="26.25" customHeight="1">
      <c r="A215" s="461"/>
      <c r="B215" s="531"/>
      <c r="C215" s="532"/>
      <c r="D215" s="526"/>
      <c r="E215" s="533"/>
      <c r="F215" s="552"/>
      <c r="G215" s="537"/>
      <c r="H215" s="537"/>
      <c r="I215" s="538"/>
      <c r="J215" s="538"/>
    </row>
    <row r="216" ht="26.25" customHeight="1">
      <c r="A216" s="461"/>
      <c r="B216" s="531"/>
      <c r="C216" s="532"/>
      <c r="D216" s="526"/>
      <c r="E216" s="533"/>
      <c r="F216" s="552"/>
      <c r="G216" s="537"/>
      <c r="H216" s="537"/>
      <c r="I216" s="538"/>
      <c r="J216" s="538"/>
    </row>
    <row r="217" ht="26.25" customHeight="1">
      <c r="A217" s="461"/>
      <c r="B217" s="531"/>
      <c r="C217" s="532"/>
      <c r="D217" s="526"/>
      <c r="E217" s="533"/>
      <c r="F217" s="552"/>
      <c r="G217" s="537"/>
      <c r="H217" s="537"/>
      <c r="I217" s="538"/>
      <c r="J217" s="538"/>
    </row>
    <row r="218" ht="26.25" customHeight="1">
      <c r="A218" s="461"/>
      <c r="B218" s="531"/>
      <c r="C218" s="532"/>
      <c r="D218" s="526"/>
      <c r="E218" s="533"/>
      <c r="F218" s="552"/>
      <c r="G218" s="537"/>
      <c r="H218" s="537"/>
      <c r="I218" s="538"/>
      <c r="J218" s="538"/>
    </row>
    <row r="219" ht="26.25" customHeight="1">
      <c r="A219" s="461"/>
      <c r="B219" s="531"/>
      <c r="C219" s="532"/>
      <c r="D219" s="526"/>
      <c r="E219" s="533"/>
      <c r="F219" s="552"/>
      <c r="G219" s="537"/>
      <c r="H219" s="537"/>
      <c r="I219" s="538"/>
      <c r="J219" s="538"/>
    </row>
    <row r="220" ht="26.25" customHeight="1">
      <c r="A220" s="461"/>
      <c r="B220" s="531"/>
      <c r="C220" s="532"/>
      <c r="D220" s="526"/>
      <c r="E220" s="533"/>
      <c r="F220" s="552"/>
      <c r="G220" s="537"/>
      <c r="H220" s="537"/>
      <c r="I220" s="538"/>
      <c r="J220" s="538"/>
    </row>
    <row r="221" ht="26.25" customHeight="1">
      <c r="A221" s="461"/>
      <c r="B221" s="531"/>
      <c r="C221" s="532"/>
      <c r="D221" s="526"/>
      <c r="E221" s="533"/>
      <c r="F221" s="552"/>
      <c r="G221" s="537"/>
      <c r="H221" s="537"/>
      <c r="I221" s="538"/>
      <c r="J221" s="538"/>
    </row>
    <row r="222" ht="26.25" customHeight="1">
      <c r="A222" s="461"/>
      <c r="B222" s="531"/>
      <c r="C222" s="532"/>
      <c r="D222" s="526"/>
      <c r="E222" s="533"/>
      <c r="F222" s="552"/>
      <c r="G222" s="537"/>
      <c r="H222" s="537"/>
      <c r="I222" s="538"/>
      <c r="J222" s="538"/>
    </row>
    <row r="223" ht="26.25" customHeight="1">
      <c r="A223" s="461"/>
      <c r="B223" s="531"/>
      <c r="C223" s="532"/>
      <c r="D223" s="526"/>
      <c r="E223" s="533"/>
      <c r="F223" s="552"/>
      <c r="G223" s="537"/>
      <c r="H223" s="537"/>
      <c r="I223" s="538"/>
      <c r="J223" s="538"/>
    </row>
    <row r="224" ht="26.25" customHeight="1">
      <c r="A224" s="461"/>
      <c r="B224" s="531"/>
      <c r="C224" s="532"/>
      <c r="D224" s="526"/>
      <c r="E224" s="533"/>
      <c r="F224" s="552"/>
      <c r="G224" s="537"/>
      <c r="H224" s="537"/>
      <c r="I224" s="538"/>
      <c r="J224" s="538"/>
    </row>
    <row r="225" ht="26.25" customHeight="1">
      <c r="A225" s="461"/>
      <c r="B225" s="531"/>
      <c r="C225" s="532"/>
      <c r="D225" s="526"/>
      <c r="E225" s="533"/>
      <c r="F225" s="552"/>
      <c r="G225" s="537"/>
      <c r="H225" s="537"/>
      <c r="I225" s="538"/>
      <c r="J225" s="538"/>
    </row>
    <row r="226" ht="26.25" customHeight="1">
      <c r="A226" s="461"/>
      <c r="B226" s="531"/>
      <c r="C226" s="532"/>
      <c r="D226" s="526"/>
      <c r="E226" s="533"/>
      <c r="F226" s="552"/>
      <c r="G226" s="537"/>
      <c r="H226" s="537"/>
      <c r="I226" s="538"/>
      <c r="J226" s="538"/>
    </row>
    <row r="227" ht="26.25" customHeight="1">
      <c r="A227" s="461"/>
      <c r="B227" s="531"/>
      <c r="C227" s="532"/>
      <c r="D227" s="526"/>
      <c r="E227" s="533"/>
      <c r="F227" s="552"/>
      <c r="G227" s="537"/>
      <c r="H227" s="537"/>
      <c r="I227" s="538"/>
      <c r="J227" s="538"/>
    </row>
    <row r="228" ht="26.25" customHeight="1">
      <c r="A228" s="461"/>
      <c r="B228" s="531"/>
      <c r="C228" s="532"/>
      <c r="D228" s="526"/>
      <c r="E228" s="533"/>
      <c r="F228" s="552"/>
      <c r="G228" s="537"/>
      <c r="H228" s="537"/>
      <c r="I228" s="538"/>
      <c r="J228" s="538"/>
    </row>
    <row r="229" ht="26.25" customHeight="1">
      <c r="A229" s="461"/>
      <c r="B229" s="531"/>
      <c r="C229" s="532"/>
      <c r="D229" s="526"/>
      <c r="E229" s="533"/>
      <c r="F229" s="552"/>
      <c r="G229" s="537"/>
      <c r="H229" s="537"/>
      <c r="I229" s="538"/>
      <c r="J229" s="538"/>
    </row>
    <row r="230" ht="26.25" customHeight="1">
      <c r="A230" s="461"/>
      <c r="B230" s="531"/>
      <c r="C230" s="532"/>
      <c r="D230" s="526"/>
      <c r="E230" s="533"/>
      <c r="F230" s="552"/>
      <c r="G230" s="537"/>
      <c r="H230" s="537"/>
      <c r="I230" s="538"/>
      <c r="J230" s="538"/>
    </row>
    <row r="231" ht="26.25" customHeight="1">
      <c r="A231" s="461"/>
      <c r="B231" s="531"/>
      <c r="C231" s="532"/>
      <c r="D231" s="526"/>
      <c r="E231" s="533"/>
      <c r="F231" s="552"/>
      <c r="G231" s="537"/>
      <c r="H231" s="537"/>
      <c r="I231" s="538"/>
      <c r="J231" s="538"/>
    </row>
    <row r="232" ht="26.25" customHeight="1">
      <c r="A232" s="461"/>
      <c r="B232" s="531"/>
      <c r="C232" s="532"/>
      <c r="D232" s="526"/>
      <c r="E232" s="533"/>
      <c r="F232" s="552"/>
      <c r="G232" s="537"/>
      <c r="H232" s="537"/>
      <c r="I232" s="538"/>
      <c r="J232" s="538"/>
    </row>
    <row r="233" ht="26.25" customHeight="1">
      <c r="A233" s="461"/>
      <c r="B233" s="531"/>
      <c r="C233" s="532"/>
      <c r="D233" s="526"/>
      <c r="E233" s="533"/>
      <c r="F233" s="552"/>
      <c r="G233" s="537"/>
      <c r="H233" s="537"/>
      <c r="I233" s="538"/>
      <c r="J233" s="538"/>
    </row>
    <row r="234" ht="26.25" customHeight="1">
      <c r="A234" s="461"/>
      <c r="B234" s="531"/>
      <c r="C234" s="532"/>
      <c r="D234" s="526"/>
      <c r="E234" s="533"/>
      <c r="F234" s="552"/>
      <c r="G234" s="537"/>
      <c r="H234" s="537"/>
      <c r="I234" s="538"/>
      <c r="J234" s="538"/>
    </row>
    <row r="235" ht="26.25" customHeight="1">
      <c r="A235" s="461"/>
      <c r="B235" s="531"/>
      <c r="C235" s="532"/>
      <c r="D235" s="526"/>
      <c r="E235" s="533"/>
      <c r="F235" s="552"/>
      <c r="G235" s="537"/>
      <c r="H235" s="537"/>
      <c r="I235" s="538"/>
      <c r="J235" s="538"/>
    </row>
    <row r="236" ht="26.25" customHeight="1">
      <c r="A236" s="461"/>
      <c r="B236" s="531"/>
      <c r="C236" s="532"/>
      <c r="D236" s="526"/>
      <c r="E236" s="533"/>
      <c r="F236" s="552"/>
      <c r="G236" s="537"/>
      <c r="H236" s="537"/>
      <c r="I236" s="538"/>
      <c r="J236" s="538"/>
    </row>
    <row r="237" ht="26.25" customHeight="1">
      <c r="A237" s="461"/>
      <c r="B237" s="531"/>
      <c r="C237" s="532"/>
      <c r="D237" s="526"/>
      <c r="E237" s="533"/>
      <c r="F237" s="552"/>
      <c r="G237" s="537"/>
      <c r="H237" s="537"/>
      <c r="I237" s="538"/>
      <c r="J237" s="538"/>
    </row>
    <row r="238" ht="26.25" customHeight="1">
      <c r="A238" s="461"/>
      <c r="B238" s="531"/>
      <c r="C238" s="532"/>
      <c r="D238" s="526"/>
      <c r="E238" s="533"/>
      <c r="F238" s="552"/>
      <c r="G238" s="537"/>
      <c r="H238" s="537"/>
      <c r="I238" s="538"/>
      <c r="J238" s="538"/>
    </row>
    <row r="239" ht="26.25" customHeight="1">
      <c r="A239" s="461"/>
      <c r="B239" s="531"/>
      <c r="C239" s="532"/>
      <c r="D239" s="526"/>
      <c r="E239" s="533"/>
      <c r="F239" s="552"/>
      <c r="G239" s="537"/>
      <c r="H239" s="537"/>
      <c r="I239" s="538"/>
      <c r="J239" s="538"/>
    </row>
    <row r="240" ht="26.25" customHeight="1">
      <c r="A240" s="461"/>
      <c r="B240" s="531"/>
      <c r="C240" s="532"/>
      <c r="D240" s="526"/>
      <c r="E240" s="533"/>
      <c r="F240" s="552"/>
      <c r="G240" s="537"/>
      <c r="H240" s="537"/>
      <c r="I240" s="538"/>
      <c r="J240" s="538"/>
    </row>
    <row r="241" ht="26.25" customHeight="1">
      <c r="A241" s="461"/>
      <c r="B241" s="531"/>
      <c r="C241" s="532"/>
      <c r="D241" s="526"/>
      <c r="E241" s="533"/>
      <c r="F241" s="552"/>
      <c r="G241" s="537"/>
      <c r="H241" s="537"/>
      <c r="I241" s="538"/>
      <c r="J241" s="538"/>
    </row>
    <row r="242" ht="26.25" customHeight="1">
      <c r="A242" s="461"/>
      <c r="B242" s="531"/>
      <c r="C242" s="532"/>
      <c r="D242" s="526"/>
      <c r="E242" s="533"/>
      <c r="F242" s="552"/>
      <c r="G242" s="537"/>
      <c r="H242" s="537"/>
      <c r="I242" s="538"/>
      <c r="J242" s="538"/>
    </row>
    <row r="243" ht="26.25" customHeight="1">
      <c r="A243" s="461"/>
      <c r="B243" s="531"/>
      <c r="C243" s="532"/>
      <c r="D243" s="526"/>
      <c r="E243" s="533"/>
      <c r="F243" s="552"/>
      <c r="G243" s="537"/>
      <c r="H243" s="537"/>
      <c r="I243" s="538"/>
      <c r="J243" s="538"/>
    </row>
    <row r="244" ht="26.25" customHeight="1">
      <c r="A244" s="461"/>
      <c r="B244" s="531"/>
      <c r="C244" s="532"/>
      <c r="D244" s="526"/>
      <c r="E244" s="533"/>
      <c r="F244" s="552"/>
      <c r="G244" s="537"/>
      <c r="H244" s="537"/>
      <c r="I244" s="538"/>
      <c r="J244" s="538"/>
    </row>
    <row r="245" ht="26.25" customHeight="1">
      <c r="A245" s="461"/>
      <c r="B245" s="531"/>
      <c r="C245" s="532"/>
      <c r="D245" s="526"/>
      <c r="E245" s="533"/>
      <c r="F245" s="552"/>
      <c r="G245" s="537"/>
      <c r="H245" s="537"/>
      <c r="I245" s="538"/>
      <c r="J245" s="538"/>
    </row>
    <row r="246" ht="26.25" customHeight="1">
      <c r="A246" s="461"/>
      <c r="B246" s="531"/>
      <c r="C246" s="532"/>
      <c r="D246" s="526"/>
      <c r="E246" s="533"/>
      <c r="F246" s="552"/>
      <c r="G246" s="537"/>
      <c r="H246" s="537"/>
      <c r="I246" s="538"/>
      <c r="J246" s="538"/>
    </row>
    <row r="247" ht="26.25" customHeight="1">
      <c r="A247" s="461"/>
      <c r="B247" s="531"/>
      <c r="C247" s="532"/>
      <c r="D247" s="526"/>
      <c r="E247" s="533"/>
      <c r="F247" s="552"/>
      <c r="G247" s="537"/>
      <c r="H247" s="537"/>
      <c r="I247" s="538"/>
      <c r="J247" s="538"/>
    </row>
    <row r="248" ht="26.25" customHeight="1">
      <c r="A248" s="461"/>
      <c r="B248" s="531"/>
      <c r="C248" s="532"/>
      <c r="D248" s="526"/>
      <c r="E248" s="533"/>
      <c r="F248" s="552"/>
      <c r="G248" s="537"/>
      <c r="H248" s="537"/>
      <c r="I248" s="538"/>
      <c r="J248" s="538"/>
    </row>
    <row r="249" ht="26.25" customHeight="1">
      <c r="A249" s="461"/>
      <c r="B249" s="531"/>
      <c r="C249" s="532"/>
      <c r="D249" s="526"/>
      <c r="E249" s="533"/>
      <c r="F249" s="552"/>
      <c r="G249" s="537"/>
      <c r="H249" s="537"/>
      <c r="I249" s="538"/>
      <c r="J249" s="538"/>
    </row>
    <row r="250" ht="26.25" customHeight="1">
      <c r="A250" s="461"/>
      <c r="B250" s="531"/>
      <c r="C250" s="532"/>
      <c r="D250" s="526"/>
      <c r="E250" s="533"/>
      <c r="F250" s="552"/>
      <c r="G250" s="537"/>
      <c r="H250" s="537"/>
      <c r="I250" s="538"/>
      <c r="J250" s="538"/>
    </row>
    <row r="251" ht="26.25" customHeight="1">
      <c r="A251" s="461"/>
      <c r="B251" s="531"/>
      <c r="C251" s="532"/>
      <c r="D251" s="526"/>
      <c r="E251" s="533"/>
      <c r="F251" s="552"/>
      <c r="G251" s="537"/>
      <c r="H251" s="537"/>
      <c r="I251" s="538"/>
      <c r="J251" s="538"/>
    </row>
    <row r="252" ht="26.25" customHeight="1">
      <c r="A252" s="461"/>
      <c r="B252" s="531"/>
      <c r="C252" s="532"/>
      <c r="D252" s="526"/>
      <c r="E252" s="533"/>
      <c r="F252" s="552"/>
      <c r="G252" s="537"/>
      <c r="H252" s="537"/>
      <c r="I252" s="538"/>
      <c r="J252" s="538"/>
    </row>
    <row r="253" ht="26.25" customHeight="1">
      <c r="A253" s="461"/>
      <c r="B253" s="531"/>
      <c r="C253" s="532"/>
      <c r="D253" s="526"/>
      <c r="E253" s="533"/>
      <c r="F253" s="552"/>
      <c r="G253" s="537"/>
      <c r="H253" s="537"/>
      <c r="I253" s="538"/>
      <c r="J253" s="538"/>
    </row>
    <row r="254" ht="26.25" customHeight="1">
      <c r="A254" s="461"/>
      <c r="B254" s="531"/>
      <c r="C254" s="532"/>
      <c r="D254" s="526"/>
      <c r="E254" s="533"/>
      <c r="F254" s="552"/>
      <c r="G254" s="537"/>
      <c r="H254" s="537"/>
      <c r="I254" s="538"/>
      <c r="J254" s="538"/>
    </row>
    <row r="255" ht="26.25" customHeight="1">
      <c r="A255" s="461"/>
      <c r="B255" s="531"/>
      <c r="C255" s="532"/>
      <c r="D255" s="526"/>
      <c r="E255" s="533"/>
      <c r="F255" s="552"/>
      <c r="G255" s="537"/>
      <c r="H255" s="537"/>
      <c r="I255" s="538"/>
      <c r="J255" s="538"/>
    </row>
    <row r="256" ht="26.25" customHeight="1">
      <c r="A256" s="461"/>
      <c r="B256" s="531"/>
      <c r="C256" s="532"/>
      <c r="D256" s="526"/>
      <c r="E256" s="533"/>
      <c r="F256" s="552"/>
      <c r="G256" s="537"/>
      <c r="H256" s="537"/>
      <c r="I256" s="538"/>
      <c r="J256" s="538"/>
    </row>
    <row r="257" ht="26.25" customHeight="1">
      <c r="A257" s="461"/>
      <c r="B257" s="531"/>
      <c r="C257" s="532"/>
      <c r="D257" s="526"/>
      <c r="E257" s="533"/>
      <c r="F257" s="552"/>
      <c r="G257" s="537"/>
      <c r="H257" s="537"/>
      <c r="I257" s="538"/>
      <c r="J257" s="538"/>
    </row>
    <row r="258" ht="26.25" customHeight="1">
      <c r="A258" s="461"/>
      <c r="B258" s="531"/>
      <c r="C258" s="532"/>
      <c r="D258" s="526"/>
      <c r="E258" s="533"/>
      <c r="F258" s="552"/>
      <c r="G258" s="537"/>
      <c r="H258" s="537"/>
      <c r="I258" s="538"/>
      <c r="J258" s="538"/>
    </row>
    <row r="259" ht="26.25" customHeight="1">
      <c r="A259" s="461"/>
      <c r="B259" s="531"/>
      <c r="C259" s="532"/>
      <c r="D259" s="526"/>
      <c r="E259" s="533"/>
      <c r="F259" s="552"/>
      <c r="G259" s="537"/>
      <c r="H259" s="537"/>
      <c r="I259" s="538"/>
      <c r="J259" s="538"/>
    </row>
    <row r="260" ht="26.25" customHeight="1">
      <c r="A260" s="461"/>
      <c r="B260" s="531"/>
      <c r="C260" s="532"/>
      <c r="D260" s="526"/>
      <c r="E260" s="533"/>
      <c r="F260" s="552"/>
      <c r="G260" s="537"/>
      <c r="H260" s="537"/>
      <c r="I260" s="538"/>
      <c r="J260" s="538"/>
    </row>
    <row r="261" ht="26.25" customHeight="1">
      <c r="A261" s="461"/>
      <c r="B261" s="531"/>
      <c r="C261" s="532"/>
      <c r="D261" s="526"/>
      <c r="E261" s="533"/>
      <c r="F261" s="552"/>
      <c r="G261" s="537"/>
      <c r="H261" s="537"/>
      <c r="I261" s="538"/>
      <c r="J261" s="538"/>
    </row>
    <row r="262" ht="26.25" customHeight="1">
      <c r="A262" s="461"/>
      <c r="B262" s="531"/>
      <c r="C262" s="532"/>
      <c r="D262" s="526"/>
      <c r="E262" s="533"/>
      <c r="F262" s="552"/>
      <c r="G262" s="537"/>
      <c r="H262" s="537"/>
      <c r="I262" s="538"/>
      <c r="J262" s="538"/>
    </row>
    <row r="263" ht="26.25" customHeight="1">
      <c r="A263" s="461"/>
      <c r="B263" s="531"/>
      <c r="C263" s="532"/>
      <c r="D263" s="526"/>
      <c r="E263" s="533"/>
      <c r="F263" s="552"/>
      <c r="G263" s="537"/>
      <c r="H263" s="537"/>
      <c r="I263" s="538"/>
      <c r="J263" s="538"/>
    </row>
    <row r="264" ht="26.25" customHeight="1">
      <c r="A264" s="461"/>
      <c r="B264" s="531"/>
      <c r="C264" s="532"/>
      <c r="D264" s="526"/>
      <c r="E264" s="533"/>
      <c r="F264" s="552"/>
      <c r="G264" s="537"/>
      <c r="H264" s="537"/>
      <c r="I264" s="538"/>
      <c r="J264" s="538"/>
    </row>
    <row r="265" ht="26.25" customHeight="1">
      <c r="A265" s="461"/>
      <c r="B265" s="531"/>
      <c r="C265" s="532"/>
      <c r="D265" s="526"/>
      <c r="E265" s="533"/>
      <c r="F265" s="552"/>
      <c r="G265" s="537"/>
      <c r="H265" s="537"/>
      <c r="I265" s="538"/>
      <c r="J265" s="538"/>
    </row>
    <row r="266" ht="26.25" customHeight="1">
      <c r="A266" s="461"/>
      <c r="B266" s="531"/>
      <c r="C266" s="532"/>
      <c r="D266" s="526"/>
      <c r="E266" s="533"/>
      <c r="F266" s="552"/>
      <c r="G266" s="537"/>
      <c r="H266" s="537"/>
      <c r="I266" s="538"/>
      <c r="J266" s="538"/>
    </row>
    <row r="267" ht="26.25" customHeight="1">
      <c r="A267" s="461"/>
      <c r="B267" s="531"/>
      <c r="C267" s="532"/>
      <c r="D267" s="526"/>
      <c r="E267" s="533"/>
      <c r="F267" s="552"/>
      <c r="G267" s="537"/>
      <c r="H267" s="537"/>
      <c r="I267" s="538"/>
      <c r="J267" s="538"/>
    </row>
    <row r="268" ht="26.25" customHeight="1">
      <c r="A268" s="461"/>
      <c r="B268" s="531"/>
      <c r="C268" s="532"/>
      <c r="D268" s="526"/>
      <c r="E268" s="533"/>
      <c r="F268" s="552"/>
      <c r="G268" s="537"/>
      <c r="H268" s="537"/>
      <c r="I268" s="538"/>
      <c r="J268" s="538"/>
    </row>
    <row r="269" ht="26.25" customHeight="1">
      <c r="A269" s="461"/>
      <c r="B269" s="531"/>
      <c r="C269" s="532"/>
      <c r="D269" s="526"/>
      <c r="E269" s="533"/>
      <c r="F269" s="552"/>
      <c r="G269" s="537"/>
      <c r="H269" s="537"/>
      <c r="I269" s="538"/>
      <c r="J269" s="538"/>
    </row>
    <row r="270" ht="26.25" customHeight="1">
      <c r="A270" s="461"/>
      <c r="B270" s="531"/>
      <c r="C270" s="532"/>
      <c r="D270" s="526"/>
      <c r="E270" s="533"/>
      <c r="F270" s="552"/>
      <c r="G270" s="537"/>
      <c r="H270" s="537"/>
      <c r="I270" s="538"/>
      <c r="J270" s="538"/>
    </row>
    <row r="271" ht="26.25" customHeight="1">
      <c r="A271" s="461"/>
      <c r="B271" s="531"/>
      <c r="C271" s="532"/>
      <c r="D271" s="526"/>
      <c r="E271" s="533"/>
      <c r="F271" s="552"/>
      <c r="G271" s="537"/>
      <c r="H271" s="537"/>
      <c r="I271" s="538"/>
      <c r="J271" s="538"/>
    </row>
    <row r="272" ht="26.25" customHeight="1">
      <c r="A272" s="461"/>
      <c r="B272" s="531"/>
      <c r="C272" s="532"/>
      <c r="D272" s="526"/>
      <c r="E272" s="533"/>
      <c r="F272" s="552"/>
      <c r="G272" s="537"/>
      <c r="H272" s="537"/>
      <c r="I272" s="538"/>
      <c r="J272" s="538"/>
    </row>
    <row r="273" ht="26.25" customHeight="1">
      <c r="A273" s="461"/>
      <c r="B273" s="531"/>
      <c r="C273" s="532"/>
      <c r="D273" s="526"/>
      <c r="E273" s="533"/>
      <c r="F273" s="552"/>
      <c r="G273" s="537"/>
      <c r="H273" s="537"/>
      <c r="I273" s="538"/>
      <c r="J273" s="538"/>
    </row>
    <row r="274" ht="26.25" customHeight="1">
      <c r="A274" s="461"/>
      <c r="B274" s="531"/>
      <c r="C274" s="532"/>
      <c r="D274" s="526"/>
      <c r="E274" s="533"/>
      <c r="F274" s="552"/>
      <c r="G274" s="537"/>
      <c r="H274" s="537"/>
      <c r="I274" s="538"/>
      <c r="J274" s="538"/>
    </row>
    <row r="275" ht="26.25" customHeight="1">
      <c r="A275" s="461"/>
      <c r="B275" s="531"/>
      <c r="C275" s="532"/>
      <c r="D275" s="526"/>
      <c r="E275" s="533"/>
      <c r="F275" s="552"/>
      <c r="G275" s="537"/>
      <c r="H275" s="537"/>
      <c r="I275" s="538"/>
      <c r="J275" s="538"/>
    </row>
    <row r="276" ht="26.25" customHeight="1">
      <c r="A276" s="461"/>
      <c r="B276" s="531"/>
      <c r="C276" s="532"/>
      <c r="D276" s="526"/>
      <c r="E276" s="533"/>
      <c r="F276" s="552"/>
      <c r="G276" s="537"/>
      <c r="H276" s="537"/>
      <c r="I276" s="538"/>
      <c r="J276" s="538"/>
    </row>
    <row r="277" ht="26.25" customHeight="1">
      <c r="A277" s="461"/>
      <c r="B277" s="531"/>
      <c r="C277" s="532"/>
      <c r="D277" s="526"/>
      <c r="E277" s="533"/>
      <c r="F277" s="552"/>
      <c r="G277" s="537"/>
      <c r="H277" s="537"/>
      <c r="I277" s="538"/>
      <c r="J277" s="538"/>
    </row>
    <row r="278" ht="26.25" customHeight="1">
      <c r="A278" s="461"/>
      <c r="B278" s="531"/>
      <c r="C278" s="532"/>
      <c r="D278" s="526"/>
      <c r="E278" s="533"/>
      <c r="F278" s="552"/>
      <c r="G278" s="537"/>
      <c r="H278" s="537"/>
      <c r="I278" s="538"/>
      <c r="J278" s="538"/>
    </row>
    <row r="279" ht="26.25" customHeight="1">
      <c r="A279" s="461"/>
      <c r="B279" s="531"/>
      <c r="C279" s="532"/>
      <c r="D279" s="526"/>
      <c r="E279" s="533"/>
      <c r="F279" s="552"/>
      <c r="G279" s="537"/>
      <c r="H279" s="537"/>
      <c r="I279" s="538"/>
      <c r="J279" s="538"/>
    </row>
    <row r="280" ht="26.25" customHeight="1">
      <c r="A280" s="461"/>
      <c r="B280" s="531"/>
      <c r="C280" s="532"/>
      <c r="D280" s="526"/>
      <c r="E280" s="533"/>
      <c r="F280" s="552"/>
      <c r="G280" s="537"/>
      <c r="H280" s="537"/>
      <c r="I280" s="538"/>
      <c r="J280" s="538"/>
    </row>
    <row r="281" ht="26.25" customHeight="1">
      <c r="A281" s="461"/>
      <c r="B281" s="531"/>
      <c r="C281" s="532"/>
      <c r="D281" s="526"/>
      <c r="E281" s="533"/>
      <c r="F281" s="552"/>
      <c r="G281" s="537"/>
      <c r="H281" s="537"/>
      <c r="I281" s="538"/>
      <c r="J281" s="538"/>
    </row>
    <row r="282" ht="26.25" customHeight="1">
      <c r="A282" s="461"/>
      <c r="B282" s="531"/>
      <c r="C282" s="532"/>
      <c r="D282" s="526"/>
      <c r="E282" s="533"/>
      <c r="F282" s="552"/>
      <c r="G282" s="537"/>
      <c r="H282" s="537"/>
      <c r="I282" s="538"/>
      <c r="J282" s="538"/>
    </row>
    <row r="283" ht="26.25" customHeight="1">
      <c r="A283" s="461"/>
      <c r="B283" s="531"/>
      <c r="C283" s="532"/>
      <c r="D283" s="526"/>
      <c r="E283" s="533"/>
      <c r="F283" s="552"/>
      <c r="G283" s="537"/>
      <c r="H283" s="537"/>
      <c r="I283" s="538"/>
      <c r="J283" s="538"/>
    </row>
    <row r="284" ht="26.25" customHeight="1">
      <c r="A284" s="461"/>
      <c r="B284" s="531"/>
      <c r="C284" s="532"/>
      <c r="D284" s="526"/>
      <c r="E284" s="533"/>
      <c r="F284" s="552"/>
      <c r="G284" s="537"/>
      <c r="H284" s="537"/>
      <c r="I284" s="538"/>
      <c r="J284" s="538"/>
    </row>
    <row r="285" ht="26.25" customHeight="1">
      <c r="A285" s="461"/>
      <c r="B285" s="531"/>
      <c r="C285" s="532"/>
      <c r="D285" s="526"/>
      <c r="E285" s="533"/>
      <c r="F285" s="552"/>
      <c r="G285" s="537"/>
      <c r="H285" s="537"/>
      <c r="I285" s="538"/>
      <c r="J285" s="538"/>
    </row>
    <row r="286" ht="26.25" customHeight="1">
      <c r="A286" s="461"/>
      <c r="B286" s="531"/>
      <c r="C286" s="532"/>
      <c r="D286" s="526"/>
      <c r="E286" s="533"/>
      <c r="F286" s="552"/>
      <c r="G286" s="537"/>
      <c r="H286" s="537"/>
      <c r="I286" s="538"/>
      <c r="J286" s="538"/>
    </row>
    <row r="287" ht="26.25" customHeight="1">
      <c r="A287" s="461"/>
      <c r="B287" s="531"/>
      <c r="C287" s="532"/>
      <c r="D287" s="526"/>
      <c r="E287" s="533"/>
      <c r="F287" s="552"/>
      <c r="G287" s="537"/>
      <c r="H287" s="537"/>
      <c r="I287" s="538"/>
      <c r="J287" s="538"/>
    </row>
    <row r="288" ht="26.25" customHeight="1">
      <c r="A288" s="461"/>
      <c r="B288" s="531"/>
      <c r="C288" s="532"/>
      <c r="D288" s="526"/>
      <c r="E288" s="533"/>
      <c r="F288" s="552"/>
      <c r="G288" s="537"/>
      <c r="H288" s="537"/>
      <c r="I288" s="538"/>
      <c r="J288" s="538"/>
    </row>
    <row r="289" ht="26.25" customHeight="1">
      <c r="A289" s="461"/>
      <c r="B289" s="531"/>
      <c r="C289" s="532"/>
      <c r="D289" s="526"/>
      <c r="E289" s="533"/>
      <c r="F289" s="552"/>
      <c r="G289" s="537"/>
      <c r="H289" s="537"/>
      <c r="I289" s="538"/>
      <c r="J289" s="538"/>
    </row>
    <row r="290" ht="26.25" customHeight="1">
      <c r="A290" s="461"/>
      <c r="B290" s="531"/>
      <c r="C290" s="532"/>
      <c r="D290" s="526"/>
      <c r="E290" s="533"/>
      <c r="F290" s="552"/>
      <c r="G290" s="537"/>
      <c r="H290" s="537"/>
      <c r="I290" s="538"/>
      <c r="J290" s="538"/>
    </row>
    <row r="291" ht="26.25" customHeight="1">
      <c r="A291" s="461"/>
      <c r="B291" s="531"/>
      <c r="C291" s="532"/>
      <c r="D291" s="526"/>
      <c r="E291" s="533"/>
      <c r="F291" s="552"/>
      <c r="G291" s="537"/>
      <c r="H291" s="537"/>
      <c r="I291" s="538"/>
      <c r="J291" s="538"/>
    </row>
  </sheetData>
  <autoFilter ref="$A$1:$K$145">
    <filterColumn colId="3">
      <filters>
        <filter val="COMPLETED"/>
      </filters>
    </filterColumn>
  </autoFilter>
  <conditionalFormatting sqref="F155">
    <cfRule type="notContainsBlanks" dxfId="7" priority="1">
      <formula>LEN(TRIM(F155))&gt;0</formula>
    </cfRule>
  </conditionalFormatting>
  <hyperlinks>
    <hyperlink r:id="rId1" ref="G9"/>
    <hyperlink r:id="rId2" ref="G100"/>
  </hyperlinks>
  <printOptions gridLines="1" horizontalCentered="1"/>
  <pageMargins bottom="0.75" footer="0.0" header="0.0" left="0.7" right="0.7" top="0.75"/>
  <pageSetup fitToHeight="0" cellComments="atEnd" orientation="landscape" pageOrder="overThenDown"/>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7.5"/>
    <col customWidth="1" min="3" max="3" width="25.5"/>
    <col customWidth="1" min="4" max="4" width="16.63"/>
    <col customWidth="1" min="5" max="5" width="18.0"/>
    <col customWidth="1" min="6" max="6" width="19.38"/>
  </cols>
  <sheetData>
    <row r="1">
      <c r="A1" s="457" t="s">
        <v>30</v>
      </c>
      <c r="B1" s="458" t="s">
        <v>35</v>
      </c>
      <c r="C1" s="458" t="s">
        <v>1085</v>
      </c>
      <c r="D1" s="458" t="s">
        <v>1087</v>
      </c>
      <c r="E1" s="458" t="s">
        <v>1088</v>
      </c>
      <c r="F1" s="458" t="s">
        <v>1089</v>
      </c>
    </row>
    <row r="2">
      <c r="A2" s="459">
        <v>1.0</v>
      </c>
      <c r="B2" s="460" t="s">
        <v>609</v>
      </c>
      <c r="C2" s="460" t="s">
        <v>611</v>
      </c>
      <c r="D2" s="460" t="s">
        <v>1094</v>
      </c>
      <c r="E2" s="460" t="s">
        <v>1095</v>
      </c>
      <c r="F2" s="460" t="s">
        <v>1096</v>
      </c>
    </row>
    <row r="3">
      <c r="A3" s="459">
        <v>2.0</v>
      </c>
      <c r="B3" s="460" t="s">
        <v>901</v>
      </c>
      <c r="C3" s="460" t="s">
        <v>1041</v>
      </c>
      <c r="D3" s="460" t="s">
        <v>1098</v>
      </c>
      <c r="E3" s="460" t="s">
        <v>1095</v>
      </c>
      <c r="F3" s="460" t="s">
        <v>1096</v>
      </c>
    </row>
    <row r="4">
      <c r="A4" s="459">
        <v>3.0</v>
      </c>
      <c r="B4" s="460" t="s">
        <v>736</v>
      </c>
      <c r="C4" s="460" t="s">
        <v>739</v>
      </c>
      <c r="D4" s="460" t="s">
        <v>1100</v>
      </c>
      <c r="E4" s="460" t="s">
        <v>1095</v>
      </c>
      <c r="F4" s="460" t="s">
        <v>1096</v>
      </c>
    </row>
    <row r="5">
      <c r="A5" s="459">
        <v>4.0</v>
      </c>
      <c r="B5" s="460" t="s">
        <v>860</v>
      </c>
      <c r="C5" s="460" t="s">
        <v>865</v>
      </c>
      <c r="D5" s="460" t="s">
        <v>532</v>
      </c>
      <c r="E5" s="460" t="s">
        <v>1095</v>
      </c>
      <c r="F5" s="460" t="s">
        <v>1096</v>
      </c>
    </row>
    <row r="6">
      <c r="A6" s="459">
        <v>5.0</v>
      </c>
      <c r="B6" s="466" t="s">
        <v>1103</v>
      </c>
      <c r="C6" s="466" t="s">
        <v>1105</v>
      </c>
      <c r="D6" s="466" t="s">
        <v>711</v>
      </c>
      <c r="E6" s="460" t="s">
        <v>1095</v>
      </c>
      <c r="F6" s="466" t="s">
        <v>1107</v>
      </c>
    </row>
    <row r="7">
      <c r="A7" s="459">
        <v>6.0</v>
      </c>
      <c r="B7" s="460" t="s">
        <v>1109</v>
      </c>
      <c r="C7" s="460" t="s">
        <v>827</v>
      </c>
      <c r="D7" s="460" t="s">
        <v>1110</v>
      </c>
      <c r="E7" s="460" t="s">
        <v>1111</v>
      </c>
      <c r="F7" s="460" t="s">
        <v>1113</v>
      </c>
    </row>
    <row r="8">
      <c r="A8" s="459">
        <v>7.0</v>
      </c>
      <c r="B8" s="460" t="s">
        <v>1109</v>
      </c>
      <c r="C8" s="460" t="s">
        <v>1114</v>
      </c>
      <c r="D8" s="460" t="s">
        <v>1110</v>
      </c>
      <c r="E8" s="460" t="s">
        <v>1095</v>
      </c>
      <c r="F8" s="460" t="s">
        <v>1116</v>
      </c>
    </row>
    <row r="9">
      <c r="A9" s="459">
        <v>8.0</v>
      </c>
      <c r="B9" s="460" t="s">
        <v>970</v>
      </c>
      <c r="C9" s="460" t="s">
        <v>971</v>
      </c>
      <c r="D9" s="460" t="s">
        <v>1117</v>
      </c>
      <c r="E9" s="460" t="s">
        <v>1095</v>
      </c>
      <c r="F9" s="460" t="s">
        <v>1096</v>
      </c>
    </row>
    <row r="10">
      <c r="A10" s="459">
        <v>9.0</v>
      </c>
      <c r="B10" s="460" t="s">
        <v>1122</v>
      </c>
      <c r="C10" s="460" t="s">
        <v>1125</v>
      </c>
      <c r="D10" s="460" t="s">
        <v>1126</v>
      </c>
      <c r="E10" s="460" t="s">
        <v>1111</v>
      </c>
      <c r="F10" s="460" t="s">
        <v>1113</v>
      </c>
    </row>
    <row r="11">
      <c r="A11" s="459">
        <v>10.0</v>
      </c>
      <c r="B11" s="466" t="s">
        <v>1128</v>
      </c>
      <c r="C11" s="466" t="s">
        <v>1129</v>
      </c>
      <c r="D11" s="466" t="s">
        <v>1131</v>
      </c>
      <c r="E11" s="466" t="s">
        <v>1132</v>
      </c>
      <c r="F11" s="466" t="s">
        <v>1133</v>
      </c>
    </row>
    <row r="12">
      <c r="A12" s="459">
        <v>11.0</v>
      </c>
      <c r="B12" s="460" t="s">
        <v>640</v>
      </c>
      <c r="C12" s="460" t="s">
        <v>642</v>
      </c>
      <c r="D12" s="460" t="s">
        <v>1134</v>
      </c>
      <c r="E12" s="460" t="s">
        <v>1095</v>
      </c>
      <c r="F12" s="460" t="s">
        <v>1096</v>
      </c>
    </row>
    <row r="13">
      <c r="A13" s="459">
        <v>12.0</v>
      </c>
      <c r="B13" s="460" t="s">
        <v>1136</v>
      </c>
      <c r="C13" s="460" t="s">
        <v>1138</v>
      </c>
      <c r="D13" s="460" t="s">
        <v>1131</v>
      </c>
      <c r="E13" s="460" t="s">
        <v>1095</v>
      </c>
      <c r="F13" s="460" t="s">
        <v>1140</v>
      </c>
    </row>
    <row r="14">
      <c r="A14" s="459">
        <v>13.0</v>
      </c>
      <c r="B14" s="460" t="s">
        <v>776</v>
      </c>
      <c r="C14" s="460" t="s">
        <v>779</v>
      </c>
      <c r="D14" s="460" t="s">
        <v>1141</v>
      </c>
      <c r="E14" s="460" t="s">
        <v>1095</v>
      </c>
      <c r="F14" s="460" t="s">
        <v>1096</v>
      </c>
    </row>
    <row r="15">
      <c r="A15" s="459">
        <v>14.0</v>
      </c>
      <c r="B15" s="460" t="s">
        <v>1017</v>
      </c>
      <c r="C15" s="460" t="s">
        <v>1019</v>
      </c>
      <c r="D15" s="460" t="s">
        <v>1134</v>
      </c>
      <c r="E15" s="460" t="s">
        <v>1095</v>
      </c>
      <c r="F15" s="460" t="s">
        <v>1096</v>
      </c>
    </row>
    <row r="16">
      <c r="A16" s="459">
        <v>15.0</v>
      </c>
      <c r="B16" s="460" t="s">
        <v>1146</v>
      </c>
      <c r="C16" s="460" t="s">
        <v>1148</v>
      </c>
      <c r="D16" s="460" t="s">
        <v>1126</v>
      </c>
      <c r="E16" s="460" t="s">
        <v>1111</v>
      </c>
      <c r="F16" s="460" t="s">
        <v>1151</v>
      </c>
    </row>
    <row r="17">
      <c r="A17" s="459">
        <v>16.0</v>
      </c>
      <c r="B17" s="460" t="s">
        <v>265</v>
      </c>
      <c r="C17" s="460" t="s">
        <v>949</v>
      </c>
      <c r="D17" s="460" t="s">
        <v>1155</v>
      </c>
      <c r="E17" s="460" t="s">
        <v>1095</v>
      </c>
      <c r="F17" s="460" t="s">
        <v>1096</v>
      </c>
    </row>
    <row r="18">
      <c r="A18" s="459">
        <v>17.0</v>
      </c>
      <c r="B18" s="460" t="s">
        <v>1156</v>
      </c>
      <c r="C18" s="460" t="s">
        <v>1158</v>
      </c>
      <c r="D18" s="480"/>
      <c r="E18" s="481" t="s">
        <v>1095</v>
      </c>
      <c r="F18" s="460" t="s">
        <v>1162</v>
      </c>
    </row>
    <row r="19">
      <c r="A19" s="459">
        <v>18.0</v>
      </c>
      <c r="B19" s="460" t="s">
        <v>845</v>
      </c>
      <c r="C19" s="460" t="s">
        <v>847</v>
      </c>
      <c r="D19" s="460" t="s">
        <v>532</v>
      </c>
      <c r="E19" s="460" t="s">
        <v>1095</v>
      </c>
      <c r="F19" s="460" t="s">
        <v>1165</v>
      </c>
    </row>
    <row r="20">
      <c r="A20" s="459">
        <v>19.0</v>
      </c>
      <c r="B20" s="460" t="s">
        <v>845</v>
      </c>
      <c r="C20" s="460" t="s">
        <v>847</v>
      </c>
      <c r="D20" s="460" t="s">
        <v>532</v>
      </c>
      <c r="E20" s="460" t="s">
        <v>578</v>
      </c>
      <c r="F20" s="460" t="s">
        <v>1168</v>
      </c>
    </row>
    <row r="21">
      <c r="A21" s="459">
        <v>20.0</v>
      </c>
      <c r="B21" s="460" t="s">
        <v>472</v>
      </c>
      <c r="C21" s="460" t="s">
        <v>1171</v>
      </c>
      <c r="D21" s="460" t="s">
        <v>1174</v>
      </c>
      <c r="E21" s="460" t="s">
        <v>1095</v>
      </c>
      <c r="F21" s="460" t="s">
        <v>1096</v>
      </c>
    </row>
    <row r="22">
      <c r="A22" s="459">
        <v>21.0</v>
      </c>
      <c r="B22" s="460" t="s">
        <v>1175</v>
      </c>
      <c r="C22" s="460" t="s">
        <v>1176</v>
      </c>
      <c r="D22" s="480"/>
      <c r="E22" s="481" t="s">
        <v>1095</v>
      </c>
      <c r="F22" s="460" t="s">
        <v>1096</v>
      </c>
    </row>
    <row r="23">
      <c r="A23" s="459">
        <v>22.0</v>
      </c>
      <c r="B23" s="460" t="s">
        <v>1180</v>
      </c>
      <c r="C23" s="460" t="s">
        <v>1181</v>
      </c>
      <c r="D23" s="460" t="s">
        <v>1126</v>
      </c>
      <c r="E23" s="460" t="s">
        <v>1111</v>
      </c>
      <c r="F23" s="460" t="s">
        <v>1182</v>
      </c>
    </row>
    <row r="24">
      <c r="A24" s="459">
        <v>23.0</v>
      </c>
      <c r="B24" s="460" t="s">
        <v>1147</v>
      </c>
      <c r="C24" s="460" t="s">
        <v>1184</v>
      </c>
      <c r="D24" s="460" t="s">
        <v>1141</v>
      </c>
      <c r="E24" s="460" t="s">
        <v>1095</v>
      </c>
      <c r="F24" s="460" t="s">
        <v>1096</v>
      </c>
    </row>
    <row r="25">
      <c r="A25" s="459">
        <v>24.0</v>
      </c>
      <c r="B25" s="460" t="s">
        <v>75</v>
      </c>
      <c r="C25" s="460" t="s">
        <v>787</v>
      </c>
      <c r="D25" s="460" t="s">
        <v>1131</v>
      </c>
      <c r="E25" s="460" t="s">
        <v>1095</v>
      </c>
      <c r="F25" s="460" t="s">
        <v>1096</v>
      </c>
    </row>
    <row r="26">
      <c r="A26" s="459">
        <v>25.0</v>
      </c>
      <c r="B26" s="460" t="s">
        <v>1189</v>
      </c>
      <c r="C26" s="460" t="s">
        <v>791</v>
      </c>
      <c r="D26" s="460" t="s">
        <v>1192</v>
      </c>
      <c r="E26" s="460" t="s">
        <v>1095</v>
      </c>
      <c r="F26" s="460" t="s">
        <v>1096</v>
      </c>
    </row>
    <row r="27">
      <c r="A27" s="459">
        <v>26.0</v>
      </c>
      <c r="B27" s="460" t="s">
        <v>890</v>
      </c>
      <c r="C27" s="460" t="s">
        <v>1195</v>
      </c>
      <c r="D27" s="460" t="s">
        <v>1117</v>
      </c>
      <c r="E27" s="460" t="s">
        <v>1111</v>
      </c>
      <c r="F27" s="460" t="s">
        <v>1113</v>
      </c>
    </row>
    <row r="28">
      <c r="A28" s="459">
        <v>27.0</v>
      </c>
      <c r="B28" s="460" t="s">
        <v>996</v>
      </c>
      <c r="C28" s="460" t="s">
        <v>998</v>
      </c>
      <c r="D28" s="460" t="s">
        <v>1200</v>
      </c>
      <c r="E28" s="460" t="s">
        <v>1095</v>
      </c>
      <c r="F28" s="460" t="s">
        <v>1096</v>
      </c>
    </row>
    <row r="29">
      <c r="A29" s="459">
        <v>28.0</v>
      </c>
      <c r="B29" s="460" t="s">
        <v>1031</v>
      </c>
      <c r="C29" s="460" t="s">
        <v>1032</v>
      </c>
      <c r="D29" s="460" t="s">
        <v>1204</v>
      </c>
      <c r="E29" s="460" t="s">
        <v>1111</v>
      </c>
      <c r="F29" s="460" t="s">
        <v>1113</v>
      </c>
    </row>
    <row r="30">
      <c r="A30" s="459">
        <v>29.0</v>
      </c>
      <c r="B30" s="460" t="s">
        <v>1031</v>
      </c>
      <c r="C30" s="460" t="s">
        <v>1032</v>
      </c>
      <c r="D30" s="460" t="s">
        <v>1205</v>
      </c>
      <c r="E30" s="460" t="s">
        <v>1095</v>
      </c>
      <c r="F30" s="460" t="s">
        <v>1096</v>
      </c>
    </row>
    <row r="31">
      <c r="A31" s="459">
        <v>30.0</v>
      </c>
      <c r="B31" s="460" t="s">
        <v>227</v>
      </c>
      <c r="C31" s="460" t="s">
        <v>1112</v>
      </c>
      <c r="D31" s="460" t="s">
        <v>1209</v>
      </c>
      <c r="E31" s="460" t="s">
        <v>1095</v>
      </c>
      <c r="F31" s="460" t="s">
        <v>1096</v>
      </c>
    </row>
    <row r="32">
      <c r="A32" s="459">
        <v>31.0</v>
      </c>
      <c r="B32" s="460" t="s">
        <v>723</v>
      </c>
      <c r="C32" s="460" t="s">
        <v>1213</v>
      </c>
      <c r="D32" s="460" t="s">
        <v>1215</v>
      </c>
      <c r="E32" s="460" t="s">
        <v>1216</v>
      </c>
      <c r="F32" s="460" t="s">
        <v>1217</v>
      </c>
    </row>
    <row r="33">
      <c r="A33" s="459">
        <v>32.0</v>
      </c>
      <c r="B33" s="481" t="s">
        <v>1218</v>
      </c>
      <c r="C33" s="481" t="s">
        <v>1121</v>
      </c>
      <c r="D33" s="494"/>
      <c r="E33" s="481" t="s">
        <v>1095</v>
      </c>
      <c r="F33" s="460" t="s">
        <v>1096</v>
      </c>
    </row>
    <row r="34">
      <c r="A34" s="459">
        <v>33.0</v>
      </c>
      <c r="B34" s="460" t="s">
        <v>1224</v>
      </c>
      <c r="C34" s="460" t="s">
        <v>1225</v>
      </c>
      <c r="D34" s="460" t="s">
        <v>1141</v>
      </c>
      <c r="E34" s="481" t="s">
        <v>1095</v>
      </c>
      <c r="F34" s="460" t="s">
        <v>1165</v>
      </c>
    </row>
    <row r="35">
      <c r="A35" s="459">
        <v>34.0</v>
      </c>
      <c r="B35" s="460" t="s">
        <v>836</v>
      </c>
      <c r="C35" s="460" t="s">
        <v>838</v>
      </c>
      <c r="D35" s="460" t="s">
        <v>1134</v>
      </c>
      <c r="E35" s="460" t="s">
        <v>1095</v>
      </c>
      <c r="F35" s="460" t="s">
        <v>1096</v>
      </c>
    </row>
    <row r="36">
      <c r="A36" s="459">
        <v>35.0</v>
      </c>
      <c r="B36" s="460" t="s">
        <v>1231</v>
      </c>
      <c r="C36" s="460" t="s">
        <v>985</v>
      </c>
      <c r="D36" s="460" t="s">
        <v>1205</v>
      </c>
      <c r="E36" s="460" t="s">
        <v>1095</v>
      </c>
      <c r="F36" s="460" t="s">
        <v>1096</v>
      </c>
    </row>
    <row r="37">
      <c r="A37" s="459">
        <v>36.0</v>
      </c>
      <c r="B37" s="460" t="s">
        <v>401</v>
      </c>
      <c r="C37" s="460" t="s">
        <v>575</v>
      </c>
      <c r="D37" s="460" t="s">
        <v>532</v>
      </c>
      <c r="E37" s="460" t="s">
        <v>1095</v>
      </c>
      <c r="F37" s="460" t="s">
        <v>1233</v>
      </c>
    </row>
    <row r="38">
      <c r="A38" s="459">
        <v>37.0</v>
      </c>
      <c r="B38" s="460" t="s">
        <v>401</v>
      </c>
      <c r="C38" s="460" t="s">
        <v>575</v>
      </c>
      <c r="D38" s="460" t="s">
        <v>532</v>
      </c>
      <c r="E38" s="460" t="s">
        <v>1237</v>
      </c>
      <c r="F38" s="460" t="s">
        <v>1133</v>
      </c>
    </row>
    <row r="39">
      <c r="A39" s="459">
        <v>38.0</v>
      </c>
      <c r="B39" s="460" t="s">
        <v>1077</v>
      </c>
      <c r="C39" s="460" t="s">
        <v>1239</v>
      </c>
      <c r="D39" s="460" t="s">
        <v>1131</v>
      </c>
      <c r="E39" s="460" t="s">
        <v>1216</v>
      </c>
      <c r="F39" s="460" t="s">
        <v>1217</v>
      </c>
    </row>
    <row r="40">
      <c r="A40" s="459">
        <v>39.0</v>
      </c>
      <c r="B40" s="460" t="s">
        <v>1077</v>
      </c>
      <c r="C40" s="460" t="s">
        <v>1239</v>
      </c>
      <c r="D40" s="460" t="s">
        <v>1131</v>
      </c>
      <c r="E40" s="460" t="s">
        <v>1095</v>
      </c>
      <c r="F40" s="460" t="s">
        <v>1243</v>
      </c>
    </row>
    <row r="41">
      <c r="A41" s="459">
        <v>40.0</v>
      </c>
      <c r="B41" s="460" t="s">
        <v>143</v>
      </c>
      <c r="C41" s="460" t="s">
        <v>977</v>
      </c>
      <c r="D41" s="460" t="s">
        <v>1126</v>
      </c>
      <c r="E41" s="460" t="s">
        <v>1095</v>
      </c>
      <c r="F41" s="460" t="s">
        <v>1096</v>
      </c>
    </row>
    <row r="42">
      <c r="A42" s="459">
        <v>41.0</v>
      </c>
      <c r="B42" s="460" t="s">
        <v>817</v>
      </c>
      <c r="C42" s="460" t="s">
        <v>818</v>
      </c>
      <c r="D42" s="460" t="s">
        <v>711</v>
      </c>
      <c r="E42" s="460" t="s">
        <v>1095</v>
      </c>
      <c r="F42" s="460" t="s">
        <v>1096</v>
      </c>
    </row>
    <row r="43">
      <c r="A43" s="459">
        <v>42.0</v>
      </c>
      <c r="B43" s="460" t="s">
        <v>817</v>
      </c>
      <c r="C43" s="460" t="s">
        <v>818</v>
      </c>
      <c r="D43" s="460" t="s">
        <v>711</v>
      </c>
      <c r="E43" s="460" t="s">
        <v>1251</v>
      </c>
      <c r="F43" s="460" t="s">
        <v>1252</v>
      </c>
    </row>
    <row r="44">
      <c r="A44" s="459">
        <v>43.0</v>
      </c>
      <c r="B44" s="460" t="s">
        <v>332</v>
      </c>
      <c r="C44" s="460" t="s">
        <v>710</v>
      </c>
      <c r="D44" s="460" t="s">
        <v>711</v>
      </c>
      <c r="E44" s="460" t="s">
        <v>1095</v>
      </c>
      <c r="F44" s="460" t="s">
        <v>1096</v>
      </c>
    </row>
    <row r="45">
      <c r="A45" s="459">
        <v>44.0</v>
      </c>
      <c r="B45" s="460" t="s">
        <v>880</v>
      </c>
      <c r="C45" s="460" t="s">
        <v>1022</v>
      </c>
      <c r="D45" s="460" t="s">
        <v>1257</v>
      </c>
      <c r="E45" s="460" t="s">
        <v>1095</v>
      </c>
      <c r="F45" s="460" t="s">
        <v>1107</v>
      </c>
    </row>
    <row r="46">
      <c r="A46" s="459">
        <v>45.0</v>
      </c>
      <c r="B46" s="460" t="s">
        <v>851</v>
      </c>
      <c r="C46" s="460" t="s">
        <v>854</v>
      </c>
      <c r="D46" s="460" t="s">
        <v>532</v>
      </c>
      <c r="E46" s="460" t="s">
        <v>1095</v>
      </c>
      <c r="F46" s="460" t="s">
        <v>1140</v>
      </c>
    </row>
    <row r="47">
      <c r="A47" s="459">
        <v>46.0</v>
      </c>
      <c r="B47" s="481" t="s">
        <v>1260</v>
      </c>
      <c r="C47" s="481" t="s">
        <v>690</v>
      </c>
      <c r="D47" s="494"/>
      <c r="E47" s="481" t="s">
        <v>1095</v>
      </c>
      <c r="F47" s="460" t="s">
        <v>1096</v>
      </c>
    </row>
    <row r="48">
      <c r="A48" s="459">
        <v>47.0</v>
      </c>
      <c r="B48" s="460" t="s">
        <v>440</v>
      </c>
      <c r="C48" s="460" t="s">
        <v>707</v>
      </c>
      <c r="D48" s="460" t="s">
        <v>1141</v>
      </c>
      <c r="E48" s="460" t="s">
        <v>1095</v>
      </c>
      <c r="F48" s="460" t="s">
        <v>1096</v>
      </c>
    </row>
    <row r="49">
      <c r="A49" s="459">
        <v>48.0</v>
      </c>
      <c r="B49" s="460" t="s">
        <v>1264</v>
      </c>
      <c r="C49" s="460" t="s">
        <v>1265</v>
      </c>
      <c r="D49" s="460" t="s">
        <v>1215</v>
      </c>
      <c r="E49" s="460" t="s">
        <v>1095</v>
      </c>
      <c r="F49" s="460" t="s">
        <v>1096</v>
      </c>
    </row>
    <row r="50">
      <c r="A50" s="459">
        <v>49.0</v>
      </c>
      <c r="B50" s="460" t="s">
        <v>1272</v>
      </c>
      <c r="C50" s="460" t="s">
        <v>1273</v>
      </c>
      <c r="D50" s="460" t="s">
        <v>1131</v>
      </c>
      <c r="E50" s="460" t="s">
        <v>1095</v>
      </c>
      <c r="F50" s="460" t="s">
        <v>1096</v>
      </c>
    </row>
    <row r="51">
      <c r="A51" s="459">
        <v>50.0</v>
      </c>
      <c r="B51" s="460" t="s">
        <v>1272</v>
      </c>
      <c r="C51" s="460" t="s">
        <v>1273</v>
      </c>
      <c r="D51" s="460" t="s">
        <v>1131</v>
      </c>
      <c r="E51" s="460" t="s">
        <v>1216</v>
      </c>
      <c r="F51" s="460" t="s">
        <v>1217</v>
      </c>
    </row>
    <row r="52">
      <c r="A52" s="459">
        <v>51.0</v>
      </c>
      <c r="B52" s="460" t="s">
        <v>647</v>
      </c>
      <c r="C52" s="460" t="s">
        <v>649</v>
      </c>
      <c r="D52" s="460" t="s">
        <v>1141</v>
      </c>
      <c r="E52" s="460" t="s">
        <v>1095</v>
      </c>
      <c r="F52" s="460" t="s">
        <v>1096</v>
      </c>
    </row>
    <row r="53">
      <c r="A53" s="459">
        <v>52.0</v>
      </c>
      <c r="B53" s="460" t="s">
        <v>950</v>
      </c>
      <c r="C53" s="460" t="s">
        <v>1280</v>
      </c>
      <c r="D53" s="460" t="s">
        <v>1281</v>
      </c>
      <c r="E53" s="460" t="s">
        <v>1095</v>
      </c>
      <c r="F53" s="460" t="s">
        <v>1096</v>
      </c>
    </row>
    <row r="54">
      <c r="A54" s="459">
        <v>53.0</v>
      </c>
      <c r="B54" s="460" t="s">
        <v>329</v>
      </c>
      <c r="C54" s="460" t="s">
        <v>1006</v>
      </c>
      <c r="D54" s="460" t="s">
        <v>1141</v>
      </c>
      <c r="E54" s="460" t="s">
        <v>1095</v>
      </c>
      <c r="F54" s="460" t="s">
        <v>1096</v>
      </c>
    </row>
    <row r="55">
      <c r="A55" s="459">
        <v>54.0</v>
      </c>
      <c r="B55" s="460" t="s">
        <v>157</v>
      </c>
      <c r="C55" s="460" t="s">
        <v>785</v>
      </c>
      <c r="D55" s="460" t="s">
        <v>1131</v>
      </c>
      <c r="E55" s="460" t="s">
        <v>1095</v>
      </c>
      <c r="F55" s="460" t="s">
        <v>1096</v>
      </c>
    </row>
    <row r="56">
      <c r="A56" s="459">
        <v>55.0</v>
      </c>
      <c r="B56" s="460" t="s">
        <v>911</v>
      </c>
      <c r="C56" s="460" t="s">
        <v>913</v>
      </c>
      <c r="D56" s="460" t="s">
        <v>1174</v>
      </c>
      <c r="E56" s="460" t="s">
        <v>1095</v>
      </c>
      <c r="F56" s="460" t="s">
        <v>1096</v>
      </c>
    </row>
    <row r="57">
      <c r="A57" s="459">
        <v>56.0</v>
      </c>
      <c r="B57" s="460" t="s">
        <v>932</v>
      </c>
      <c r="C57" s="460" t="s">
        <v>1291</v>
      </c>
      <c r="D57" s="460" t="s">
        <v>1155</v>
      </c>
      <c r="E57" s="460" t="s">
        <v>1095</v>
      </c>
      <c r="F57" s="460" t="s">
        <v>1096</v>
      </c>
    </row>
    <row r="58">
      <c r="A58" s="459">
        <v>57.0</v>
      </c>
      <c r="B58" s="460" t="s">
        <v>269</v>
      </c>
      <c r="C58" s="460" t="s">
        <v>1080</v>
      </c>
      <c r="D58" s="460" t="s">
        <v>1141</v>
      </c>
      <c r="E58" s="460" t="s">
        <v>1095</v>
      </c>
      <c r="F58" s="460" t="s">
        <v>1096</v>
      </c>
    </row>
    <row r="59">
      <c r="A59" s="459">
        <v>58.0</v>
      </c>
      <c r="B59" s="460" t="s">
        <v>154</v>
      </c>
      <c r="C59" s="460" t="s">
        <v>800</v>
      </c>
      <c r="D59" s="460" t="s">
        <v>1134</v>
      </c>
      <c r="E59" s="460" t="s">
        <v>1095</v>
      </c>
      <c r="F59" s="460" t="s">
        <v>1165</v>
      </c>
    </row>
    <row r="60">
      <c r="A60" s="459">
        <v>59.0</v>
      </c>
      <c r="B60" s="460" t="s">
        <v>781</v>
      </c>
      <c r="C60" s="460" t="s">
        <v>782</v>
      </c>
      <c r="D60" s="460" t="s">
        <v>1300</v>
      </c>
      <c r="E60" s="460" t="s">
        <v>1095</v>
      </c>
      <c r="F60" s="460" t="s">
        <v>1096</v>
      </c>
    </row>
    <row r="61">
      <c r="A61" s="459">
        <v>60.0</v>
      </c>
      <c r="B61" s="460" t="s">
        <v>781</v>
      </c>
      <c r="C61" s="460" t="s">
        <v>782</v>
      </c>
      <c r="D61" s="460" t="s">
        <v>1300</v>
      </c>
      <c r="E61" s="460" t="s">
        <v>1251</v>
      </c>
      <c r="F61" s="460" t="s">
        <v>1303</v>
      </c>
    </row>
    <row r="62">
      <c r="A62" s="459">
        <v>61.0</v>
      </c>
      <c r="B62" s="460" t="s">
        <v>781</v>
      </c>
      <c r="C62" s="460" t="s">
        <v>782</v>
      </c>
      <c r="D62" s="460" t="s">
        <v>1300</v>
      </c>
      <c r="E62" s="460" t="s">
        <v>1305</v>
      </c>
      <c r="F62" s="460" t="s">
        <v>1303</v>
      </c>
    </row>
    <row r="63">
      <c r="A63" s="459">
        <v>62.0</v>
      </c>
      <c r="B63" s="460" t="s">
        <v>1206</v>
      </c>
      <c r="C63" s="460" t="s">
        <v>1208</v>
      </c>
      <c r="D63" s="460" t="s">
        <v>1141</v>
      </c>
      <c r="E63" s="460" t="s">
        <v>1095</v>
      </c>
      <c r="F63" s="460" t="s">
        <v>1096</v>
      </c>
    </row>
    <row r="64">
      <c r="A64" s="459">
        <v>63.0</v>
      </c>
      <c r="B64" s="460" t="s">
        <v>857</v>
      </c>
      <c r="C64" s="460" t="s">
        <v>858</v>
      </c>
      <c r="D64" s="460" t="s">
        <v>1131</v>
      </c>
      <c r="E64" s="460" t="s">
        <v>1095</v>
      </c>
      <c r="F64" s="460" t="s">
        <v>1096</v>
      </c>
    </row>
    <row r="65">
      <c r="A65" s="459">
        <v>64.0</v>
      </c>
      <c r="B65" s="460" t="s">
        <v>857</v>
      </c>
      <c r="C65" s="460" t="s">
        <v>858</v>
      </c>
      <c r="D65" s="460" t="s">
        <v>1131</v>
      </c>
      <c r="E65" s="460" t="s">
        <v>1309</v>
      </c>
      <c r="F65" s="460" t="s">
        <v>1310</v>
      </c>
    </row>
    <row r="66">
      <c r="A66" s="459">
        <v>65.0</v>
      </c>
      <c r="B66" s="460" t="s">
        <v>662</v>
      </c>
      <c r="C66" s="460" t="s">
        <v>665</v>
      </c>
      <c r="D66" s="460" t="s">
        <v>1141</v>
      </c>
      <c r="E66" s="460" t="s">
        <v>1095</v>
      </c>
      <c r="F66" s="460" t="s">
        <v>1096</v>
      </c>
    </row>
    <row r="67">
      <c r="A67" s="459">
        <v>66.0</v>
      </c>
      <c r="B67" s="460" t="s">
        <v>728</v>
      </c>
      <c r="C67" s="460" t="s">
        <v>1314</v>
      </c>
      <c r="D67" s="460" t="s">
        <v>1126</v>
      </c>
      <c r="E67" s="460" t="s">
        <v>1111</v>
      </c>
      <c r="F67" s="460" t="s">
        <v>1113</v>
      </c>
    </row>
    <row r="68">
      <c r="A68" s="459">
        <v>67.0</v>
      </c>
      <c r="B68" s="460" t="s">
        <v>728</v>
      </c>
      <c r="C68" s="460" t="s">
        <v>1314</v>
      </c>
      <c r="D68" s="460" t="s">
        <v>1126</v>
      </c>
      <c r="E68" s="460" t="s">
        <v>1095</v>
      </c>
      <c r="F68" s="460" t="s">
        <v>1096</v>
      </c>
    </row>
    <row r="69">
      <c r="A69" s="529"/>
      <c r="B69" s="530"/>
      <c r="C69" s="530"/>
      <c r="D69" s="480"/>
      <c r="E69" s="529"/>
      <c r="F69" s="536"/>
    </row>
    <row r="70">
      <c r="A70" s="529"/>
      <c r="B70" s="539" t="s">
        <v>1317</v>
      </c>
      <c r="C70" s="541"/>
      <c r="D70" s="541"/>
      <c r="E70" s="542"/>
      <c r="F70" s="543" t="s">
        <v>1320</v>
      </c>
    </row>
    <row r="71">
      <c r="A71" s="544"/>
      <c r="B71" s="545"/>
      <c r="C71" s="545"/>
      <c r="D71" s="545"/>
      <c r="E71" s="545"/>
      <c r="F71" s="545"/>
    </row>
    <row r="72">
      <c r="A72" s="544"/>
      <c r="B72" s="545"/>
      <c r="C72" s="545"/>
      <c r="D72" s="545"/>
      <c r="E72" s="545"/>
      <c r="F72" s="545"/>
    </row>
    <row r="73">
      <c r="A73" s="545"/>
      <c r="B73" s="545"/>
      <c r="C73" s="545"/>
      <c r="D73" s="545"/>
      <c r="E73" s="545"/>
      <c r="F73" s="545"/>
    </row>
    <row r="74">
      <c r="A74" s="545"/>
      <c r="B74" s="545"/>
      <c r="C74" s="545"/>
      <c r="D74" s="545"/>
      <c r="E74" s="545"/>
      <c r="F74" s="545"/>
    </row>
    <row r="75">
      <c r="A75" s="545"/>
      <c r="B75" s="545"/>
      <c r="C75" s="545"/>
      <c r="D75" s="545"/>
      <c r="E75" s="545"/>
      <c r="F75" s="545"/>
    </row>
    <row r="76">
      <c r="A76" s="545"/>
      <c r="B76" s="545"/>
      <c r="C76" s="545"/>
      <c r="D76" s="545"/>
      <c r="E76" s="545"/>
      <c r="F76" s="545"/>
    </row>
    <row r="77">
      <c r="A77" s="545"/>
      <c r="B77" s="545"/>
      <c r="C77" s="545"/>
      <c r="D77" s="545"/>
      <c r="E77" s="545"/>
      <c r="F77" s="545"/>
    </row>
    <row r="78">
      <c r="A78" s="544"/>
      <c r="B78" s="546"/>
      <c r="C78" s="546"/>
      <c r="D78" s="547"/>
      <c r="E78" s="544"/>
      <c r="F78" s="548"/>
    </row>
    <row r="79">
      <c r="A79" s="544"/>
      <c r="B79" s="546"/>
      <c r="C79" s="546"/>
      <c r="D79" s="547"/>
      <c r="E79" s="544"/>
      <c r="F79" s="548"/>
    </row>
    <row r="80">
      <c r="A80" s="544"/>
      <c r="B80" s="546"/>
      <c r="C80" s="546"/>
      <c r="D80" s="547"/>
      <c r="E80" s="544"/>
      <c r="F80" s="548"/>
    </row>
    <row r="81">
      <c r="A81" s="544"/>
      <c r="B81" s="546"/>
      <c r="C81" s="546"/>
      <c r="D81" s="547"/>
      <c r="E81" s="544"/>
      <c r="F81" s="548"/>
    </row>
    <row r="82">
      <c r="A82" s="544"/>
      <c r="B82" s="546"/>
      <c r="C82" s="546"/>
      <c r="D82" s="547"/>
      <c r="E82" s="544"/>
      <c r="F82" s="548"/>
    </row>
    <row r="83">
      <c r="A83" s="544"/>
      <c r="B83" s="546"/>
      <c r="C83" s="546"/>
      <c r="D83" s="547"/>
      <c r="E83" s="544"/>
      <c r="F83" s="548"/>
    </row>
    <row r="84">
      <c r="A84" s="544"/>
      <c r="B84" s="545"/>
      <c r="C84" s="545"/>
      <c r="D84" s="545"/>
      <c r="E84" s="545"/>
      <c r="F84" s="545"/>
    </row>
    <row r="85">
      <c r="A85" s="544"/>
      <c r="B85" s="545"/>
      <c r="C85" s="545"/>
      <c r="D85" s="545"/>
      <c r="E85" s="545"/>
      <c r="F85" s="545"/>
    </row>
    <row r="86">
      <c r="A86" s="544"/>
      <c r="B86" s="546"/>
      <c r="C86" s="546"/>
      <c r="D86" s="547"/>
      <c r="E86" s="544"/>
      <c r="F86" s="548"/>
    </row>
    <row r="87">
      <c r="A87" s="544"/>
      <c r="B87" s="545"/>
      <c r="C87" s="545"/>
      <c r="D87" s="545"/>
      <c r="E87" s="545"/>
      <c r="F87" s="545"/>
    </row>
    <row r="88">
      <c r="A88" s="544"/>
      <c r="B88" s="545"/>
      <c r="C88" s="545"/>
      <c r="D88" s="545"/>
      <c r="E88" s="545"/>
      <c r="F88" s="545"/>
    </row>
    <row r="89">
      <c r="A89" s="544"/>
      <c r="B89" s="545"/>
      <c r="C89" s="545"/>
      <c r="D89" s="545"/>
      <c r="E89" s="545"/>
      <c r="F89" s="545"/>
    </row>
    <row r="90">
      <c r="A90" s="544"/>
      <c r="B90" s="545"/>
      <c r="C90" s="545"/>
      <c r="D90" s="545"/>
      <c r="E90" s="545"/>
      <c r="F90" s="545"/>
    </row>
    <row r="91">
      <c r="A91" s="544"/>
      <c r="B91" s="545"/>
      <c r="C91" s="545"/>
      <c r="D91" s="545"/>
      <c r="E91" s="545"/>
      <c r="F91" s="545"/>
    </row>
    <row r="92">
      <c r="A92" s="544"/>
      <c r="B92" s="545"/>
      <c r="C92" s="545"/>
      <c r="D92" s="545"/>
      <c r="E92" s="545"/>
      <c r="F92" s="545"/>
    </row>
    <row r="93">
      <c r="A93" s="544"/>
      <c r="B93" s="545"/>
      <c r="C93" s="545"/>
      <c r="D93" s="545"/>
      <c r="E93" s="545"/>
      <c r="F93" s="545"/>
    </row>
    <row r="94">
      <c r="A94" s="544"/>
      <c r="B94" s="546"/>
      <c r="C94" s="546"/>
      <c r="D94" s="547"/>
      <c r="E94" s="544"/>
      <c r="F94" s="548"/>
    </row>
    <row r="95">
      <c r="A95" s="544"/>
      <c r="B95" s="546"/>
      <c r="C95" s="546"/>
      <c r="D95" s="560"/>
      <c r="E95" s="544"/>
      <c r="F95" s="548"/>
    </row>
    <row r="96">
      <c r="A96" s="544"/>
      <c r="B96" s="545"/>
      <c r="C96" s="545"/>
      <c r="D96" s="545"/>
      <c r="E96" s="545"/>
      <c r="F96" s="545"/>
    </row>
    <row r="97">
      <c r="A97" s="544"/>
      <c r="B97" s="545"/>
      <c r="C97" s="545"/>
      <c r="D97" s="545"/>
      <c r="E97" s="545"/>
      <c r="F97" s="545"/>
    </row>
    <row r="98">
      <c r="A98" s="544"/>
      <c r="B98" s="546"/>
      <c r="C98" s="546"/>
      <c r="D98" s="547"/>
      <c r="E98" s="544"/>
      <c r="F98" s="548"/>
    </row>
    <row r="99">
      <c r="A99" s="544"/>
      <c r="B99" s="545"/>
      <c r="C99" s="545"/>
      <c r="D99" s="545"/>
      <c r="E99" s="545"/>
      <c r="F99" s="545"/>
    </row>
    <row r="100">
      <c r="A100" s="544"/>
      <c r="B100" s="546"/>
      <c r="C100" s="546"/>
      <c r="D100" s="547"/>
      <c r="E100" s="544"/>
      <c r="F100" s="548"/>
    </row>
    <row r="101">
      <c r="A101" s="544"/>
      <c r="B101" s="546"/>
      <c r="C101" s="546"/>
      <c r="D101" s="547"/>
      <c r="E101" s="544"/>
      <c r="F101" s="548"/>
    </row>
    <row r="102">
      <c r="A102" s="544"/>
      <c r="B102" s="546"/>
      <c r="C102" s="546"/>
      <c r="D102" s="547"/>
      <c r="E102" s="544"/>
      <c r="F102" s="548"/>
    </row>
    <row r="103">
      <c r="A103" s="544"/>
      <c r="B103" s="546"/>
      <c r="C103" s="546"/>
      <c r="D103" s="547"/>
      <c r="E103" s="544"/>
      <c r="F103" s="548"/>
    </row>
    <row r="104">
      <c r="A104" s="544"/>
      <c r="B104" s="546"/>
      <c r="C104" s="546"/>
      <c r="D104" s="547"/>
      <c r="E104" s="544"/>
      <c r="F104" s="548"/>
    </row>
    <row r="105">
      <c r="A105" s="544"/>
      <c r="B105" s="546"/>
      <c r="C105" s="546"/>
      <c r="D105" s="547"/>
      <c r="E105" s="544"/>
      <c r="F105" s="548"/>
    </row>
    <row r="106">
      <c r="A106" s="544"/>
      <c r="B106" s="545"/>
      <c r="C106" s="545"/>
      <c r="D106" s="545"/>
      <c r="E106" s="545"/>
      <c r="F106" s="545"/>
    </row>
    <row r="107">
      <c r="A107" s="544"/>
      <c r="B107" s="546"/>
      <c r="C107" s="546"/>
      <c r="D107" s="547"/>
      <c r="E107" s="544"/>
      <c r="F107" s="548"/>
    </row>
    <row r="108">
      <c r="A108" s="544"/>
      <c r="B108" s="546"/>
      <c r="C108" s="546"/>
      <c r="D108" s="547"/>
      <c r="E108" s="544"/>
      <c r="F108" s="548"/>
    </row>
    <row r="109">
      <c r="A109" s="544"/>
      <c r="B109" s="546"/>
      <c r="C109" s="546"/>
      <c r="D109" s="547"/>
      <c r="E109" s="544"/>
      <c r="F109" s="548"/>
    </row>
    <row r="110">
      <c r="A110" s="544"/>
      <c r="B110" s="546"/>
      <c r="C110" s="546"/>
      <c r="D110" s="547"/>
      <c r="E110" s="544"/>
      <c r="F110" s="548"/>
    </row>
    <row r="111">
      <c r="A111" s="544"/>
      <c r="B111" s="546"/>
      <c r="C111" s="546"/>
      <c r="D111" s="547"/>
      <c r="E111" s="544"/>
      <c r="F111" s="548"/>
    </row>
    <row r="112">
      <c r="A112" s="544"/>
      <c r="B112" s="545"/>
      <c r="C112" s="545"/>
      <c r="D112" s="545"/>
      <c r="E112" s="545"/>
      <c r="F112" s="545"/>
    </row>
    <row r="113">
      <c r="A113" s="544"/>
      <c r="B113" s="546"/>
      <c r="C113" s="546"/>
      <c r="D113" s="547"/>
      <c r="E113" s="544"/>
      <c r="F113" s="548"/>
    </row>
    <row r="114">
      <c r="A114" s="544"/>
      <c r="B114" s="545"/>
      <c r="C114" s="545"/>
      <c r="D114" s="545"/>
      <c r="E114" s="545"/>
      <c r="F114" s="545"/>
    </row>
    <row r="115">
      <c r="A115" s="544"/>
      <c r="B115" s="545"/>
      <c r="C115" s="545"/>
      <c r="D115" s="545"/>
      <c r="E115" s="545"/>
      <c r="F115" s="545"/>
    </row>
    <row r="116">
      <c r="A116" s="544"/>
      <c r="B116" s="546"/>
      <c r="C116" s="546"/>
      <c r="D116" s="547"/>
      <c r="E116" s="544"/>
      <c r="F116" s="548"/>
    </row>
    <row r="117">
      <c r="A117" s="544"/>
      <c r="B117" s="546"/>
      <c r="C117" s="546"/>
      <c r="D117" s="547"/>
      <c r="E117" s="544"/>
      <c r="F117" s="548"/>
    </row>
    <row r="118">
      <c r="A118" s="544"/>
      <c r="B118" s="545"/>
      <c r="C118" s="545"/>
      <c r="D118" s="545"/>
      <c r="E118" s="545"/>
      <c r="F118" s="545"/>
    </row>
    <row r="119">
      <c r="A119" s="544"/>
      <c r="B119" s="545"/>
      <c r="C119" s="545"/>
      <c r="D119" s="545"/>
      <c r="E119" s="545"/>
      <c r="F119" s="545"/>
    </row>
    <row r="120">
      <c r="A120" s="544"/>
      <c r="B120" s="546"/>
      <c r="C120" s="546"/>
      <c r="D120" s="547"/>
      <c r="E120" s="544"/>
      <c r="F120" s="548"/>
    </row>
    <row r="121">
      <c r="A121" s="544"/>
      <c r="B121" s="545"/>
      <c r="C121" s="545"/>
      <c r="D121" s="545"/>
      <c r="E121" s="545"/>
      <c r="F121" s="545"/>
    </row>
    <row r="122">
      <c r="A122" s="544"/>
      <c r="B122" s="545"/>
      <c r="C122" s="545"/>
      <c r="D122" s="545"/>
      <c r="E122" s="545"/>
      <c r="F122" s="545"/>
    </row>
    <row r="123">
      <c r="A123" s="544"/>
      <c r="B123" s="546"/>
      <c r="C123" s="546"/>
      <c r="D123" s="547"/>
      <c r="E123" s="544"/>
      <c r="F123" s="548"/>
    </row>
    <row r="124">
      <c r="A124" s="544"/>
      <c r="B124" s="546"/>
      <c r="C124" s="546"/>
      <c r="D124" s="547"/>
      <c r="E124" s="544"/>
      <c r="F124" s="548"/>
    </row>
    <row r="125">
      <c r="A125" s="544"/>
      <c r="B125" s="546"/>
      <c r="C125" s="546"/>
      <c r="D125" s="547"/>
      <c r="E125" s="544"/>
      <c r="F125" s="548"/>
    </row>
    <row r="126">
      <c r="A126" s="544"/>
      <c r="B126" s="545"/>
      <c r="C126" s="545"/>
      <c r="D126" s="545"/>
      <c r="E126" s="545"/>
      <c r="F126" s="545"/>
    </row>
    <row r="127">
      <c r="A127" s="544"/>
      <c r="B127" s="546"/>
      <c r="C127" s="546"/>
      <c r="D127" s="547"/>
      <c r="E127" s="544"/>
      <c r="F127" s="548"/>
    </row>
    <row r="128">
      <c r="A128" s="544"/>
      <c r="B128" s="546"/>
      <c r="C128" s="546"/>
      <c r="D128" s="547"/>
      <c r="E128" s="544"/>
      <c r="F128" s="548"/>
    </row>
    <row r="129">
      <c r="A129" s="544"/>
      <c r="B129" s="545"/>
      <c r="C129" s="545"/>
      <c r="D129" s="545"/>
      <c r="E129" s="545"/>
      <c r="F129" s="545"/>
    </row>
    <row r="130">
      <c r="A130" s="544"/>
      <c r="B130" s="546"/>
      <c r="C130" s="546"/>
      <c r="D130" s="547"/>
      <c r="E130" s="544"/>
      <c r="F130" s="548"/>
    </row>
    <row r="131">
      <c r="A131" s="544"/>
      <c r="B131" s="545"/>
      <c r="C131" s="545"/>
      <c r="D131" s="545"/>
      <c r="E131" s="545"/>
      <c r="F131" s="545"/>
    </row>
    <row r="132">
      <c r="A132" s="544"/>
      <c r="B132" s="546"/>
      <c r="C132" s="546"/>
      <c r="D132" s="560"/>
      <c r="E132" s="544"/>
      <c r="F132" s="548"/>
    </row>
    <row r="133">
      <c r="A133" s="544"/>
      <c r="B133" s="545"/>
      <c r="C133" s="545"/>
      <c r="D133" s="545"/>
      <c r="E133" s="545"/>
      <c r="F133" s="545"/>
    </row>
    <row r="134">
      <c r="A134" s="544"/>
      <c r="B134" s="546"/>
      <c r="C134" s="546"/>
      <c r="D134" s="547"/>
      <c r="E134" s="544"/>
      <c r="F134" s="548"/>
    </row>
    <row r="135">
      <c r="A135" s="544"/>
      <c r="B135" s="546"/>
      <c r="C135" s="546"/>
      <c r="D135" s="547"/>
      <c r="E135" s="544"/>
      <c r="F135" s="548"/>
    </row>
    <row r="136">
      <c r="A136" s="544"/>
      <c r="B136" s="546"/>
      <c r="C136" s="546"/>
      <c r="D136" s="560"/>
      <c r="E136" s="544"/>
      <c r="F136" s="548"/>
    </row>
    <row r="137">
      <c r="A137" s="544"/>
      <c r="B137" s="545"/>
      <c r="C137" s="545"/>
      <c r="D137" s="545"/>
      <c r="E137" s="545"/>
      <c r="F137" s="545"/>
    </row>
    <row r="138">
      <c r="A138" s="544"/>
      <c r="B138" s="545"/>
      <c r="C138" s="545"/>
      <c r="D138" s="545"/>
      <c r="E138" s="545"/>
      <c r="F138" s="545"/>
    </row>
    <row r="139">
      <c r="A139" s="544"/>
      <c r="B139" s="545"/>
      <c r="C139" s="545"/>
      <c r="D139" s="545"/>
      <c r="E139" s="545"/>
      <c r="F139" s="545"/>
    </row>
    <row r="140">
      <c r="A140" s="544"/>
      <c r="B140" s="546"/>
      <c r="C140" s="546"/>
      <c r="D140" s="547"/>
      <c r="E140" s="544"/>
      <c r="F140" s="548"/>
    </row>
    <row r="141">
      <c r="A141" s="544"/>
      <c r="B141" s="546"/>
      <c r="C141" s="546"/>
      <c r="D141" s="547"/>
      <c r="E141" s="544"/>
      <c r="F141" s="548"/>
    </row>
    <row r="142">
      <c r="A142" s="544"/>
      <c r="B142" s="546"/>
      <c r="C142" s="546"/>
      <c r="D142" s="547"/>
      <c r="E142" s="544"/>
      <c r="F142" s="548"/>
    </row>
    <row r="143">
      <c r="A143" s="544"/>
      <c r="B143" s="546"/>
      <c r="C143" s="546"/>
      <c r="D143" s="547"/>
      <c r="E143" s="544"/>
      <c r="F143" s="548"/>
    </row>
    <row r="144">
      <c r="A144" s="544"/>
      <c r="B144" s="545"/>
      <c r="C144" s="545"/>
      <c r="D144" s="545"/>
      <c r="E144" s="545"/>
      <c r="F144" s="545"/>
    </row>
    <row r="145">
      <c r="A145" s="544"/>
      <c r="B145" s="546"/>
      <c r="C145" s="546"/>
      <c r="D145" s="547"/>
      <c r="E145" s="544"/>
      <c r="F145" s="548"/>
    </row>
    <row r="146">
      <c r="A146" s="544"/>
      <c r="B146" s="546"/>
      <c r="C146" s="546"/>
      <c r="D146" s="547"/>
      <c r="E146" s="544"/>
      <c r="F146" s="548"/>
    </row>
    <row r="147">
      <c r="A147" s="544"/>
      <c r="B147" s="546"/>
      <c r="C147" s="546"/>
      <c r="D147" s="547"/>
      <c r="E147" s="544"/>
      <c r="F147" s="548"/>
    </row>
    <row r="148">
      <c r="A148" s="544"/>
      <c r="B148" s="546"/>
      <c r="C148" s="546"/>
      <c r="D148" s="547"/>
      <c r="E148" s="544"/>
      <c r="F148" s="548"/>
    </row>
    <row r="149">
      <c r="A149" s="544"/>
      <c r="B149" s="545"/>
      <c r="C149" s="545"/>
      <c r="D149" s="545"/>
      <c r="E149" s="545"/>
      <c r="F149" s="545"/>
    </row>
    <row r="150">
      <c r="A150" s="544"/>
      <c r="B150" s="545"/>
      <c r="C150" s="545"/>
      <c r="D150" s="545"/>
      <c r="E150" s="545"/>
      <c r="F150" s="545"/>
    </row>
    <row r="151">
      <c r="A151" s="544"/>
      <c r="B151" s="545"/>
      <c r="C151" s="545"/>
      <c r="D151" s="545"/>
      <c r="E151" s="545"/>
      <c r="F151" s="545"/>
    </row>
    <row r="152">
      <c r="A152" s="544"/>
      <c r="B152" s="546"/>
      <c r="C152" s="546"/>
      <c r="D152" s="547"/>
      <c r="E152" s="544"/>
      <c r="F152" s="548"/>
    </row>
    <row r="153">
      <c r="A153" s="544"/>
      <c r="B153" s="545"/>
      <c r="C153" s="545"/>
      <c r="D153" s="545"/>
      <c r="E153" s="545"/>
      <c r="F153" s="545"/>
    </row>
    <row r="154">
      <c r="A154" s="544"/>
      <c r="B154" s="545"/>
      <c r="C154" s="545"/>
      <c r="D154" s="545"/>
      <c r="E154" s="545"/>
      <c r="F154" s="545"/>
    </row>
    <row r="155">
      <c r="A155" s="544"/>
      <c r="B155" s="546"/>
      <c r="C155" s="546"/>
      <c r="D155" s="547"/>
      <c r="E155" s="544"/>
      <c r="F155" s="548"/>
    </row>
    <row r="156">
      <c r="A156" s="545"/>
      <c r="B156" s="545"/>
      <c r="C156" s="545"/>
      <c r="D156" s="570"/>
      <c r="E156" s="545"/>
      <c r="F156" s="571"/>
    </row>
    <row r="157">
      <c r="A157" s="545"/>
      <c r="B157" s="545"/>
      <c r="C157" s="545"/>
      <c r="D157" s="570"/>
      <c r="E157" s="545"/>
      <c r="F157" s="545"/>
    </row>
    <row r="158">
      <c r="A158" s="545"/>
      <c r="B158" s="545"/>
      <c r="C158" s="545"/>
      <c r="D158" s="570"/>
      <c r="E158" s="545"/>
      <c r="F158" s="545"/>
    </row>
    <row r="159">
      <c r="A159" s="545"/>
      <c r="B159" s="545"/>
      <c r="C159" s="545"/>
      <c r="D159" s="570"/>
      <c r="E159" s="545"/>
      <c r="F159" s="545"/>
    </row>
    <row r="160">
      <c r="A160" s="545"/>
      <c r="B160" s="545"/>
      <c r="C160" s="545"/>
      <c r="D160" s="570"/>
      <c r="E160" s="545"/>
      <c r="F160" s="545"/>
    </row>
    <row r="161">
      <c r="A161" s="545"/>
      <c r="B161" s="545"/>
      <c r="C161" s="545"/>
      <c r="D161" s="570"/>
      <c r="E161" s="545"/>
      <c r="F161" s="545"/>
    </row>
    <row r="162">
      <c r="A162" s="545"/>
      <c r="B162" s="545"/>
      <c r="C162" s="545"/>
      <c r="D162" s="570"/>
      <c r="E162" s="545"/>
      <c r="F162" s="545"/>
    </row>
    <row r="163">
      <c r="A163" s="545"/>
      <c r="B163" s="545"/>
      <c r="C163" s="545"/>
      <c r="D163" s="570"/>
      <c r="E163" s="545"/>
      <c r="F163" s="545"/>
    </row>
    <row r="164">
      <c r="A164" s="545"/>
      <c r="B164" s="545"/>
      <c r="C164" s="545"/>
      <c r="D164" s="570"/>
      <c r="E164" s="545"/>
      <c r="F164" s="545"/>
    </row>
    <row r="165">
      <c r="A165" s="545"/>
      <c r="B165" s="545"/>
      <c r="C165" s="545"/>
      <c r="D165" s="570"/>
      <c r="E165" s="545"/>
      <c r="F165" s="545"/>
    </row>
    <row r="166">
      <c r="A166" s="545"/>
      <c r="B166" s="545"/>
      <c r="C166" s="545"/>
      <c r="D166" s="570"/>
      <c r="E166" s="545"/>
      <c r="F166" s="545"/>
    </row>
    <row r="167">
      <c r="A167" s="545"/>
      <c r="B167" s="545"/>
      <c r="C167" s="545"/>
      <c r="D167" s="570"/>
      <c r="E167" s="545"/>
      <c r="F167" s="545"/>
    </row>
    <row r="168">
      <c r="A168" s="545"/>
      <c r="B168" s="545"/>
      <c r="C168" s="545"/>
      <c r="D168" s="570"/>
      <c r="E168" s="545"/>
      <c r="F168" s="545"/>
    </row>
    <row r="169">
      <c r="A169" s="545"/>
      <c r="B169" s="545"/>
      <c r="C169" s="545"/>
      <c r="D169" s="570"/>
      <c r="E169" s="545"/>
      <c r="F169" s="545"/>
    </row>
    <row r="170">
      <c r="A170" s="545"/>
      <c r="B170" s="545"/>
      <c r="C170" s="545"/>
      <c r="D170" s="570"/>
      <c r="E170" s="545"/>
      <c r="F170" s="545"/>
    </row>
    <row r="171">
      <c r="A171" s="545"/>
      <c r="B171" s="545"/>
      <c r="C171" s="545"/>
      <c r="D171" s="570"/>
      <c r="E171" s="545"/>
      <c r="F171" s="545"/>
    </row>
    <row r="172">
      <c r="A172" s="545"/>
      <c r="B172" s="545"/>
      <c r="C172" s="545"/>
      <c r="D172" s="570"/>
      <c r="E172" s="545"/>
      <c r="F172" s="545"/>
    </row>
    <row r="173">
      <c r="A173" s="545"/>
      <c r="B173" s="545"/>
      <c r="C173" s="545"/>
      <c r="D173" s="570"/>
      <c r="E173" s="545"/>
      <c r="F173" s="545"/>
    </row>
    <row r="174">
      <c r="A174" s="545"/>
      <c r="B174" s="545"/>
      <c r="C174" s="545"/>
      <c r="D174" s="570"/>
      <c r="E174" s="545"/>
      <c r="F174" s="545"/>
    </row>
    <row r="175">
      <c r="A175" s="545"/>
      <c r="B175" s="545"/>
      <c r="C175" s="545"/>
      <c r="D175" s="570"/>
      <c r="E175" s="545"/>
      <c r="F175" s="545"/>
    </row>
    <row r="176">
      <c r="A176" s="545"/>
      <c r="B176" s="545"/>
      <c r="C176" s="545"/>
      <c r="D176" s="570"/>
      <c r="E176" s="545"/>
      <c r="F176" s="545"/>
    </row>
    <row r="177">
      <c r="A177" s="545"/>
      <c r="B177" s="545"/>
      <c r="C177" s="545"/>
      <c r="D177" s="570"/>
      <c r="E177" s="545"/>
      <c r="F177" s="545"/>
    </row>
    <row r="178">
      <c r="A178" s="545"/>
      <c r="B178" s="545"/>
      <c r="C178" s="545"/>
      <c r="D178" s="570"/>
      <c r="E178" s="545"/>
      <c r="F178" s="545"/>
    </row>
    <row r="179">
      <c r="A179" s="545"/>
      <c r="B179" s="545"/>
      <c r="C179" s="545"/>
      <c r="D179" s="570"/>
      <c r="E179" s="545"/>
      <c r="F179" s="545"/>
    </row>
    <row r="180">
      <c r="A180" s="545"/>
      <c r="B180" s="545"/>
      <c r="C180" s="545"/>
      <c r="D180" s="570"/>
      <c r="E180" s="545"/>
      <c r="F180" s="545"/>
    </row>
    <row r="181">
      <c r="A181" s="545"/>
      <c r="B181" s="545"/>
      <c r="C181" s="545"/>
      <c r="D181" s="570"/>
      <c r="E181" s="545"/>
      <c r="F181" s="545"/>
    </row>
    <row r="182">
      <c r="A182" s="545"/>
      <c r="B182" s="545"/>
      <c r="C182" s="545"/>
      <c r="D182" s="570"/>
      <c r="E182" s="545"/>
      <c r="F182" s="545"/>
    </row>
    <row r="183">
      <c r="A183" s="545"/>
      <c r="B183" s="545"/>
      <c r="C183" s="545"/>
      <c r="D183" s="570"/>
      <c r="E183" s="545"/>
      <c r="F183" s="545"/>
    </row>
    <row r="184">
      <c r="A184" s="545"/>
      <c r="B184" s="545"/>
      <c r="C184" s="545"/>
      <c r="D184" s="570"/>
      <c r="E184" s="545"/>
      <c r="F184" s="545"/>
    </row>
    <row r="185">
      <c r="A185" s="545"/>
      <c r="B185" s="545"/>
      <c r="C185" s="545"/>
      <c r="D185" s="570"/>
      <c r="E185" s="545"/>
      <c r="F185" s="545"/>
    </row>
    <row r="186">
      <c r="A186" s="545"/>
      <c r="B186" s="545"/>
      <c r="C186" s="545"/>
      <c r="D186" s="570"/>
      <c r="E186" s="545"/>
      <c r="F186" s="545"/>
    </row>
    <row r="187">
      <c r="A187" s="545"/>
      <c r="B187" s="545"/>
      <c r="C187" s="545"/>
      <c r="D187" s="570"/>
      <c r="E187" s="545"/>
      <c r="F187" s="545"/>
    </row>
    <row r="188">
      <c r="A188" s="545"/>
      <c r="B188" s="545"/>
      <c r="C188" s="545"/>
      <c r="D188" s="570"/>
      <c r="E188" s="545"/>
      <c r="F188" s="545"/>
    </row>
    <row r="189">
      <c r="A189" s="545"/>
      <c r="B189" s="545"/>
      <c r="C189" s="545"/>
      <c r="D189" s="570"/>
      <c r="E189" s="545"/>
      <c r="F189" s="545"/>
    </row>
    <row r="190">
      <c r="A190" s="545"/>
      <c r="B190" s="545"/>
      <c r="C190" s="545"/>
      <c r="D190" s="570"/>
      <c r="E190" s="545"/>
      <c r="F190" s="545"/>
    </row>
    <row r="191">
      <c r="A191" s="545"/>
      <c r="B191" s="545"/>
      <c r="C191" s="545"/>
      <c r="D191" s="570"/>
      <c r="E191" s="545"/>
      <c r="F191" s="545"/>
    </row>
    <row r="192">
      <c r="A192" s="545"/>
      <c r="B192" s="545"/>
      <c r="C192" s="545"/>
      <c r="D192" s="570"/>
      <c r="E192" s="545"/>
      <c r="F192" s="545"/>
    </row>
    <row r="193">
      <c r="A193" s="545"/>
      <c r="B193" s="545"/>
      <c r="C193" s="545"/>
      <c r="D193" s="570"/>
      <c r="E193" s="545"/>
      <c r="F193" s="545"/>
    </row>
    <row r="194">
      <c r="A194" s="545"/>
      <c r="B194" s="545"/>
      <c r="C194" s="545"/>
      <c r="D194" s="570"/>
      <c r="E194" s="545"/>
      <c r="F194" s="545"/>
    </row>
    <row r="195">
      <c r="A195" s="545"/>
      <c r="B195" s="545"/>
      <c r="C195" s="545"/>
      <c r="D195" s="570"/>
      <c r="E195" s="545"/>
      <c r="F195" s="545"/>
    </row>
    <row r="196">
      <c r="A196" s="545"/>
      <c r="B196" s="545"/>
      <c r="C196" s="545"/>
      <c r="D196" s="570"/>
      <c r="E196" s="545"/>
      <c r="F196" s="545"/>
    </row>
    <row r="197">
      <c r="A197" s="545"/>
      <c r="B197" s="545"/>
      <c r="C197" s="545"/>
      <c r="D197" s="570"/>
      <c r="E197" s="545"/>
      <c r="F197" s="545"/>
    </row>
    <row r="198">
      <c r="A198" s="545"/>
      <c r="B198" s="545"/>
      <c r="C198" s="545"/>
      <c r="D198" s="570"/>
      <c r="E198" s="545"/>
      <c r="F198" s="545"/>
    </row>
    <row r="199">
      <c r="A199" s="545"/>
      <c r="B199" s="545"/>
      <c r="C199" s="545"/>
      <c r="D199" s="570"/>
      <c r="E199" s="545"/>
      <c r="F199" s="545"/>
    </row>
    <row r="200">
      <c r="A200" s="545"/>
      <c r="B200" s="545"/>
      <c r="C200" s="545"/>
      <c r="D200" s="570"/>
      <c r="E200" s="545"/>
      <c r="F200" s="545"/>
    </row>
    <row r="201">
      <c r="A201" s="545"/>
      <c r="B201" s="545"/>
      <c r="C201" s="545"/>
      <c r="D201" s="570"/>
      <c r="E201" s="545"/>
      <c r="F201" s="545"/>
    </row>
    <row r="202">
      <c r="A202" s="545"/>
      <c r="B202" s="545"/>
      <c r="C202" s="545"/>
      <c r="D202" s="570"/>
      <c r="E202" s="545"/>
      <c r="F202" s="545"/>
    </row>
    <row r="203">
      <c r="A203" s="545"/>
      <c r="B203" s="545"/>
      <c r="C203" s="545"/>
      <c r="D203" s="570"/>
      <c r="E203" s="545"/>
      <c r="F203" s="545"/>
    </row>
    <row r="204">
      <c r="A204" s="545"/>
      <c r="B204" s="545"/>
      <c r="C204" s="545"/>
      <c r="D204" s="570"/>
      <c r="E204" s="545"/>
      <c r="F204" s="545"/>
    </row>
    <row r="205">
      <c r="A205" s="545"/>
      <c r="B205" s="545"/>
      <c r="C205" s="545"/>
      <c r="D205" s="570"/>
      <c r="E205" s="545"/>
      <c r="F205" s="545"/>
    </row>
    <row r="206">
      <c r="A206" s="545"/>
      <c r="B206" s="545"/>
      <c r="C206" s="545"/>
      <c r="D206" s="570"/>
      <c r="E206" s="545"/>
      <c r="F206" s="545"/>
    </row>
    <row r="207">
      <c r="A207" s="545"/>
      <c r="B207" s="545"/>
      <c r="C207" s="545"/>
      <c r="D207" s="570"/>
      <c r="E207" s="545"/>
      <c r="F207" s="545"/>
    </row>
    <row r="208">
      <c r="A208" s="545"/>
      <c r="B208" s="545"/>
      <c r="C208" s="545"/>
      <c r="D208" s="570"/>
      <c r="E208" s="545"/>
      <c r="F208" s="545"/>
    </row>
    <row r="209">
      <c r="A209" s="545"/>
      <c r="B209" s="545"/>
      <c r="C209" s="545"/>
      <c r="D209" s="570"/>
      <c r="E209" s="545"/>
      <c r="F209" s="545"/>
    </row>
    <row r="210">
      <c r="A210" s="545"/>
      <c r="B210" s="545"/>
      <c r="C210" s="545"/>
      <c r="D210" s="570"/>
      <c r="E210" s="545"/>
      <c r="F210" s="545"/>
    </row>
    <row r="211">
      <c r="A211" s="545"/>
      <c r="B211" s="545"/>
      <c r="C211" s="545"/>
      <c r="D211" s="570"/>
      <c r="E211" s="545"/>
      <c r="F211" s="545"/>
    </row>
    <row r="212">
      <c r="A212" s="545"/>
      <c r="B212" s="545"/>
      <c r="C212" s="545"/>
      <c r="D212" s="570"/>
      <c r="E212" s="545"/>
      <c r="F212" s="545"/>
    </row>
    <row r="213">
      <c r="A213" s="545"/>
      <c r="B213" s="545"/>
      <c r="C213" s="545"/>
      <c r="D213" s="570"/>
      <c r="E213" s="545"/>
      <c r="F213" s="545"/>
    </row>
    <row r="214">
      <c r="A214" s="545"/>
      <c r="B214" s="545"/>
      <c r="C214" s="545"/>
      <c r="D214" s="570"/>
      <c r="E214" s="545"/>
      <c r="F214" s="545"/>
    </row>
    <row r="215">
      <c r="A215" s="545"/>
      <c r="B215" s="545"/>
      <c r="C215" s="545"/>
      <c r="D215" s="570"/>
      <c r="E215" s="545"/>
      <c r="F215" s="545"/>
    </row>
    <row r="216">
      <c r="A216" s="545"/>
      <c r="B216" s="545"/>
      <c r="C216" s="545"/>
      <c r="D216" s="570"/>
      <c r="E216" s="545"/>
      <c r="F216" s="545"/>
    </row>
    <row r="217">
      <c r="A217" s="545"/>
      <c r="B217" s="545"/>
      <c r="C217" s="545"/>
      <c r="D217" s="570"/>
      <c r="E217" s="545"/>
      <c r="F217" s="545"/>
    </row>
    <row r="218">
      <c r="A218" s="545"/>
      <c r="B218" s="545"/>
      <c r="C218" s="545"/>
      <c r="D218" s="570"/>
      <c r="E218" s="545"/>
      <c r="F218" s="545"/>
    </row>
    <row r="219">
      <c r="A219" s="545"/>
      <c r="B219" s="545"/>
      <c r="C219" s="545"/>
      <c r="D219" s="570"/>
      <c r="E219" s="545"/>
      <c r="F219" s="545"/>
    </row>
    <row r="220">
      <c r="A220" s="545"/>
      <c r="B220" s="545"/>
      <c r="C220" s="545"/>
      <c r="D220" s="570"/>
      <c r="E220" s="545"/>
      <c r="F220" s="545"/>
    </row>
    <row r="221">
      <c r="A221" s="545"/>
      <c r="B221" s="545"/>
      <c r="C221" s="545"/>
      <c r="D221" s="570"/>
      <c r="E221" s="545"/>
      <c r="F221" s="545"/>
    </row>
    <row r="222">
      <c r="A222" s="545"/>
      <c r="B222" s="545"/>
      <c r="C222" s="545"/>
      <c r="D222" s="570"/>
      <c r="E222" s="545"/>
      <c r="F222" s="545"/>
    </row>
    <row r="223">
      <c r="A223" s="545"/>
      <c r="B223" s="545"/>
      <c r="C223" s="545"/>
      <c r="D223" s="570"/>
      <c r="E223" s="545"/>
      <c r="F223" s="545"/>
    </row>
    <row r="224">
      <c r="A224" s="545"/>
      <c r="B224" s="545"/>
      <c r="C224" s="545"/>
      <c r="D224" s="570"/>
      <c r="E224" s="545"/>
      <c r="F224" s="545"/>
    </row>
    <row r="225">
      <c r="A225" s="545"/>
      <c r="B225" s="545"/>
      <c r="C225" s="545"/>
      <c r="D225" s="570"/>
      <c r="E225" s="545"/>
      <c r="F225" s="545"/>
    </row>
    <row r="226">
      <c r="A226" s="545"/>
      <c r="B226" s="545"/>
      <c r="C226" s="545"/>
      <c r="D226" s="570"/>
      <c r="E226" s="545"/>
      <c r="F226" s="545"/>
    </row>
    <row r="227">
      <c r="A227" s="545"/>
      <c r="B227" s="545"/>
      <c r="C227" s="545"/>
      <c r="D227" s="570"/>
      <c r="E227" s="545"/>
      <c r="F227" s="545"/>
    </row>
    <row r="228">
      <c r="A228" s="545"/>
      <c r="B228" s="545"/>
      <c r="C228" s="545"/>
      <c r="D228" s="570"/>
      <c r="E228" s="545"/>
      <c r="F228" s="545"/>
    </row>
    <row r="229">
      <c r="A229" s="545"/>
      <c r="B229" s="545"/>
      <c r="C229" s="545"/>
      <c r="D229" s="570"/>
      <c r="E229" s="545"/>
      <c r="F229" s="545"/>
    </row>
    <row r="230">
      <c r="A230" s="545"/>
      <c r="B230" s="545"/>
      <c r="C230" s="545"/>
      <c r="D230" s="570"/>
      <c r="E230" s="545"/>
      <c r="F230" s="545"/>
    </row>
    <row r="231">
      <c r="A231" s="545"/>
      <c r="B231" s="545"/>
      <c r="C231" s="545"/>
      <c r="D231" s="570"/>
      <c r="E231" s="545"/>
      <c r="F231" s="545"/>
    </row>
    <row r="232">
      <c r="A232" s="545"/>
      <c r="B232" s="545"/>
      <c r="C232" s="545"/>
      <c r="D232" s="570"/>
      <c r="E232" s="545"/>
      <c r="F232" s="545"/>
    </row>
    <row r="233">
      <c r="A233" s="545"/>
      <c r="B233" s="545"/>
      <c r="C233" s="545"/>
      <c r="D233" s="570"/>
      <c r="E233" s="545"/>
      <c r="F233" s="545"/>
    </row>
    <row r="234">
      <c r="A234" s="545"/>
      <c r="B234" s="545"/>
      <c r="C234" s="545"/>
      <c r="D234" s="570"/>
      <c r="E234" s="545"/>
      <c r="F234" s="545"/>
    </row>
    <row r="235">
      <c r="A235" s="545"/>
      <c r="B235" s="545"/>
      <c r="C235" s="545"/>
      <c r="D235" s="570"/>
      <c r="E235" s="545"/>
      <c r="F235" s="545"/>
    </row>
    <row r="236">
      <c r="A236" s="545"/>
      <c r="B236" s="545"/>
      <c r="C236" s="545"/>
      <c r="D236" s="570"/>
      <c r="E236" s="545"/>
      <c r="F236" s="545"/>
    </row>
    <row r="237">
      <c r="A237" s="545"/>
      <c r="B237" s="545"/>
      <c r="C237" s="545"/>
      <c r="D237" s="570"/>
      <c r="E237" s="545"/>
      <c r="F237" s="545"/>
    </row>
    <row r="238">
      <c r="A238" s="545"/>
      <c r="B238" s="545"/>
      <c r="C238" s="545"/>
      <c r="D238" s="570"/>
      <c r="E238" s="545"/>
      <c r="F238" s="545"/>
    </row>
    <row r="239">
      <c r="A239" s="545"/>
      <c r="B239" s="545"/>
      <c r="C239" s="545"/>
      <c r="D239" s="570"/>
      <c r="E239" s="545"/>
      <c r="F239" s="545"/>
    </row>
    <row r="240">
      <c r="A240" s="545"/>
      <c r="B240" s="545"/>
      <c r="C240" s="545"/>
      <c r="D240" s="570"/>
      <c r="E240" s="545"/>
      <c r="F240" s="545"/>
    </row>
    <row r="241">
      <c r="A241" s="545"/>
      <c r="B241" s="545"/>
      <c r="C241" s="545"/>
      <c r="D241" s="570"/>
      <c r="E241" s="545"/>
      <c r="F241" s="545"/>
    </row>
    <row r="242">
      <c r="A242" s="545"/>
      <c r="B242" s="545"/>
      <c r="C242" s="545"/>
      <c r="D242" s="570"/>
      <c r="E242" s="545"/>
      <c r="F242" s="545"/>
    </row>
    <row r="243">
      <c r="A243" s="545"/>
      <c r="B243" s="545"/>
      <c r="C243" s="545"/>
      <c r="D243" s="570"/>
      <c r="E243" s="545"/>
      <c r="F243" s="545"/>
    </row>
    <row r="244">
      <c r="A244" s="545"/>
      <c r="B244" s="545"/>
      <c r="C244" s="545"/>
      <c r="D244" s="570"/>
      <c r="E244" s="545"/>
      <c r="F244" s="545"/>
    </row>
    <row r="245">
      <c r="A245" s="545"/>
      <c r="B245" s="545"/>
      <c r="C245" s="545"/>
      <c r="D245" s="570"/>
      <c r="E245" s="545"/>
      <c r="F245" s="545"/>
    </row>
    <row r="246">
      <c r="A246" s="545"/>
      <c r="B246" s="545"/>
      <c r="C246" s="545"/>
      <c r="D246" s="570"/>
      <c r="E246" s="545"/>
      <c r="F246" s="545"/>
    </row>
    <row r="247">
      <c r="A247" s="545"/>
      <c r="B247" s="545"/>
      <c r="C247" s="545"/>
      <c r="D247" s="570"/>
      <c r="E247" s="545"/>
      <c r="F247" s="545"/>
    </row>
    <row r="248">
      <c r="A248" s="545"/>
      <c r="B248" s="545"/>
      <c r="C248" s="545"/>
      <c r="D248" s="570"/>
      <c r="E248" s="545"/>
      <c r="F248" s="545"/>
    </row>
    <row r="249">
      <c r="A249" s="545"/>
      <c r="B249" s="545"/>
      <c r="C249" s="545"/>
      <c r="D249" s="570"/>
      <c r="E249" s="545"/>
      <c r="F249" s="545"/>
    </row>
    <row r="250">
      <c r="A250" s="545"/>
      <c r="B250" s="545"/>
      <c r="C250" s="545"/>
      <c r="D250" s="570"/>
      <c r="E250" s="545"/>
      <c r="F250" s="545"/>
    </row>
    <row r="251">
      <c r="A251" s="545"/>
      <c r="B251" s="545"/>
      <c r="C251" s="545"/>
      <c r="D251" s="570"/>
      <c r="E251" s="545"/>
      <c r="F251" s="545"/>
    </row>
    <row r="252">
      <c r="A252" s="545"/>
      <c r="B252" s="545"/>
      <c r="C252" s="545"/>
      <c r="D252" s="570"/>
      <c r="E252" s="545"/>
      <c r="F252" s="545"/>
    </row>
    <row r="253">
      <c r="A253" s="545"/>
      <c r="B253" s="545"/>
      <c r="C253" s="545"/>
      <c r="D253" s="570"/>
      <c r="E253" s="545"/>
      <c r="F253" s="545"/>
    </row>
    <row r="254">
      <c r="A254" s="545"/>
      <c r="B254" s="545"/>
      <c r="C254" s="545"/>
      <c r="D254" s="570"/>
      <c r="E254" s="545"/>
      <c r="F254" s="545"/>
    </row>
    <row r="255">
      <c r="A255" s="545"/>
      <c r="B255" s="545"/>
      <c r="C255" s="545"/>
      <c r="D255" s="570"/>
      <c r="E255" s="545"/>
      <c r="F255" s="545"/>
    </row>
    <row r="256">
      <c r="A256" s="545"/>
      <c r="B256" s="545"/>
      <c r="C256" s="545"/>
      <c r="D256" s="570"/>
      <c r="E256" s="545"/>
      <c r="F256" s="545"/>
    </row>
    <row r="257">
      <c r="A257" s="545"/>
      <c r="B257" s="545"/>
      <c r="C257" s="545"/>
      <c r="D257" s="570"/>
      <c r="E257" s="545"/>
      <c r="F257" s="545"/>
    </row>
    <row r="258">
      <c r="A258" s="545"/>
      <c r="B258" s="545"/>
      <c r="C258" s="545"/>
      <c r="D258" s="570"/>
      <c r="E258" s="545"/>
      <c r="F258" s="545"/>
    </row>
    <row r="259">
      <c r="A259" s="545"/>
      <c r="B259" s="545"/>
      <c r="C259" s="545"/>
      <c r="D259" s="570"/>
      <c r="E259" s="545"/>
      <c r="F259" s="545"/>
    </row>
    <row r="260">
      <c r="A260" s="545"/>
      <c r="B260" s="545"/>
      <c r="C260" s="545"/>
      <c r="D260" s="570"/>
      <c r="E260" s="545"/>
      <c r="F260" s="545"/>
    </row>
    <row r="261">
      <c r="A261" s="545"/>
      <c r="B261" s="545"/>
      <c r="C261" s="545"/>
      <c r="D261" s="570"/>
      <c r="E261" s="545"/>
      <c r="F261" s="545"/>
    </row>
    <row r="262">
      <c r="A262" s="545"/>
      <c r="B262" s="545"/>
      <c r="C262" s="545"/>
      <c r="D262" s="570"/>
      <c r="E262" s="545"/>
      <c r="F262" s="545"/>
    </row>
    <row r="263">
      <c r="A263" s="545"/>
      <c r="B263" s="545"/>
      <c r="C263" s="545"/>
      <c r="D263" s="570"/>
      <c r="E263" s="545"/>
      <c r="F263" s="545"/>
    </row>
    <row r="264">
      <c r="A264" s="545"/>
      <c r="B264" s="545"/>
      <c r="C264" s="545"/>
      <c r="D264" s="570"/>
      <c r="E264" s="545"/>
      <c r="F264" s="545"/>
    </row>
    <row r="265">
      <c r="A265" s="545"/>
      <c r="B265" s="545"/>
      <c r="C265" s="545"/>
      <c r="D265" s="570"/>
      <c r="E265" s="545"/>
      <c r="F265" s="545"/>
    </row>
    <row r="266">
      <c r="A266" s="545"/>
      <c r="B266" s="545"/>
      <c r="C266" s="545"/>
      <c r="D266" s="570"/>
      <c r="E266" s="545"/>
      <c r="F266" s="545"/>
    </row>
    <row r="267">
      <c r="A267" s="545"/>
      <c r="B267" s="545"/>
      <c r="C267" s="545"/>
      <c r="D267" s="570"/>
      <c r="E267" s="545"/>
      <c r="F267" s="545"/>
    </row>
    <row r="268">
      <c r="A268" s="545"/>
      <c r="B268" s="545"/>
      <c r="C268" s="545"/>
      <c r="D268" s="570"/>
      <c r="E268" s="545"/>
      <c r="F268" s="545"/>
    </row>
    <row r="269">
      <c r="A269" s="545"/>
      <c r="B269" s="545"/>
      <c r="C269" s="545"/>
      <c r="D269" s="570"/>
      <c r="E269" s="545"/>
      <c r="F269" s="545"/>
    </row>
    <row r="270">
      <c r="A270" s="545"/>
      <c r="B270" s="545"/>
      <c r="C270" s="545"/>
      <c r="D270" s="570"/>
      <c r="E270" s="545"/>
      <c r="F270" s="545"/>
    </row>
    <row r="271">
      <c r="A271" s="545"/>
      <c r="B271" s="545"/>
      <c r="C271" s="545"/>
      <c r="D271" s="570"/>
      <c r="E271" s="545"/>
      <c r="F271" s="545"/>
    </row>
    <row r="272">
      <c r="A272" s="545"/>
      <c r="B272" s="545"/>
      <c r="C272" s="545"/>
      <c r="D272" s="570"/>
      <c r="E272" s="545"/>
      <c r="F272" s="545"/>
    </row>
    <row r="273">
      <c r="A273" s="545"/>
      <c r="B273" s="545"/>
      <c r="C273" s="545"/>
      <c r="D273" s="570"/>
      <c r="E273" s="545"/>
      <c r="F273" s="545"/>
    </row>
    <row r="274">
      <c r="A274" s="545"/>
      <c r="B274" s="545"/>
      <c r="C274" s="545"/>
      <c r="D274" s="570"/>
      <c r="E274" s="545"/>
      <c r="F274" s="545"/>
    </row>
    <row r="275">
      <c r="A275" s="545"/>
      <c r="B275" s="545"/>
      <c r="C275" s="545"/>
      <c r="D275" s="570"/>
      <c r="E275" s="545"/>
      <c r="F275" s="545"/>
    </row>
    <row r="276">
      <c r="A276" s="545"/>
      <c r="B276" s="545"/>
      <c r="C276" s="545"/>
      <c r="D276" s="570"/>
      <c r="E276" s="545"/>
      <c r="F276" s="545"/>
    </row>
    <row r="277">
      <c r="A277" s="545"/>
      <c r="B277" s="545"/>
      <c r="C277" s="545"/>
      <c r="D277" s="570"/>
      <c r="E277" s="545"/>
      <c r="F277" s="545"/>
    </row>
    <row r="278">
      <c r="A278" s="545"/>
      <c r="B278" s="545"/>
      <c r="C278" s="545"/>
      <c r="D278" s="570"/>
      <c r="E278" s="545"/>
      <c r="F278" s="545"/>
    </row>
    <row r="279">
      <c r="A279" s="545"/>
      <c r="B279" s="545"/>
      <c r="C279" s="545"/>
      <c r="D279" s="570"/>
      <c r="E279" s="545"/>
      <c r="F279" s="545"/>
    </row>
    <row r="280">
      <c r="A280" s="545"/>
      <c r="B280" s="545"/>
      <c r="C280" s="545"/>
      <c r="D280" s="570"/>
      <c r="E280" s="545"/>
      <c r="F280" s="545"/>
    </row>
    <row r="281">
      <c r="A281" s="545"/>
      <c r="B281" s="545"/>
      <c r="C281" s="545"/>
      <c r="D281" s="570"/>
      <c r="E281" s="545"/>
      <c r="F281" s="545"/>
    </row>
    <row r="282">
      <c r="A282" s="545"/>
      <c r="B282" s="545"/>
      <c r="C282" s="545"/>
      <c r="D282" s="570"/>
      <c r="E282" s="545"/>
      <c r="F282" s="545"/>
    </row>
    <row r="283">
      <c r="A283" s="545"/>
      <c r="B283" s="545"/>
      <c r="C283" s="545"/>
      <c r="D283" s="570"/>
      <c r="E283" s="545"/>
      <c r="F283" s="545"/>
    </row>
    <row r="284">
      <c r="A284" s="545"/>
      <c r="B284" s="545"/>
      <c r="C284" s="545"/>
      <c r="D284" s="570"/>
      <c r="E284" s="545"/>
      <c r="F284" s="545"/>
    </row>
    <row r="285">
      <c r="A285" s="545"/>
      <c r="B285" s="545"/>
      <c r="C285" s="545"/>
      <c r="D285" s="570"/>
      <c r="E285" s="545"/>
      <c r="F285" s="545"/>
    </row>
    <row r="286">
      <c r="A286" s="545"/>
      <c r="B286" s="545"/>
      <c r="C286" s="545"/>
      <c r="D286" s="570"/>
      <c r="E286" s="545"/>
      <c r="F286" s="545"/>
    </row>
    <row r="287">
      <c r="A287" s="545"/>
      <c r="B287" s="545"/>
      <c r="C287" s="545"/>
      <c r="D287" s="570"/>
      <c r="E287" s="545"/>
      <c r="F287" s="545"/>
    </row>
    <row r="288">
      <c r="A288" s="545"/>
      <c r="B288" s="545"/>
      <c r="C288" s="545"/>
      <c r="D288" s="570"/>
      <c r="E288" s="545"/>
      <c r="F288" s="545"/>
    </row>
    <row r="289">
      <c r="A289" s="545"/>
      <c r="B289" s="545"/>
      <c r="C289" s="545"/>
      <c r="D289" s="570"/>
      <c r="E289" s="545"/>
      <c r="F289" s="545"/>
    </row>
    <row r="290">
      <c r="A290" s="545"/>
      <c r="B290" s="545"/>
      <c r="C290" s="545"/>
      <c r="D290" s="570"/>
      <c r="E290" s="545"/>
      <c r="F290" s="545"/>
    </row>
    <row r="291">
      <c r="A291" s="545"/>
      <c r="B291" s="545"/>
      <c r="C291" s="545"/>
      <c r="D291" s="570"/>
      <c r="E291" s="545"/>
      <c r="F291" s="545"/>
    </row>
    <row r="292">
      <c r="A292" s="545"/>
      <c r="B292" s="545"/>
      <c r="C292" s="545"/>
      <c r="D292" s="570"/>
      <c r="E292" s="545"/>
      <c r="F292" s="545"/>
    </row>
    <row r="293">
      <c r="A293" s="545"/>
      <c r="B293" s="545"/>
      <c r="C293" s="545"/>
      <c r="D293" s="570"/>
      <c r="E293" s="545"/>
      <c r="F293" s="545"/>
    </row>
    <row r="294">
      <c r="A294" s="545"/>
      <c r="B294" s="545"/>
      <c r="C294" s="545"/>
      <c r="D294" s="570"/>
      <c r="E294" s="545"/>
      <c r="F294" s="545"/>
    </row>
    <row r="295">
      <c r="A295" s="545"/>
      <c r="B295" s="545"/>
      <c r="C295" s="545"/>
      <c r="D295" s="570"/>
      <c r="E295" s="545"/>
      <c r="F295" s="545"/>
    </row>
    <row r="296">
      <c r="A296" s="545"/>
      <c r="B296" s="545"/>
      <c r="C296" s="545"/>
      <c r="D296" s="570"/>
      <c r="E296" s="545"/>
      <c r="F296" s="545"/>
    </row>
    <row r="297">
      <c r="A297" s="545"/>
      <c r="B297" s="545"/>
      <c r="C297" s="545"/>
      <c r="D297" s="570"/>
      <c r="E297" s="545"/>
      <c r="F297" s="545"/>
    </row>
    <row r="298">
      <c r="A298" s="545"/>
      <c r="B298" s="545"/>
      <c r="C298" s="545"/>
      <c r="D298" s="570"/>
      <c r="E298" s="545"/>
      <c r="F298" s="545"/>
    </row>
    <row r="299">
      <c r="A299" s="545"/>
      <c r="B299" s="545"/>
      <c r="C299" s="545"/>
      <c r="D299" s="570"/>
      <c r="E299" s="545"/>
      <c r="F299" s="545"/>
    </row>
    <row r="300">
      <c r="A300" s="545"/>
      <c r="B300" s="545"/>
      <c r="C300" s="545"/>
      <c r="D300" s="570"/>
      <c r="E300" s="545"/>
      <c r="F300" s="545"/>
    </row>
    <row r="301">
      <c r="A301" s="545"/>
      <c r="B301" s="545"/>
      <c r="C301" s="545"/>
      <c r="D301" s="570"/>
      <c r="E301" s="545"/>
      <c r="F301" s="545"/>
    </row>
    <row r="302">
      <c r="A302" s="545"/>
      <c r="B302" s="545"/>
      <c r="C302" s="545"/>
      <c r="D302" s="570"/>
      <c r="E302" s="545"/>
      <c r="F302" s="545"/>
    </row>
    <row r="303">
      <c r="A303" s="545"/>
      <c r="B303" s="545"/>
      <c r="C303" s="545"/>
      <c r="D303" s="570"/>
      <c r="E303" s="545"/>
      <c r="F303" s="545"/>
    </row>
    <row r="304">
      <c r="A304" s="545"/>
      <c r="B304" s="545"/>
      <c r="C304" s="545"/>
      <c r="D304" s="570"/>
      <c r="E304" s="545"/>
      <c r="F304" s="545"/>
    </row>
    <row r="305">
      <c r="A305" s="545"/>
      <c r="B305" s="545"/>
      <c r="C305" s="545"/>
      <c r="D305" s="570"/>
      <c r="E305" s="545"/>
      <c r="F305" s="545"/>
    </row>
    <row r="306">
      <c r="A306" s="545"/>
      <c r="B306" s="545"/>
      <c r="C306" s="545"/>
      <c r="D306" s="570"/>
      <c r="E306" s="545"/>
      <c r="F306" s="545"/>
    </row>
    <row r="307">
      <c r="A307" s="545"/>
      <c r="B307" s="545"/>
      <c r="C307" s="545"/>
      <c r="D307" s="570"/>
      <c r="E307" s="545"/>
      <c r="F307" s="545"/>
    </row>
    <row r="308">
      <c r="A308" s="545"/>
      <c r="B308" s="545"/>
      <c r="C308" s="545"/>
      <c r="D308" s="570"/>
      <c r="E308" s="545"/>
      <c r="F308" s="545"/>
    </row>
    <row r="309">
      <c r="A309" s="545"/>
      <c r="B309" s="545"/>
      <c r="C309" s="545"/>
      <c r="D309" s="570"/>
      <c r="E309" s="545"/>
      <c r="F309" s="545"/>
    </row>
    <row r="310">
      <c r="A310" s="545"/>
      <c r="B310" s="545"/>
      <c r="C310" s="545"/>
      <c r="D310" s="570"/>
      <c r="E310" s="545"/>
      <c r="F310" s="545"/>
    </row>
    <row r="311">
      <c r="A311" s="545"/>
      <c r="B311" s="545"/>
      <c r="C311" s="545"/>
      <c r="D311" s="570"/>
      <c r="E311" s="545"/>
      <c r="F311" s="545"/>
    </row>
    <row r="312">
      <c r="A312" s="545"/>
      <c r="B312" s="545"/>
      <c r="C312" s="545"/>
      <c r="D312" s="570"/>
      <c r="E312" s="545"/>
      <c r="F312" s="545"/>
    </row>
    <row r="313">
      <c r="A313" s="545"/>
      <c r="B313" s="545"/>
      <c r="C313" s="545"/>
      <c r="D313" s="570"/>
      <c r="E313" s="545"/>
      <c r="F313" s="545"/>
    </row>
    <row r="314">
      <c r="A314" s="545"/>
      <c r="B314" s="545"/>
      <c r="C314" s="545"/>
      <c r="D314" s="570"/>
      <c r="E314" s="545"/>
      <c r="F314" s="545"/>
    </row>
    <row r="315">
      <c r="A315" s="545"/>
      <c r="B315" s="545"/>
      <c r="C315" s="545"/>
      <c r="D315" s="570"/>
      <c r="E315" s="545"/>
      <c r="F315" s="545"/>
    </row>
    <row r="316">
      <c r="A316" s="545"/>
      <c r="B316" s="545"/>
      <c r="C316" s="545"/>
      <c r="D316" s="570"/>
      <c r="E316" s="545"/>
      <c r="F316" s="545"/>
    </row>
    <row r="317">
      <c r="A317" s="545"/>
      <c r="B317" s="545"/>
      <c r="C317" s="545"/>
      <c r="D317" s="570"/>
      <c r="E317" s="545"/>
      <c r="F317" s="545"/>
    </row>
    <row r="318">
      <c r="A318" s="545"/>
      <c r="B318" s="545"/>
      <c r="C318" s="545"/>
      <c r="D318" s="570"/>
      <c r="E318" s="545"/>
      <c r="F318" s="545"/>
    </row>
    <row r="319">
      <c r="A319" s="545"/>
      <c r="B319" s="545"/>
      <c r="C319" s="545"/>
      <c r="D319" s="570"/>
      <c r="E319" s="545"/>
      <c r="F319" s="545"/>
    </row>
    <row r="320">
      <c r="A320" s="545"/>
      <c r="B320" s="545"/>
      <c r="C320" s="545"/>
      <c r="D320" s="570"/>
      <c r="E320" s="545"/>
      <c r="F320" s="545"/>
    </row>
    <row r="321">
      <c r="A321" s="545"/>
      <c r="B321" s="545"/>
      <c r="C321" s="545"/>
      <c r="D321" s="570"/>
      <c r="E321" s="545"/>
      <c r="F321" s="545"/>
    </row>
    <row r="322">
      <c r="A322" s="545"/>
      <c r="B322" s="545"/>
      <c r="C322" s="545"/>
      <c r="D322" s="570"/>
      <c r="E322" s="545"/>
      <c r="F322" s="545"/>
    </row>
    <row r="323">
      <c r="A323" s="545"/>
      <c r="B323" s="545"/>
      <c r="C323" s="545"/>
      <c r="D323" s="570"/>
      <c r="E323" s="545"/>
      <c r="F323" s="545"/>
    </row>
    <row r="324">
      <c r="A324" s="545"/>
      <c r="B324" s="545"/>
      <c r="C324" s="545"/>
      <c r="D324" s="570"/>
      <c r="E324" s="545"/>
      <c r="F324" s="545"/>
    </row>
    <row r="325">
      <c r="A325" s="545"/>
      <c r="B325" s="545"/>
      <c r="C325" s="545"/>
      <c r="D325" s="570"/>
      <c r="E325" s="545"/>
      <c r="F325" s="545"/>
    </row>
    <row r="326">
      <c r="A326" s="545"/>
      <c r="B326" s="545"/>
      <c r="C326" s="545"/>
      <c r="D326" s="570"/>
      <c r="E326" s="545"/>
      <c r="F326" s="545"/>
    </row>
    <row r="327">
      <c r="A327" s="545"/>
      <c r="B327" s="545"/>
      <c r="C327" s="545"/>
      <c r="D327" s="570"/>
      <c r="E327" s="545"/>
      <c r="F327" s="545"/>
    </row>
    <row r="328">
      <c r="A328" s="545"/>
      <c r="B328" s="545"/>
      <c r="C328" s="545"/>
      <c r="D328" s="570"/>
      <c r="E328" s="545"/>
      <c r="F328" s="545"/>
    </row>
    <row r="329">
      <c r="A329" s="545"/>
      <c r="B329" s="545"/>
      <c r="C329" s="545"/>
      <c r="D329" s="570"/>
      <c r="E329" s="545"/>
      <c r="F329" s="545"/>
    </row>
    <row r="330">
      <c r="A330" s="545"/>
      <c r="B330" s="545"/>
      <c r="C330" s="545"/>
      <c r="D330" s="570"/>
      <c r="E330" s="545"/>
      <c r="F330" s="545"/>
    </row>
    <row r="331">
      <c r="A331" s="545"/>
      <c r="B331" s="545"/>
      <c r="C331" s="545"/>
      <c r="D331" s="570"/>
      <c r="E331" s="545"/>
      <c r="F331" s="545"/>
    </row>
    <row r="332">
      <c r="A332" s="545"/>
      <c r="B332" s="545"/>
      <c r="C332" s="545"/>
      <c r="D332" s="570"/>
      <c r="E332" s="545"/>
      <c r="F332" s="545"/>
    </row>
    <row r="333">
      <c r="A333" s="545"/>
      <c r="B333" s="545"/>
      <c r="C333" s="545"/>
      <c r="D333" s="570"/>
      <c r="E333" s="545"/>
      <c r="F333" s="545"/>
    </row>
    <row r="334">
      <c r="A334" s="545"/>
      <c r="B334" s="545"/>
      <c r="C334" s="545"/>
      <c r="D334" s="570"/>
      <c r="E334" s="545"/>
      <c r="F334" s="545"/>
    </row>
    <row r="335">
      <c r="A335" s="545"/>
      <c r="B335" s="545"/>
      <c r="C335" s="545"/>
      <c r="D335" s="570"/>
      <c r="E335" s="545"/>
      <c r="F335" s="545"/>
    </row>
    <row r="336">
      <c r="A336" s="545"/>
      <c r="B336" s="545"/>
      <c r="C336" s="545"/>
      <c r="D336" s="570"/>
      <c r="E336" s="545"/>
      <c r="F336" s="545"/>
    </row>
    <row r="337">
      <c r="A337" s="545"/>
      <c r="B337" s="545"/>
      <c r="C337" s="545"/>
      <c r="D337" s="570"/>
      <c r="E337" s="545"/>
      <c r="F337" s="545"/>
    </row>
    <row r="338">
      <c r="A338" s="545"/>
      <c r="B338" s="545"/>
      <c r="C338" s="545"/>
      <c r="D338" s="570"/>
      <c r="E338" s="545"/>
      <c r="F338" s="545"/>
    </row>
    <row r="339">
      <c r="A339" s="545"/>
      <c r="B339" s="545"/>
      <c r="C339" s="545"/>
      <c r="D339" s="570"/>
      <c r="E339" s="545"/>
      <c r="F339" s="545"/>
    </row>
    <row r="340">
      <c r="A340" s="545"/>
      <c r="B340" s="545"/>
      <c r="C340" s="545"/>
      <c r="D340" s="570"/>
      <c r="E340" s="545"/>
      <c r="F340" s="545"/>
    </row>
    <row r="341">
      <c r="A341" s="545"/>
      <c r="B341" s="545"/>
      <c r="C341" s="545"/>
      <c r="D341" s="570"/>
      <c r="E341" s="545"/>
      <c r="F341" s="545"/>
    </row>
    <row r="342">
      <c r="A342" s="545"/>
      <c r="B342" s="545"/>
      <c r="C342" s="545"/>
      <c r="D342" s="570"/>
      <c r="E342" s="545"/>
      <c r="F342" s="545"/>
    </row>
    <row r="343">
      <c r="A343" s="545"/>
      <c r="B343" s="545"/>
      <c r="C343" s="545"/>
      <c r="D343" s="570"/>
      <c r="E343" s="545"/>
      <c r="F343" s="545"/>
    </row>
    <row r="344">
      <c r="A344" s="545"/>
      <c r="B344" s="545"/>
      <c r="C344" s="545"/>
      <c r="D344" s="570"/>
      <c r="E344" s="545"/>
      <c r="F344" s="545"/>
    </row>
    <row r="345">
      <c r="A345" s="545"/>
      <c r="B345" s="545"/>
      <c r="C345" s="545"/>
      <c r="D345" s="570"/>
      <c r="E345" s="545"/>
      <c r="F345" s="545"/>
    </row>
    <row r="346">
      <c r="A346" s="545"/>
      <c r="B346" s="545"/>
      <c r="C346" s="545"/>
      <c r="D346" s="570"/>
      <c r="E346" s="545"/>
      <c r="F346" s="545"/>
    </row>
    <row r="347">
      <c r="A347" s="545"/>
      <c r="B347" s="545"/>
      <c r="C347" s="545"/>
      <c r="D347" s="570"/>
      <c r="E347" s="545"/>
      <c r="F347" s="545"/>
    </row>
    <row r="348">
      <c r="A348" s="545"/>
      <c r="B348" s="545"/>
      <c r="C348" s="545"/>
      <c r="D348" s="570"/>
      <c r="E348" s="545"/>
      <c r="F348" s="545"/>
    </row>
    <row r="349">
      <c r="A349" s="545"/>
      <c r="B349" s="545"/>
      <c r="C349" s="545"/>
      <c r="D349" s="570"/>
      <c r="E349" s="545"/>
      <c r="F349" s="545"/>
    </row>
    <row r="350">
      <c r="A350" s="545"/>
      <c r="B350" s="545"/>
      <c r="C350" s="545"/>
      <c r="D350" s="570"/>
      <c r="E350" s="545"/>
      <c r="F350" s="545"/>
    </row>
    <row r="351">
      <c r="A351" s="545"/>
      <c r="B351" s="545"/>
      <c r="C351" s="545"/>
      <c r="D351" s="570"/>
      <c r="E351" s="545"/>
      <c r="F351" s="545"/>
    </row>
    <row r="352">
      <c r="A352" s="545"/>
      <c r="B352" s="545"/>
      <c r="C352" s="545"/>
      <c r="D352" s="570"/>
      <c r="E352" s="545"/>
      <c r="F352" s="545"/>
    </row>
    <row r="353">
      <c r="A353" s="545"/>
      <c r="B353" s="545"/>
      <c r="C353" s="545"/>
      <c r="D353" s="570"/>
      <c r="E353" s="545"/>
      <c r="F353" s="545"/>
    </row>
    <row r="354">
      <c r="A354" s="545"/>
      <c r="B354" s="545"/>
      <c r="C354" s="545"/>
      <c r="D354" s="570"/>
      <c r="E354" s="545"/>
      <c r="F354" s="545"/>
    </row>
    <row r="355">
      <c r="A355" s="545"/>
      <c r="B355" s="545"/>
      <c r="C355" s="545"/>
      <c r="D355" s="570"/>
      <c r="E355" s="545"/>
      <c r="F355" s="545"/>
    </row>
    <row r="356">
      <c r="A356" s="545"/>
      <c r="B356" s="545"/>
      <c r="C356" s="545"/>
      <c r="D356" s="570"/>
      <c r="E356" s="545"/>
      <c r="F356" s="545"/>
    </row>
    <row r="357">
      <c r="A357" s="545"/>
      <c r="B357" s="545"/>
      <c r="C357" s="545"/>
      <c r="D357" s="570"/>
      <c r="E357" s="545"/>
      <c r="F357" s="545"/>
    </row>
    <row r="358">
      <c r="A358" s="545"/>
      <c r="B358" s="545"/>
      <c r="C358" s="545"/>
      <c r="D358" s="570"/>
      <c r="E358" s="545"/>
      <c r="F358" s="545"/>
    </row>
    <row r="359">
      <c r="A359" s="545"/>
      <c r="B359" s="545"/>
      <c r="C359" s="545"/>
      <c r="D359" s="570"/>
      <c r="E359" s="545"/>
      <c r="F359" s="545"/>
    </row>
    <row r="360">
      <c r="A360" s="545"/>
      <c r="B360" s="545"/>
      <c r="C360" s="545"/>
      <c r="D360" s="570"/>
      <c r="E360" s="545"/>
      <c r="F360" s="545"/>
    </row>
    <row r="361">
      <c r="A361" s="545"/>
      <c r="B361" s="545"/>
      <c r="C361" s="545"/>
      <c r="D361" s="570"/>
      <c r="E361" s="545"/>
      <c r="F361" s="545"/>
    </row>
    <row r="362">
      <c r="A362" s="545"/>
      <c r="B362" s="545"/>
      <c r="C362" s="545"/>
      <c r="D362" s="570"/>
      <c r="E362" s="545"/>
      <c r="F362" s="545"/>
    </row>
    <row r="363">
      <c r="A363" s="545"/>
      <c r="B363" s="545"/>
      <c r="C363" s="545"/>
      <c r="D363" s="570"/>
      <c r="E363" s="545"/>
      <c r="F363" s="545"/>
    </row>
    <row r="364">
      <c r="A364" s="545"/>
      <c r="B364" s="545"/>
      <c r="C364" s="545"/>
      <c r="D364" s="570"/>
      <c r="E364" s="545"/>
      <c r="F364" s="545"/>
    </row>
    <row r="365">
      <c r="A365" s="545"/>
      <c r="B365" s="545"/>
      <c r="C365" s="545"/>
      <c r="D365" s="570"/>
      <c r="E365" s="545"/>
      <c r="F365" s="545"/>
    </row>
    <row r="366">
      <c r="A366" s="545"/>
      <c r="B366" s="545"/>
      <c r="C366" s="545"/>
      <c r="D366" s="570"/>
      <c r="E366" s="545"/>
      <c r="F366" s="545"/>
    </row>
    <row r="367">
      <c r="A367" s="545"/>
      <c r="B367" s="545"/>
      <c r="C367" s="545"/>
      <c r="D367" s="570"/>
      <c r="E367" s="545"/>
      <c r="F367" s="545"/>
    </row>
    <row r="368">
      <c r="A368" s="545"/>
      <c r="B368" s="545"/>
      <c r="C368" s="545"/>
      <c r="D368" s="570"/>
      <c r="E368" s="545"/>
      <c r="F368" s="545"/>
    </row>
    <row r="369">
      <c r="A369" s="545"/>
      <c r="B369" s="545"/>
      <c r="C369" s="545"/>
      <c r="D369" s="570"/>
      <c r="E369" s="545"/>
      <c r="F369" s="545"/>
    </row>
    <row r="370">
      <c r="A370" s="545"/>
      <c r="B370" s="545"/>
      <c r="C370" s="545"/>
      <c r="D370" s="570"/>
      <c r="E370" s="545"/>
      <c r="F370" s="545"/>
    </row>
    <row r="371">
      <c r="A371" s="545"/>
      <c r="B371" s="545"/>
      <c r="C371" s="545"/>
      <c r="D371" s="570"/>
      <c r="E371" s="545"/>
      <c r="F371" s="545"/>
    </row>
    <row r="372">
      <c r="A372" s="545"/>
      <c r="B372" s="545"/>
      <c r="C372" s="545"/>
      <c r="D372" s="570"/>
      <c r="E372" s="545"/>
      <c r="F372" s="545"/>
    </row>
    <row r="373">
      <c r="A373" s="545"/>
      <c r="B373" s="545"/>
      <c r="C373" s="545"/>
      <c r="D373" s="570"/>
      <c r="E373" s="545"/>
      <c r="F373" s="545"/>
    </row>
    <row r="374">
      <c r="A374" s="545"/>
      <c r="B374" s="545"/>
      <c r="C374" s="545"/>
      <c r="D374" s="570"/>
      <c r="E374" s="545"/>
      <c r="F374" s="545"/>
    </row>
    <row r="375">
      <c r="A375" s="545"/>
      <c r="B375" s="545"/>
      <c r="C375" s="545"/>
      <c r="D375" s="570"/>
      <c r="E375" s="545"/>
      <c r="F375" s="545"/>
    </row>
    <row r="376">
      <c r="A376" s="545"/>
      <c r="B376" s="545"/>
      <c r="C376" s="545"/>
      <c r="D376" s="570"/>
      <c r="E376" s="545"/>
      <c r="F376" s="545"/>
    </row>
    <row r="377">
      <c r="A377" s="545"/>
      <c r="B377" s="545"/>
      <c r="C377" s="545"/>
      <c r="D377" s="570"/>
      <c r="E377" s="545"/>
      <c r="F377" s="545"/>
    </row>
    <row r="378">
      <c r="A378" s="545"/>
      <c r="B378" s="545"/>
      <c r="C378" s="545"/>
      <c r="D378" s="570"/>
      <c r="E378" s="545"/>
      <c r="F378" s="545"/>
    </row>
    <row r="379">
      <c r="A379" s="545"/>
      <c r="B379" s="545"/>
      <c r="C379" s="545"/>
      <c r="D379" s="570"/>
      <c r="E379" s="545"/>
      <c r="F379" s="545"/>
    </row>
    <row r="380">
      <c r="A380" s="545"/>
      <c r="B380" s="545"/>
      <c r="C380" s="545"/>
      <c r="D380" s="570"/>
      <c r="E380" s="545"/>
      <c r="F380" s="545"/>
    </row>
    <row r="381">
      <c r="A381" s="545"/>
      <c r="B381" s="545"/>
      <c r="C381" s="545"/>
      <c r="D381" s="570"/>
      <c r="E381" s="545"/>
      <c r="F381" s="545"/>
    </row>
    <row r="382">
      <c r="A382" s="545"/>
      <c r="B382" s="545"/>
      <c r="C382" s="545"/>
      <c r="D382" s="570"/>
      <c r="E382" s="545"/>
      <c r="F382" s="545"/>
    </row>
    <row r="383">
      <c r="A383" s="545"/>
      <c r="B383" s="545"/>
      <c r="C383" s="545"/>
      <c r="D383" s="570"/>
      <c r="E383" s="545"/>
      <c r="F383" s="545"/>
    </row>
    <row r="384">
      <c r="A384" s="545"/>
      <c r="B384" s="545"/>
      <c r="C384" s="545"/>
      <c r="D384" s="570"/>
      <c r="E384" s="545"/>
      <c r="F384" s="545"/>
    </row>
    <row r="385">
      <c r="A385" s="545"/>
      <c r="B385" s="545"/>
      <c r="C385" s="545"/>
      <c r="D385" s="570"/>
      <c r="E385" s="545"/>
      <c r="F385" s="545"/>
    </row>
    <row r="386">
      <c r="A386" s="545"/>
      <c r="B386" s="545"/>
      <c r="C386" s="545"/>
      <c r="D386" s="570"/>
      <c r="E386" s="545"/>
      <c r="F386" s="545"/>
    </row>
    <row r="387">
      <c r="A387" s="545"/>
      <c r="B387" s="545"/>
      <c r="C387" s="545"/>
      <c r="D387" s="570"/>
      <c r="E387" s="545"/>
      <c r="F387" s="545"/>
    </row>
    <row r="388">
      <c r="A388" s="545"/>
      <c r="B388" s="545"/>
      <c r="C388" s="545"/>
      <c r="D388" s="570"/>
      <c r="E388" s="545"/>
      <c r="F388" s="545"/>
    </row>
    <row r="389">
      <c r="A389" s="545"/>
      <c r="B389" s="545"/>
      <c r="C389" s="545"/>
      <c r="D389" s="570"/>
      <c r="E389" s="545"/>
      <c r="F389" s="545"/>
    </row>
    <row r="390">
      <c r="A390" s="545"/>
      <c r="B390" s="545"/>
      <c r="C390" s="545"/>
      <c r="D390" s="570"/>
      <c r="E390" s="545"/>
      <c r="F390" s="545"/>
    </row>
    <row r="391">
      <c r="A391" s="545"/>
      <c r="B391" s="545"/>
      <c r="C391" s="545"/>
      <c r="D391" s="570"/>
      <c r="E391" s="545"/>
      <c r="F391" s="545"/>
    </row>
    <row r="392">
      <c r="A392" s="545"/>
      <c r="B392" s="545"/>
      <c r="C392" s="545"/>
      <c r="D392" s="570"/>
      <c r="E392" s="545"/>
      <c r="F392" s="545"/>
    </row>
    <row r="393">
      <c r="A393" s="545"/>
      <c r="B393" s="545"/>
      <c r="C393" s="545"/>
      <c r="D393" s="570"/>
      <c r="E393" s="545"/>
      <c r="F393" s="545"/>
    </row>
    <row r="394">
      <c r="A394" s="545"/>
      <c r="B394" s="545"/>
      <c r="C394" s="545"/>
      <c r="D394" s="570"/>
      <c r="E394" s="545"/>
      <c r="F394" s="545"/>
    </row>
    <row r="395">
      <c r="A395" s="545"/>
      <c r="B395" s="545"/>
      <c r="C395" s="545"/>
      <c r="D395" s="570"/>
      <c r="E395" s="545"/>
      <c r="F395" s="545"/>
    </row>
    <row r="396">
      <c r="A396" s="545"/>
      <c r="B396" s="545"/>
      <c r="C396" s="545"/>
      <c r="D396" s="570"/>
      <c r="E396" s="545"/>
      <c r="F396" s="545"/>
    </row>
    <row r="397">
      <c r="A397" s="545"/>
      <c r="B397" s="545"/>
      <c r="C397" s="545"/>
      <c r="D397" s="570"/>
      <c r="E397" s="545"/>
      <c r="F397" s="545"/>
    </row>
    <row r="398">
      <c r="A398" s="545"/>
      <c r="B398" s="545"/>
      <c r="C398" s="545"/>
      <c r="D398" s="570"/>
      <c r="E398" s="545"/>
      <c r="F398" s="545"/>
    </row>
    <row r="399">
      <c r="A399" s="545"/>
      <c r="B399" s="545"/>
      <c r="C399" s="545"/>
      <c r="D399" s="570"/>
      <c r="E399" s="545"/>
      <c r="F399" s="545"/>
    </row>
    <row r="400">
      <c r="A400" s="545"/>
      <c r="B400" s="545"/>
      <c r="C400" s="545"/>
      <c r="D400" s="570"/>
      <c r="E400" s="545"/>
      <c r="F400" s="545"/>
    </row>
    <row r="401">
      <c r="A401" s="545"/>
      <c r="B401" s="545"/>
      <c r="C401" s="545"/>
      <c r="D401" s="570"/>
      <c r="E401" s="545"/>
      <c r="F401" s="545"/>
    </row>
    <row r="402">
      <c r="A402" s="545"/>
      <c r="B402" s="545"/>
      <c r="C402" s="545"/>
      <c r="D402" s="570"/>
      <c r="E402" s="545"/>
      <c r="F402" s="545"/>
    </row>
    <row r="403">
      <c r="A403" s="545"/>
      <c r="B403" s="545"/>
      <c r="C403" s="545"/>
      <c r="D403" s="570"/>
      <c r="E403" s="545"/>
      <c r="F403" s="545"/>
    </row>
    <row r="404">
      <c r="A404" s="545"/>
      <c r="B404" s="545"/>
      <c r="C404" s="545"/>
      <c r="D404" s="570"/>
      <c r="E404" s="545"/>
      <c r="F404" s="545"/>
    </row>
    <row r="405">
      <c r="A405" s="545"/>
      <c r="B405" s="545"/>
      <c r="C405" s="545"/>
      <c r="D405" s="570"/>
      <c r="E405" s="545"/>
      <c r="F405" s="545"/>
    </row>
    <row r="406">
      <c r="A406" s="545"/>
      <c r="B406" s="545"/>
      <c r="C406" s="545"/>
      <c r="D406" s="570"/>
      <c r="E406" s="545"/>
      <c r="F406" s="545"/>
    </row>
    <row r="407">
      <c r="A407" s="545"/>
      <c r="B407" s="545"/>
      <c r="C407" s="545"/>
      <c r="D407" s="570"/>
      <c r="E407" s="545"/>
      <c r="F407" s="545"/>
    </row>
    <row r="408">
      <c r="A408" s="545"/>
      <c r="B408" s="545"/>
      <c r="C408" s="545"/>
      <c r="D408" s="570"/>
      <c r="E408" s="545"/>
      <c r="F408" s="545"/>
    </row>
    <row r="409">
      <c r="A409" s="545"/>
      <c r="B409" s="545"/>
      <c r="C409" s="545"/>
      <c r="D409" s="570"/>
      <c r="E409" s="545"/>
      <c r="F409" s="545"/>
    </row>
    <row r="410">
      <c r="A410" s="545"/>
      <c r="B410" s="545"/>
      <c r="C410" s="545"/>
      <c r="D410" s="570"/>
      <c r="E410" s="545"/>
      <c r="F410" s="545"/>
    </row>
    <row r="411">
      <c r="A411" s="545"/>
      <c r="B411" s="545"/>
      <c r="C411" s="545"/>
      <c r="D411" s="570"/>
      <c r="E411" s="545"/>
      <c r="F411" s="545"/>
    </row>
    <row r="412">
      <c r="A412" s="545"/>
      <c r="B412" s="545"/>
      <c r="C412" s="545"/>
      <c r="D412" s="570"/>
      <c r="E412" s="545"/>
      <c r="F412" s="545"/>
    </row>
    <row r="413">
      <c r="A413" s="545"/>
      <c r="B413" s="545"/>
      <c r="C413" s="545"/>
      <c r="D413" s="570"/>
      <c r="E413" s="545"/>
      <c r="F413" s="545"/>
    </row>
    <row r="414">
      <c r="A414" s="545"/>
      <c r="B414" s="545"/>
      <c r="C414" s="545"/>
      <c r="D414" s="570"/>
      <c r="E414" s="545"/>
      <c r="F414" s="545"/>
    </row>
    <row r="415">
      <c r="A415" s="545"/>
      <c r="B415" s="545"/>
      <c r="C415" s="545"/>
      <c r="D415" s="570"/>
      <c r="E415" s="545"/>
      <c r="F415" s="545"/>
    </row>
    <row r="416">
      <c r="A416" s="545"/>
      <c r="B416" s="545"/>
      <c r="C416" s="545"/>
      <c r="D416" s="570"/>
      <c r="E416" s="545"/>
      <c r="F416" s="545"/>
    </row>
    <row r="417">
      <c r="A417" s="545"/>
      <c r="B417" s="545"/>
      <c r="C417" s="545"/>
      <c r="D417" s="570"/>
      <c r="E417" s="545"/>
      <c r="F417" s="545"/>
    </row>
    <row r="418">
      <c r="A418" s="545"/>
      <c r="B418" s="545"/>
      <c r="C418" s="545"/>
      <c r="D418" s="570"/>
      <c r="E418" s="545"/>
      <c r="F418" s="545"/>
    </row>
    <row r="419">
      <c r="A419" s="545"/>
      <c r="B419" s="545"/>
      <c r="C419" s="545"/>
      <c r="D419" s="570"/>
      <c r="E419" s="545"/>
      <c r="F419" s="545"/>
    </row>
    <row r="420">
      <c r="A420" s="545"/>
      <c r="B420" s="545"/>
      <c r="C420" s="545"/>
      <c r="D420" s="570"/>
      <c r="E420" s="545"/>
      <c r="F420" s="545"/>
    </row>
    <row r="421">
      <c r="A421" s="545"/>
      <c r="B421" s="545"/>
      <c r="C421" s="545"/>
      <c r="D421" s="570"/>
      <c r="E421" s="545"/>
      <c r="F421" s="545"/>
    </row>
    <row r="422">
      <c r="A422" s="545"/>
      <c r="B422" s="545"/>
      <c r="C422" s="545"/>
      <c r="D422" s="570"/>
      <c r="E422" s="545"/>
      <c r="F422" s="545"/>
    </row>
    <row r="423">
      <c r="A423" s="545"/>
      <c r="B423" s="545"/>
      <c r="C423" s="545"/>
      <c r="D423" s="570"/>
      <c r="E423" s="545"/>
      <c r="F423" s="545"/>
    </row>
    <row r="424">
      <c r="A424" s="545"/>
      <c r="B424" s="545"/>
      <c r="C424" s="545"/>
      <c r="D424" s="570"/>
      <c r="E424" s="545"/>
      <c r="F424" s="545"/>
    </row>
    <row r="425">
      <c r="A425" s="545"/>
      <c r="B425" s="545"/>
      <c r="C425" s="545"/>
      <c r="D425" s="570"/>
      <c r="E425" s="545"/>
      <c r="F425" s="545"/>
    </row>
    <row r="426">
      <c r="A426" s="545"/>
      <c r="B426" s="545"/>
      <c r="C426" s="545"/>
      <c r="D426" s="570"/>
      <c r="E426" s="545"/>
      <c r="F426" s="545"/>
    </row>
    <row r="427">
      <c r="A427" s="545"/>
      <c r="B427" s="545"/>
      <c r="C427" s="545"/>
      <c r="D427" s="570"/>
      <c r="E427" s="545"/>
      <c r="F427" s="545"/>
    </row>
    <row r="428">
      <c r="A428" s="545"/>
      <c r="B428" s="545"/>
      <c r="C428" s="545"/>
      <c r="D428" s="570"/>
      <c r="E428" s="545"/>
      <c r="F428" s="545"/>
    </row>
    <row r="429">
      <c r="A429" s="545"/>
      <c r="B429" s="545"/>
      <c r="C429" s="545"/>
      <c r="D429" s="570"/>
      <c r="E429" s="545"/>
      <c r="F429" s="545"/>
    </row>
    <row r="430">
      <c r="A430" s="545"/>
      <c r="B430" s="545"/>
      <c r="C430" s="545"/>
      <c r="D430" s="570"/>
      <c r="E430" s="545"/>
      <c r="F430" s="545"/>
    </row>
    <row r="431">
      <c r="A431" s="545"/>
      <c r="B431" s="545"/>
      <c r="C431" s="545"/>
      <c r="D431" s="570"/>
      <c r="E431" s="545"/>
      <c r="F431" s="545"/>
    </row>
    <row r="432">
      <c r="A432" s="545"/>
      <c r="B432" s="545"/>
      <c r="C432" s="545"/>
      <c r="D432" s="570"/>
      <c r="E432" s="545"/>
      <c r="F432" s="545"/>
    </row>
    <row r="433">
      <c r="A433" s="545"/>
      <c r="B433" s="545"/>
      <c r="C433" s="545"/>
      <c r="D433" s="570"/>
      <c r="E433" s="545"/>
      <c r="F433" s="545"/>
    </row>
    <row r="434">
      <c r="A434" s="545"/>
      <c r="B434" s="545"/>
      <c r="C434" s="545"/>
      <c r="D434" s="570"/>
      <c r="E434" s="545"/>
      <c r="F434" s="545"/>
    </row>
    <row r="435">
      <c r="A435" s="545"/>
      <c r="B435" s="545"/>
      <c r="C435" s="545"/>
      <c r="D435" s="570"/>
      <c r="E435" s="545"/>
      <c r="F435" s="545"/>
    </row>
    <row r="436">
      <c r="A436" s="545"/>
      <c r="B436" s="545"/>
      <c r="C436" s="545"/>
      <c r="D436" s="570"/>
      <c r="E436" s="545"/>
      <c r="F436" s="545"/>
    </row>
    <row r="437">
      <c r="A437" s="545"/>
      <c r="B437" s="545"/>
      <c r="C437" s="545"/>
      <c r="D437" s="570"/>
      <c r="E437" s="545"/>
      <c r="F437" s="545"/>
    </row>
    <row r="438">
      <c r="A438" s="545"/>
      <c r="B438" s="545"/>
      <c r="C438" s="545"/>
      <c r="D438" s="570"/>
      <c r="E438" s="545"/>
      <c r="F438" s="545"/>
    </row>
    <row r="439">
      <c r="A439" s="545"/>
      <c r="B439" s="545"/>
      <c r="C439" s="545"/>
      <c r="D439" s="570"/>
      <c r="E439" s="545"/>
      <c r="F439" s="545"/>
    </row>
    <row r="440">
      <c r="A440" s="545"/>
      <c r="B440" s="545"/>
      <c r="C440" s="545"/>
      <c r="D440" s="570"/>
      <c r="E440" s="545"/>
      <c r="F440" s="545"/>
    </row>
    <row r="441">
      <c r="A441" s="545"/>
      <c r="B441" s="545"/>
      <c r="C441" s="545"/>
      <c r="D441" s="570"/>
      <c r="E441" s="545"/>
      <c r="F441" s="545"/>
    </row>
    <row r="442">
      <c r="A442" s="545"/>
      <c r="B442" s="545"/>
      <c r="C442" s="545"/>
      <c r="D442" s="570"/>
      <c r="E442" s="545"/>
      <c r="F442" s="545"/>
    </row>
    <row r="443">
      <c r="A443" s="545"/>
      <c r="B443" s="545"/>
      <c r="C443" s="545"/>
      <c r="D443" s="570"/>
      <c r="E443" s="545"/>
      <c r="F443" s="545"/>
    </row>
    <row r="444">
      <c r="A444" s="545"/>
      <c r="B444" s="545"/>
      <c r="C444" s="545"/>
      <c r="D444" s="570"/>
      <c r="E444" s="545"/>
      <c r="F444" s="545"/>
    </row>
    <row r="445">
      <c r="A445" s="545"/>
      <c r="B445" s="545"/>
      <c r="C445" s="545"/>
      <c r="D445" s="570"/>
      <c r="E445" s="545"/>
      <c r="F445" s="545"/>
    </row>
    <row r="446">
      <c r="A446" s="545"/>
      <c r="B446" s="545"/>
      <c r="C446" s="545"/>
      <c r="D446" s="570"/>
      <c r="E446" s="545"/>
      <c r="F446" s="545"/>
    </row>
    <row r="447">
      <c r="A447" s="545"/>
      <c r="B447" s="545"/>
      <c r="C447" s="545"/>
      <c r="D447" s="570"/>
      <c r="E447" s="545"/>
      <c r="F447" s="545"/>
    </row>
    <row r="448">
      <c r="A448" s="545"/>
      <c r="B448" s="545"/>
      <c r="C448" s="545"/>
      <c r="D448" s="570"/>
      <c r="E448" s="545"/>
      <c r="F448" s="545"/>
    </row>
    <row r="449">
      <c r="A449" s="545"/>
      <c r="B449" s="545"/>
      <c r="C449" s="545"/>
      <c r="D449" s="570"/>
      <c r="E449" s="545"/>
      <c r="F449" s="545"/>
    </row>
    <row r="450">
      <c r="A450" s="545"/>
      <c r="B450" s="545"/>
      <c r="C450" s="545"/>
      <c r="D450" s="570"/>
      <c r="E450" s="545"/>
      <c r="F450" s="545"/>
    </row>
    <row r="451">
      <c r="A451" s="545"/>
      <c r="B451" s="545"/>
      <c r="C451" s="545"/>
      <c r="D451" s="570"/>
      <c r="E451" s="545"/>
      <c r="F451" s="545"/>
    </row>
    <row r="452">
      <c r="A452" s="545"/>
      <c r="B452" s="545"/>
      <c r="C452" s="545"/>
      <c r="D452" s="570"/>
      <c r="E452" s="545"/>
      <c r="F452" s="545"/>
    </row>
    <row r="453">
      <c r="A453" s="545"/>
      <c r="B453" s="545"/>
      <c r="C453" s="545"/>
      <c r="D453" s="570"/>
      <c r="E453" s="545"/>
      <c r="F453" s="545"/>
    </row>
    <row r="454">
      <c r="A454" s="545"/>
      <c r="B454" s="545"/>
      <c r="C454" s="545"/>
      <c r="D454" s="570"/>
      <c r="E454" s="545"/>
      <c r="F454" s="545"/>
    </row>
    <row r="455">
      <c r="A455" s="545"/>
      <c r="B455" s="545"/>
      <c r="C455" s="545"/>
      <c r="D455" s="570"/>
      <c r="E455" s="545"/>
      <c r="F455" s="545"/>
    </row>
    <row r="456">
      <c r="A456" s="545"/>
      <c r="B456" s="545"/>
      <c r="C456" s="545"/>
      <c r="D456" s="570"/>
      <c r="E456" s="545"/>
      <c r="F456" s="545"/>
    </row>
    <row r="457">
      <c r="A457" s="545"/>
      <c r="B457" s="545"/>
      <c r="C457" s="545"/>
      <c r="D457" s="570"/>
      <c r="E457" s="545"/>
      <c r="F457" s="545"/>
    </row>
    <row r="458">
      <c r="A458" s="545"/>
      <c r="B458" s="545"/>
      <c r="C458" s="545"/>
      <c r="D458" s="570"/>
      <c r="E458" s="545"/>
      <c r="F458" s="545"/>
    </row>
    <row r="459">
      <c r="A459" s="545"/>
      <c r="B459" s="545"/>
      <c r="C459" s="545"/>
      <c r="D459" s="570"/>
      <c r="E459" s="545"/>
      <c r="F459" s="545"/>
    </row>
    <row r="460">
      <c r="A460" s="545"/>
      <c r="B460" s="545"/>
      <c r="C460" s="545"/>
      <c r="D460" s="570"/>
      <c r="E460" s="545"/>
      <c r="F460" s="545"/>
    </row>
    <row r="461">
      <c r="A461" s="545"/>
      <c r="B461" s="545"/>
      <c r="C461" s="545"/>
      <c r="D461" s="570"/>
      <c r="E461" s="545"/>
      <c r="F461" s="545"/>
    </row>
    <row r="462">
      <c r="A462" s="545"/>
      <c r="B462" s="545"/>
      <c r="C462" s="545"/>
      <c r="D462" s="570"/>
      <c r="E462" s="545"/>
      <c r="F462" s="545"/>
    </row>
    <row r="463">
      <c r="A463" s="545"/>
      <c r="B463" s="545"/>
      <c r="C463" s="545"/>
      <c r="D463" s="570"/>
      <c r="E463" s="545"/>
      <c r="F463" s="545"/>
    </row>
    <row r="464">
      <c r="A464" s="545"/>
      <c r="B464" s="545"/>
      <c r="C464" s="545"/>
      <c r="D464" s="570"/>
      <c r="E464" s="545"/>
      <c r="F464" s="545"/>
    </row>
    <row r="465">
      <c r="A465" s="545"/>
      <c r="B465" s="545"/>
      <c r="C465" s="545"/>
      <c r="D465" s="570"/>
      <c r="E465" s="545"/>
      <c r="F465" s="545"/>
    </row>
    <row r="466">
      <c r="A466" s="545"/>
      <c r="B466" s="545"/>
      <c r="C466" s="545"/>
      <c r="D466" s="570"/>
      <c r="E466" s="545"/>
      <c r="F466" s="545"/>
    </row>
    <row r="467">
      <c r="A467" s="545"/>
      <c r="B467" s="545"/>
      <c r="C467" s="545"/>
      <c r="D467" s="570"/>
      <c r="E467" s="545"/>
      <c r="F467" s="545"/>
    </row>
    <row r="468">
      <c r="A468" s="545"/>
      <c r="B468" s="545"/>
      <c r="C468" s="545"/>
      <c r="D468" s="570"/>
      <c r="E468" s="545"/>
      <c r="F468" s="545"/>
    </row>
    <row r="469">
      <c r="A469" s="545"/>
      <c r="B469" s="545"/>
      <c r="C469" s="545"/>
      <c r="D469" s="570"/>
      <c r="E469" s="545"/>
      <c r="F469" s="545"/>
    </row>
    <row r="470">
      <c r="A470" s="545"/>
      <c r="B470" s="545"/>
      <c r="C470" s="545"/>
      <c r="D470" s="570"/>
      <c r="E470" s="545"/>
      <c r="F470" s="545"/>
    </row>
    <row r="471">
      <c r="A471" s="545"/>
      <c r="B471" s="545"/>
      <c r="C471" s="545"/>
      <c r="D471" s="570"/>
      <c r="E471" s="545"/>
      <c r="F471" s="545"/>
    </row>
    <row r="472">
      <c r="A472" s="545"/>
      <c r="B472" s="545"/>
      <c r="C472" s="545"/>
      <c r="D472" s="570"/>
      <c r="E472" s="545"/>
      <c r="F472" s="545"/>
    </row>
    <row r="473">
      <c r="A473" s="545"/>
      <c r="B473" s="545"/>
      <c r="C473" s="545"/>
      <c r="D473" s="570"/>
      <c r="E473" s="545"/>
      <c r="F473" s="545"/>
    </row>
    <row r="474">
      <c r="A474" s="545"/>
      <c r="B474" s="545"/>
      <c r="C474" s="545"/>
      <c r="D474" s="570"/>
      <c r="E474" s="545"/>
      <c r="F474" s="545"/>
    </row>
    <row r="475">
      <c r="A475" s="545"/>
      <c r="B475" s="545"/>
      <c r="C475" s="545"/>
      <c r="D475" s="570"/>
      <c r="E475" s="545"/>
      <c r="F475" s="545"/>
    </row>
    <row r="476">
      <c r="A476" s="545"/>
      <c r="B476" s="545"/>
      <c r="C476" s="545"/>
      <c r="D476" s="570"/>
      <c r="E476" s="545"/>
      <c r="F476" s="545"/>
    </row>
    <row r="477">
      <c r="A477" s="545"/>
      <c r="B477" s="545"/>
      <c r="C477" s="545"/>
      <c r="D477" s="570"/>
      <c r="E477" s="545"/>
      <c r="F477" s="545"/>
    </row>
    <row r="478">
      <c r="A478" s="545"/>
      <c r="B478" s="545"/>
      <c r="C478" s="545"/>
      <c r="D478" s="570"/>
      <c r="E478" s="545"/>
      <c r="F478" s="545"/>
    </row>
    <row r="479">
      <c r="A479" s="545"/>
      <c r="B479" s="545"/>
      <c r="C479" s="545"/>
      <c r="D479" s="570"/>
      <c r="E479" s="545"/>
      <c r="F479" s="545"/>
    </row>
    <row r="480">
      <c r="A480" s="545"/>
      <c r="B480" s="545"/>
      <c r="C480" s="545"/>
      <c r="D480" s="570"/>
      <c r="E480" s="545"/>
      <c r="F480" s="545"/>
    </row>
    <row r="481">
      <c r="A481" s="545"/>
      <c r="B481" s="545"/>
      <c r="C481" s="545"/>
      <c r="D481" s="570"/>
      <c r="E481" s="545"/>
      <c r="F481" s="545"/>
    </row>
    <row r="482">
      <c r="A482" s="545"/>
      <c r="B482" s="545"/>
      <c r="C482" s="545"/>
      <c r="D482" s="570"/>
      <c r="E482" s="545"/>
      <c r="F482" s="545"/>
    </row>
    <row r="483">
      <c r="A483" s="545"/>
      <c r="B483" s="545"/>
      <c r="C483" s="545"/>
      <c r="D483" s="570"/>
      <c r="E483" s="545"/>
      <c r="F483" s="545"/>
    </row>
    <row r="484">
      <c r="A484" s="545"/>
      <c r="B484" s="545"/>
      <c r="C484" s="545"/>
      <c r="D484" s="570"/>
      <c r="E484" s="545"/>
      <c r="F484" s="545"/>
    </row>
    <row r="485">
      <c r="A485" s="545"/>
      <c r="B485" s="545"/>
      <c r="C485" s="545"/>
      <c r="D485" s="570"/>
      <c r="E485" s="545"/>
      <c r="F485" s="545"/>
    </row>
    <row r="486">
      <c r="A486" s="545"/>
      <c r="B486" s="545"/>
      <c r="C486" s="545"/>
      <c r="D486" s="570"/>
      <c r="E486" s="545"/>
      <c r="F486" s="545"/>
    </row>
    <row r="487">
      <c r="A487" s="545"/>
      <c r="B487" s="545"/>
      <c r="C487" s="545"/>
      <c r="D487" s="570"/>
      <c r="E487" s="545"/>
      <c r="F487" s="545"/>
    </row>
    <row r="488">
      <c r="A488" s="545"/>
      <c r="B488" s="545"/>
      <c r="C488" s="545"/>
      <c r="D488" s="570"/>
      <c r="E488" s="545"/>
      <c r="F488" s="545"/>
    </row>
    <row r="489">
      <c r="A489" s="545"/>
      <c r="B489" s="545"/>
      <c r="C489" s="545"/>
      <c r="D489" s="570"/>
      <c r="E489" s="545"/>
      <c r="F489" s="545"/>
    </row>
    <row r="490">
      <c r="A490" s="545"/>
      <c r="B490" s="545"/>
      <c r="C490" s="545"/>
      <c r="D490" s="570"/>
      <c r="E490" s="545"/>
      <c r="F490" s="545"/>
    </row>
    <row r="491">
      <c r="A491" s="545"/>
      <c r="B491" s="545"/>
      <c r="C491" s="545"/>
      <c r="D491" s="570"/>
      <c r="E491" s="545"/>
      <c r="F491" s="545"/>
    </row>
    <row r="492">
      <c r="A492" s="545"/>
      <c r="B492" s="545"/>
      <c r="C492" s="545"/>
      <c r="D492" s="570"/>
      <c r="E492" s="545"/>
      <c r="F492" s="545"/>
    </row>
    <row r="493">
      <c r="A493" s="545"/>
      <c r="B493" s="545"/>
      <c r="C493" s="545"/>
      <c r="D493" s="570"/>
      <c r="E493" s="545"/>
      <c r="F493" s="545"/>
    </row>
    <row r="494">
      <c r="A494" s="545"/>
      <c r="B494" s="545"/>
      <c r="C494" s="545"/>
      <c r="D494" s="570"/>
      <c r="E494" s="545"/>
      <c r="F494" s="545"/>
    </row>
    <row r="495">
      <c r="A495" s="545"/>
      <c r="B495" s="545"/>
      <c r="C495" s="545"/>
      <c r="D495" s="570"/>
      <c r="E495" s="545"/>
      <c r="F495" s="545"/>
    </row>
    <row r="496">
      <c r="A496" s="545"/>
      <c r="B496" s="545"/>
      <c r="C496" s="545"/>
      <c r="D496" s="570"/>
      <c r="E496" s="545"/>
      <c r="F496" s="545"/>
    </row>
    <row r="497">
      <c r="A497" s="545"/>
      <c r="B497" s="545"/>
      <c r="C497" s="545"/>
      <c r="D497" s="570"/>
      <c r="E497" s="545"/>
      <c r="F497" s="545"/>
    </row>
    <row r="498">
      <c r="A498" s="545"/>
      <c r="B498" s="545"/>
      <c r="C498" s="545"/>
      <c r="D498" s="570"/>
      <c r="E498" s="545"/>
      <c r="F498" s="545"/>
    </row>
    <row r="499">
      <c r="A499" s="545"/>
      <c r="B499" s="545"/>
      <c r="C499" s="545"/>
      <c r="D499" s="570"/>
      <c r="E499" s="545"/>
      <c r="F499" s="545"/>
    </row>
    <row r="500">
      <c r="A500" s="545"/>
      <c r="B500" s="545"/>
      <c r="C500" s="545"/>
      <c r="D500" s="570"/>
      <c r="E500" s="545"/>
      <c r="F500" s="545"/>
    </row>
    <row r="501">
      <c r="A501" s="545"/>
      <c r="B501" s="545"/>
      <c r="C501" s="545"/>
      <c r="D501" s="570"/>
      <c r="E501" s="545"/>
      <c r="F501" s="545"/>
    </row>
    <row r="502">
      <c r="A502" s="545"/>
      <c r="B502" s="545"/>
      <c r="C502" s="545"/>
      <c r="D502" s="570"/>
      <c r="E502" s="545"/>
      <c r="F502" s="545"/>
    </row>
    <row r="503">
      <c r="A503" s="545"/>
      <c r="B503" s="545"/>
      <c r="C503" s="545"/>
      <c r="D503" s="570"/>
      <c r="E503" s="545"/>
      <c r="F503" s="545"/>
    </row>
    <row r="504">
      <c r="A504" s="545"/>
      <c r="B504" s="545"/>
      <c r="C504" s="545"/>
      <c r="D504" s="570"/>
      <c r="E504" s="545"/>
      <c r="F504" s="545"/>
    </row>
    <row r="505">
      <c r="A505" s="545"/>
      <c r="B505" s="545"/>
      <c r="C505" s="545"/>
      <c r="D505" s="570"/>
      <c r="E505" s="545"/>
      <c r="F505" s="545"/>
    </row>
    <row r="506">
      <c r="A506" s="545"/>
      <c r="B506" s="545"/>
      <c r="C506" s="545"/>
      <c r="D506" s="570"/>
      <c r="E506" s="545"/>
      <c r="F506" s="545"/>
    </row>
    <row r="507">
      <c r="A507" s="545"/>
      <c r="B507" s="545"/>
      <c r="C507" s="545"/>
      <c r="D507" s="570"/>
      <c r="E507" s="545"/>
      <c r="F507" s="545"/>
    </row>
    <row r="508">
      <c r="A508" s="545"/>
      <c r="B508" s="545"/>
      <c r="C508" s="545"/>
      <c r="D508" s="570"/>
      <c r="E508" s="545"/>
      <c r="F508" s="545"/>
    </row>
    <row r="509">
      <c r="A509" s="545"/>
      <c r="B509" s="545"/>
      <c r="C509" s="545"/>
      <c r="D509" s="570"/>
      <c r="E509" s="545"/>
      <c r="F509" s="545"/>
    </row>
    <row r="510">
      <c r="A510" s="545"/>
      <c r="B510" s="545"/>
      <c r="C510" s="545"/>
      <c r="D510" s="570"/>
      <c r="E510" s="545"/>
      <c r="F510" s="545"/>
    </row>
    <row r="511">
      <c r="A511" s="545"/>
      <c r="B511" s="545"/>
      <c r="C511" s="545"/>
      <c r="D511" s="570"/>
      <c r="E511" s="545"/>
      <c r="F511" s="545"/>
    </row>
    <row r="512">
      <c r="A512" s="545"/>
      <c r="B512" s="545"/>
      <c r="C512" s="545"/>
      <c r="D512" s="570"/>
      <c r="E512" s="545"/>
      <c r="F512" s="545"/>
    </row>
    <row r="513">
      <c r="A513" s="545"/>
      <c r="B513" s="545"/>
      <c r="C513" s="545"/>
      <c r="D513" s="570"/>
      <c r="E513" s="545"/>
      <c r="F513" s="545"/>
    </row>
    <row r="514">
      <c r="A514" s="545"/>
      <c r="B514" s="545"/>
      <c r="C514" s="545"/>
      <c r="D514" s="570"/>
      <c r="E514" s="545"/>
      <c r="F514" s="545"/>
    </row>
    <row r="515">
      <c r="A515" s="545"/>
      <c r="B515" s="545"/>
      <c r="C515" s="545"/>
      <c r="D515" s="570"/>
      <c r="E515" s="545"/>
      <c r="F515" s="545"/>
    </row>
    <row r="516">
      <c r="A516" s="545"/>
      <c r="B516" s="545"/>
      <c r="C516" s="545"/>
      <c r="D516" s="570"/>
      <c r="E516" s="545"/>
      <c r="F516" s="545"/>
    </row>
    <row r="517">
      <c r="A517" s="545"/>
      <c r="B517" s="545"/>
      <c r="C517" s="545"/>
      <c r="D517" s="570"/>
      <c r="E517" s="545"/>
      <c r="F517" s="545"/>
    </row>
    <row r="518">
      <c r="A518" s="545"/>
      <c r="B518" s="545"/>
      <c r="C518" s="545"/>
      <c r="D518" s="570"/>
      <c r="E518" s="545"/>
      <c r="F518" s="545"/>
    </row>
    <row r="519">
      <c r="A519" s="545"/>
      <c r="B519" s="545"/>
      <c r="C519" s="545"/>
      <c r="D519" s="570"/>
      <c r="E519" s="545"/>
      <c r="F519" s="545"/>
    </row>
    <row r="520">
      <c r="A520" s="545"/>
      <c r="B520" s="545"/>
      <c r="C520" s="545"/>
      <c r="D520" s="570"/>
      <c r="E520" s="545"/>
      <c r="F520" s="545"/>
    </row>
    <row r="521">
      <c r="A521" s="545"/>
      <c r="B521" s="545"/>
      <c r="C521" s="545"/>
      <c r="D521" s="570"/>
      <c r="E521" s="545"/>
      <c r="F521" s="545"/>
    </row>
    <row r="522">
      <c r="A522" s="545"/>
      <c r="B522" s="545"/>
      <c r="C522" s="545"/>
      <c r="D522" s="570"/>
      <c r="E522" s="545"/>
      <c r="F522" s="545"/>
    </row>
    <row r="523">
      <c r="A523" s="545"/>
      <c r="B523" s="545"/>
      <c r="C523" s="545"/>
      <c r="D523" s="570"/>
      <c r="E523" s="545"/>
      <c r="F523" s="545"/>
    </row>
    <row r="524">
      <c r="A524" s="545"/>
      <c r="B524" s="545"/>
      <c r="C524" s="545"/>
      <c r="D524" s="570"/>
      <c r="E524" s="545"/>
      <c r="F524" s="545"/>
    </row>
    <row r="525">
      <c r="A525" s="545"/>
      <c r="B525" s="545"/>
      <c r="C525" s="545"/>
      <c r="D525" s="570"/>
      <c r="E525" s="545"/>
      <c r="F525" s="545"/>
    </row>
    <row r="526">
      <c r="A526" s="545"/>
      <c r="B526" s="545"/>
      <c r="C526" s="545"/>
      <c r="D526" s="570"/>
      <c r="E526" s="545"/>
      <c r="F526" s="545"/>
    </row>
    <row r="527">
      <c r="A527" s="545"/>
      <c r="B527" s="545"/>
      <c r="C527" s="545"/>
      <c r="D527" s="570"/>
      <c r="E527" s="545"/>
      <c r="F527" s="545"/>
    </row>
    <row r="528">
      <c r="A528" s="545"/>
      <c r="B528" s="545"/>
      <c r="C528" s="545"/>
      <c r="D528" s="570"/>
      <c r="E528" s="545"/>
      <c r="F528" s="545"/>
    </row>
    <row r="529">
      <c r="A529" s="545"/>
      <c r="B529" s="545"/>
      <c r="C529" s="545"/>
      <c r="D529" s="570"/>
      <c r="E529" s="545"/>
      <c r="F529" s="545"/>
    </row>
    <row r="530">
      <c r="A530" s="545"/>
      <c r="B530" s="545"/>
      <c r="C530" s="545"/>
      <c r="D530" s="570"/>
      <c r="E530" s="545"/>
      <c r="F530" s="545"/>
    </row>
    <row r="531">
      <c r="A531" s="545"/>
      <c r="B531" s="545"/>
      <c r="C531" s="545"/>
      <c r="D531" s="570"/>
      <c r="E531" s="545"/>
      <c r="F531" s="545"/>
    </row>
    <row r="532">
      <c r="A532" s="545"/>
      <c r="B532" s="545"/>
      <c r="C532" s="545"/>
      <c r="D532" s="570"/>
      <c r="E532" s="545"/>
      <c r="F532" s="545"/>
    </row>
    <row r="533">
      <c r="A533" s="545"/>
      <c r="B533" s="545"/>
      <c r="C533" s="545"/>
      <c r="D533" s="570"/>
      <c r="E533" s="545"/>
      <c r="F533" s="545"/>
    </row>
    <row r="534">
      <c r="A534" s="545"/>
      <c r="B534" s="545"/>
      <c r="C534" s="545"/>
      <c r="D534" s="570"/>
      <c r="E534" s="545"/>
      <c r="F534" s="545"/>
    </row>
    <row r="535">
      <c r="A535" s="545"/>
      <c r="B535" s="545"/>
      <c r="C535" s="545"/>
      <c r="D535" s="570"/>
      <c r="E535" s="545"/>
      <c r="F535" s="545"/>
    </row>
    <row r="536">
      <c r="A536" s="545"/>
      <c r="B536" s="545"/>
      <c r="C536" s="545"/>
      <c r="D536" s="570"/>
      <c r="E536" s="545"/>
      <c r="F536" s="545"/>
    </row>
    <row r="537">
      <c r="A537" s="545"/>
      <c r="B537" s="545"/>
      <c r="C537" s="545"/>
      <c r="D537" s="570"/>
      <c r="E537" s="545"/>
      <c r="F537" s="545"/>
    </row>
    <row r="538">
      <c r="A538" s="545"/>
      <c r="B538" s="545"/>
      <c r="C538" s="545"/>
      <c r="D538" s="570"/>
      <c r="E538" s="545"/>
      <c r="F538" s="545"/>
    </row>
    <row r="539">
      <c r="A539" s="545"/>
      <c r="B539" s="545"/>
      <c r="C539" s="545"/>
      <c r="D539" s="570"/>
      <c r="E539" s="545"/>
      <c r="F539" s="545"/>
    </row>
    <row r="540">
      <c r="A540" s="545"/>
      <c r="B540" s="545"/>
      <c r="C540" s="545"/>
      <c r="D540" s="570"/>
      <c r="E540" s="545"/>
      <c r="F540" s="545"/>
    </row>
    <row r="541">
      <c r="A541" s="545"/>
      <c r="B541" s="545"/>
      <c r="C541" s="545"/>
      <c r="D541" s="570"/>
      <c r="E541" s="545"/>
      <c r="F541" s="545"/>
    </row>
    <row r="542">
      <c r="A542" s="545"/>
      <c r="B542" s="545"/>
      <c r="C542" s="545"/>
      <c r="D542" s="570"/>
      <c r="E542" s="545"/>
      <c r="F542" s="545"/>
    </row>
    <row r="543">
      <c r="A543" s="545"/>
      <c r="B543" s="545"/>
      <c r="C543" s="545"/>
      <c r="D543" s="570"/>
      <c r="E543" s="545"/>
      <c r="F543" s="545"/>
    </row>
    <row r="544">
      <c r="A544" s="545"/>
      <c r="B544" s="545"/>
      <c r="C544" s="545"/>
      <c r="D544" s="570"/>
      <c r="E544" s="545"/>
      <c r="F544" s="545"/>
    </row>
    <row r="545">
      <c r="A545" s="545"/>
      <c r="B545" s="545"/>
      <c r="C545" s="545"/>
      <c r="D545" s="570"/>
      <c r="E545" s="545"/>
      <c r="F545" s="545"/>
    </row>
    <row r="546">
      <c r="A546" s="545"/>
      <c r="B546" s="545"/>
      <c r="C546" s="545"/>
      <c r="D546" s="570"/>
      <c r="E546" s="545"/>
      <c r="F546" s="545"/>
    </row>
    <row r="547">
      <c r="A547" s="545"/>
      <c r="B547" s="545"/>
      <c r="C547" s="545"/>
      <c r="D547" s="570"/>
      <c r="E547" s="545"/>
      <c r="F547" s="545"/>
    </row>
    <row r="548">
      <c r="A548" s="545"/>
      <c r="B548" s="545"/>
      <c r="C548" s="545"/>
      <c r="D548" s="570"/>
      <c r="E548" s="545"/>
      <c r="F548" s="545"/>
    </row>
    <row r="549">
      <c r="A549" s="545"/>
      <c r="B549" s="545"/>
      <c r="C549" s="545"/>
      <c r="D549" s="570"/>
      <c r="E549" s="545"/>
      <c r="F549" s="545"/>
    </row>
    <row r="550">
      <c r="A550" s="545"/>
      <c r="B550" s="545"/>
      <c r="C550" s="545"/>
      <c r="D550" s="570"/>
      <c r="E550" s="545"/>
      <c r="F550" s="545"/>
    </row>
    <row r="551">
      <c r="A551" s="545"/>
      <c r="B551" s="545"/>
      <c r="C551" s="545"/>
      <c r="D551" s="570"/>
      <c r="E551" s="545"/>
      <c r="F551" s="545"/>
    </row>
    <row r="552">
      <c r="A552" s="545"/>
      <c r="B552" s="545"/>
      <c r="C552" s="545"/>
      <c r="D552" s="570"/>
      <c r="E552" s="545"/>
      <c r="F552" s="545"/>
    </row>
    <row r="553">
      <c r="A553" s="545"/>
      <c r="B553" s="545"/>
      <c r="C553" s="545"/>
      <c r="D553" s="570"/>
      <c r="E553" s="545"/>
      <c r="F553" s="545"/>
    </row>
    <row r="554">
      <c r="A554" s="545"/>
      <c r="B554" s="545"/>
      <c r="C554" s="545"/>
      <c r="D554" s="570"/>
      <c r="E554" s="545"/>
      <c r="F554" s="545"/>
    </row>
    <row r="555">
      <c r="A555" s="545"/>
      <c r="B555" s="545"/>
      <c r="C555" s="545"/>
      <c r="D555" s="570"/>
      <c r="E555" s="545"/>
      <c r="F555" s="545"/>
    </row>
    <row r="556">
      <c r="A556" s="545"/>
      <c r="B556" s="545"/>
      <c r="C556" s="545"/>
      <c r="D556" s="570"/>
      <c r="E556" s="545"/>
      <c r="F556" s="545"/>
    </row>
    <row r="557">
      <c r="A557" s="545"/>
      <c r="B557" s="545"/>
      <c r="C557" s="545"/>
      <c r="D557" s="570"/>
      <c r="E557" s="545"/>
      <c r="F557" s="545"/>
    </row>
    <row r="558">
      <c r="A558" s="545"/>
      <c r="B558" s="545"/>
      <c r="C558" s="545"/>
      <c r="D558" s="570"/>
      <c r="E558" s="545"/>
      <c r="F558" s="545"/>
    </row>
    <row r="559">
      <c r="A559" s="545"/>
      <c r="B559" s="545"/>
      <c r="C559" s="545"/>
      <c r="D559" s="570"/>
      <c r="E559" s="545"/>
      <c r="F559" s="545"/>
    </row>
    <row r="560">
      <c r="A560" s="545"/>
      <c r="B560" s="545"/>
      <c r="C560" s="545"/>
      <c r="D560" s="570"/>
      <c r="E560" s="545"/>
      <c r="F560" s="545"/>
    </row>
    <row r="561">
      <c r="A561" s="545"/>
      <c r="B561" s="545"/>
      <c r="C561" s="545"/>
      <c r="D561" s="570"/>
      <c r="E561" s="545"/>
      <c r="F561" s="545"/>
    </row>
    <row r="562">
      <c r="A562" s="545"/>
      <c r="B562" s="545"/>
      <c r="C562" s="545"/>
      <c r="D562" s="570"/>
      <c r="E562" s="545"/>
      <c r="F562" s="545"/>
    </row>
    <row r="563">
      <c r="A563" s="545"/>
      <c r="B563" s="545"/>
      <c r="C563" s="545"/>
      <c r="D563" s="570"/>
      <c r="E563" s="545"/>
      <c r="F563" s="545"/>
    </row>
    <row r="564">
      <c r="A564" s="545"/>
      <c r="B564" s="545"/>
      <c r="C564" s="545"/>
      <c r="D564" s="570"/>
      <c r="E564" s="545"/>
      <c r="F564" s="545"/>
    </row>
    <row r="565">
      <c r="A565" s="545"/>
      <c r="B565" s="545"/>
      <c r="C565" s="545"/>
      <c r="D565" s="570"/>
      <c r="E565" s="545"/>
      <c r="F565" s="545"/>
    </row>
    <row r="566">
      <c r="A566" s="545"/>
      <c r="B566" s="545"/>
      <c r="C566" s="545"/>
      <c r="D566" s="570"/>
      <c r="E566" s="545"/>
      <c r="F566" s="545"/>
    </row>
    <row r="567">
      <c r="A567" s="545"/>
      <c r="B567" s="545"/>
      <c r="C567" s="545"/>
      <c r="D567" s="570"/>
      <c r="E567" s="545"/>
      <c r="F567" s="545"/>
    </row>
    <row r="568">
      <c r="A568" s="545"/>
      <c r="B568" s="545"/>
      <c r="C568" s="545"/>
      <c r="D568" s="570"/>
      <c r="E568" s="545"/>
      <c r="F568" s="545"/>
    </row>
    <row r="569">
      <c r="A569" s="545"/>
      <c r="B569" s="545"/>
      <c r="C569" s="545"/>
      <c r="D569" s="570"/>
      <c r="E569" s="545"/>
      <c r="F569" s="545"/>
    </row>
    <row r="570">
      <c r="A570" s="545"/>
      <c r="B570" s="545"/>
      <c r="C570" s="545"/>
      <c r="D570" s="570"/>
      <c r="E570" s="545"/>
      <c r="F570" s="545"/>
    </row>
    <row r="571">
      <c r="A571" s="545"/>
      <c r="B571" s="545"/>
      <c r="C571" s="545"/>
      <c r="D571" s="570"/>
      <c r="E571" s="545"/>
      <c r="F571" s="545"/>
    </row>
    <row r="572">
      <c r="A572" s="545"/>
      <c r="B572" s="545"/>
      <c r="C572" s="545"/>
      <c r="D572" s="570"/>
      <c r="E572" s="545"/>
      <c r="F572" s="545"/>
    </row>
    <row r="573">
      <c r="A573" s="545"/>
      <c r="B573" s="545"/>
      <c r="C573" s="545"/>
      <c r="D573" s="570"/>
      <c r="E573" s="545"/>
      <c r="F573" s="545"/>
    </row>
    <row r="574">
      <c r="A574" s="545"/>
      <c r="B574" s="545"/>
      <c r="C574" s="545"/>
      <c r="D574" s="570"/>
      <c r="E574" s="545"/>
      <c r="F574" s="545"/>
    </row>
    <row r="575">
      <c r="A575" s="545"/>
      <c r="B575" s="545"/>
      <c r="C575" s="545"/>
      <c r="D575" s="570"/>
      <c r="E575" s="545"/>
      <c r="F575" s="545"/>
    </row>
    <row r="576">
      <c r="A576" s="545"/>
      <c r="B576" s="545"/>
      <c r="C576" s="545"/>
      <c r="D576" s="570"/>
      <c r="E576" s="545"/>
      <c r="F576" s="545"/>
    </row>
    <row r="577">
      <c r="A577" s="545"/>
      <c r="B577" s="545"/>
      <c r="C577" s="545"/>
      <c r="D577" s="570"/>
      <c r="E577" s="545"/>
      <c r="F577" s="545"/>
    </row>
    <row r="578">
      <c r="A578" s="545"/>
      <c r="B578" s="545"/>
      <c r="C578" s="545"/>
      <c r="D578" s="570"/>
      <c r="E578" s="545"/>
      <c r="F578" s="545"/>
    </row>
    <row r="579">
      <c r="A579" s="545"/>
      <c r="B579" s="545"/>
      <c r="C579" s="545"/>
      <c r="D579" s="570"/>
      <c r="E579" s="545"/>
      <c r="F579" s="545"/>
    </row>
    <row r="580">
      <c r="A580" s="545"/>
      <c r="B580" s="545"/>
      <c r="C580" s="545"/>
      <c r="D580" s="570"/>
      <c r="E580" s="545"/>
      <c r="F580" s="545"/>
    </row>
    <row r="581">
      <c r="A581" s="545"/>
      <c r="B581" s="545"/>
      <c r="C581" s="545"/>
      <c r="D581" s="570"/>
      <c r="E581" s="545"/>
      <c r="F581" s="545"/>
    </row>
    <row r="582">
      <c r="A582" s="545"/>
      <c r="B582" s="545"/>
      <c r="C582" s="545"/>
      <c r="D582" s="570"/>
      <c r="E582" s="545"/>
      <c r="F582" s="545"/>
    </row>
    <row r="583">
      <c r="A583" s="545"/>
      <c r="B583" s="545"/>
      <c r="C583" s="545"/>
      <c r="D583" s="570"/>
      <c r="E583" s="545"/>
      <c r="F583" s="545"/>
    </row>
    <row r="584">
      <c r="A584" s="545"/>
      <c r="B584" s="545"/>
      <c r="C584" s="545"/>
      <c r="D584" s="570"/>
      <c r="E584" s="545"/>
      <c r="F584" s="545"/>
    </row>
    <row r="585">
      <c r="A585" s="545"/>
      <c r="B585" s="545"/>
      <c r="C585" s="545"/>
      <c r="D585" s="570"/>
      <c r="E585" s="545"/>
      <c r="F585" s="545"/>
    </row>
    <row r="586">
      <c r="A586" s="545"/>
      <c r="B586" s="545"/>
      <c r="C586" s="545"/>
      <c r="D586" s="570"/>
      <c r="E586" s="545"/>
      <c r="F586" s="545"/>
    </row>
    <row r="587">
      <c r="A587" s="545"/>
      <c r="B587" s="545"/>
      <c r="C587" s="545"/>
      <c r="D587" s="570"/>
      <c r="E587" s="545"/>
      <c r="F587" s="545"/>
    </row>
    <row r="588">
      <c r="A588" s="545"/>
      <c r="B588" s="545"/>
      <c r="C588" s="545"/>
      <c r="D588" s="570"/>
      <c r="E588" s="545"/>
      <c r="F588" s="545"/>
    </row>
    <row r="589">
      <c r="A589" s="545"/>
      <c r="B589" s="545"/>
      <c r="C589" s="545"/>
      <c r="D589" s="570"/>
      <c r="E589" s="545"/>
      <c r="F589" s="545"/>
    </row>
    <row r="590">
      <c r="A590" s="545"/>
      <c r="B590" s="545"/>
      <c r="C590" s="545"/>
      <c r="D590" s="570"/>
      <c r="E590" s="545"/>
      <c r="F590" s="545"/>
    </row>
    <row r="591">
      <c r="A591" s="545"/>
      <c r="B591" s="545"/>
      <c r="C591" s="545"/>
      <c r="D591" s="570"/>
      <c r="E591" s="545"/>
      <c r="F591" s="545"/>
    </row>
    <row r="592">
      <c r="A592" s="545"/>
      <c r="B592" s="545"/>
      <c r="C592" s="545"/>
      <c r="D592" s="570"/>
      <c r="E592" s="545"/>
      <c r="F592" s="545"/>
    </row>
    <row r="593">
      <c r="A593" s="545"/>
      <c r="B593" s="545"/>
      <c r="C593" s="545"/>
      <c r="D593" s="570"/>
      <c r="E593" s="545"/>
      <c r="F593" s="545"/>
    </row>
    <row r="594">
      <c r="A594" s="545"/>
      <c r="B594" s="545"/>
      <c r="C594" s="545"/>
      <c r="D594" s="570"/>
      <c r="E594" s="545"/>
      <c r="F594" s="545"/>
    </row>
    <row r="595">
      <c r="A595" s="545"/>
      <c r="B595" s="545"/>
      <c r="C595" s="545"/>
      <c r="D595" s="570"/>
      <c r="E595" s="545"/>
      <c r="F595" s="545"/>
    </row>
    <row r="596">
      <c r="A596" s="545"/>
      <c r="B596" s="545"/>
      <c r="C596" s="545"/>
      <c r="D596" s="570"/>
      <c r="E596" s="545"/>
      <c r="F596" s="545"/>
    </row>
    <row r="597">
      <c r="A597" s="545"/>
      <c r="B597" s="545"/>
      <c r="C597" s="545"/>
      <c r="D597" s="570"/>
      <c r="E597" s="545"/>
      <c r="F597" s="545"/>
    </row>
    <row r="598">
      <c r="A598" s="545"/>
      <c r="B598" s="545"/>
      <c r="C598" s="545"/>
      <c r="D598" s="570"/>
      <c r="E598" s="545"/>
      <c r="F598" s="545"/>
    </row>
    <row r="599">
      <c r="A599" s="545"/>
      <c r="B599" s="545"/>
      <c r="C599" s="545"/>
      <c r="D599" s="570"/>
      <c r="E599" s="545"/>
      <c r="F599" s="545"/>
    </row>
    <row r="600">
      <c r="A600" s="545"/>
      <c r="B600" s="545"/>
      <c r="C600" s="545"/>
      <c r="D600" s="570"/>
      <c r="E600" s="545"/>
      <c r="F600" s="545"/>
    </row>
    <row r="601">
      <c r="A601" s="545"/>
      <c r="B601" s="545"/>
      <c r="C601" s="545"/>
      <c r="D601" s="570"/>
      <c r="E601" s="545"/>
      <c r="F601" s="545"/>
    </row>
    <row r="602">
      <c r="A602" s="545"/>
      <c r="B602" s="545"/>
      <c r="C602" s="545"/>
      <c r="D602" s="570"/>
      <c r="E602" s="545"/>
      <c r="F602" s="545"/>
    </row>
    <row r="603">
      <c r="A603" s="545"/>
      <c r="B603" s="545"/>
      <c r="C603" s="545"/>
      <c r="D603" s="570"/>
      <c r="E603" s="545"/>
      <c r="F603" s="545"/>
    </row>
    <row r="604">
      <c r="A604" s="545"/>
      <c r="B604" s="545"/>
      <c r="C604" s="545"/>
      <c r="D604" s="570"/>
      <c r="E604" s="545"/>
      <c r="F604" s="545"/>
    </row>
    <row r="605">
      <c r="A605" s="545"/>
      <c r="B605" s="545"/>
      <c r="C605" s="545"/>
      <c r="D605" s="570"/>
      <c r="E605" s="545"/>
      <c r="F605" s="545"/>
    </row>
    <row r="606">
      <c r="A606" s="545"/>
      <c r="B606" s="545"/>
      <c r="C606" s="545"/>
      <c r="D606" s="570"/>
      <c r="E606" s="545"/>
      <c r="F606" s="545"/>
    </row>
    <row r="607">
      <c r="A607" s="545"/>
      <c r="B607" s="545"/>
      <c r="C607" s="545"/>
      <c r="D607" s="570"/>
      <c r="E607" s="545"/>
      <c r="F607" s="545"/>
    </row>
    <row r="608">
      <c r="A608" s="545"/>
      <c r="B608" s="545"/>
      <c r="C608" s="545"/>
      <c r="D608" s="570"/>
      <c r="E608" s="545"/>
      <c r="F608" s="545"/>
    </row>
    <row r="609">
      <c r="A609" s="545"/>
      <c r="B609" s="545"/>
      <c r="C609" s="545"/>
      <c r="D609" s="570"/>
      <c r="E609" s="545"/>
      <c r="F609" s="545"/>
    </row>
    <row r="610">
      <c r="A610" s="545"/>
      <c r="B610" s="545"/>
      <c r="C610" s="545"/>
      <c r="D610" s="570"/>
      <c r="E610" s="545"/>
      <c r="F610" s="545"/>
    </row>
    <row r="611">
      <c r="A611" s="545"/>
      <c r="B611" s="545"/>
      <c r="C611" s="545"/>
      <c r="D611" s="570"/>
      <c r="E611" s="545"/>
      <c r="F611" s="545"/>
    </row>
    <row r="612">
      <c r="A612" s="545"/>
      <c r="B612" s="545"/>
      <c r="C612" s="545"/>
      <c r="D612" s="570"/>
      <c r="E612" s="545"/>
      <c r="F612" s="545"/>
    </row>
    <row r="613">
      <c r="A613" s="545"/>
      <c r="B613" s="545"/>
      <c r="C613" s="545"/>
      <c r="D613" s="570"/>
      <c r="E613" s="545"/>
      <c r="F613" s="545"/>
    </row>
    <row r="614">
      <c r="A614" s="545"/>
      <c r="B614" s="545"/>
      <c r="C614" s="545"/>
      <c r="D614" s="570"/>
      <c r="E614" s="545"/>
      <c r="F614" s="545"/>
    </row>
    <row r="615">
      <c r="A615" s="545"/>
      <c r="B615" s="545"/>
      <c r="C615" s="545"/>
      <c r="D615" s="570"/>
      <c r="E615" s="545"/>
      <c r="F615" s="545"/>
    </row>
    <row r="616">
      <c r="A616" s="545"/>
      <c r="B616" s="545"/>
      <c r="C616" s="545"/>
      <c r="D616" s="570"/>
      <c r="E616" s="545"/>
      <c r="F616" s="545"/>
    </row>
    <row r="617">
      <c r="A617" s="545"/>
      <c r="B617" s="545"/>
      <c r="C617" s="545"/>
      <c r="D617" s="570"/>
      <c r="E617" s="545"/>
      <c r="F617" s="545"/>
    </row>
    <row r="618">
      <c r="A618" s="545"/>
      <c r="B618" s="545"/>
      <c r="C618" s="545"/>
      <c r="D618" s="570"/>
      <c r="E618" s="545"/>
      <c r="F618" s="545"/>
    </row>
    <row r="619">
      <c r="A619" s="545"/>
      <c r="B619" s="545"/>
      <c r="C619" s="545"/>
      <c r="D619" s="570"/>
      <c r="E619" s="545"/>
      <c r="F619" s="545"/>
    </row>
    <row r="620">
      <c r="A620" s="545"/>
      <c r="B620" s="545"/>
      <c r="C620" s="545"/>
      <c r="D620" s="570"/>
      <c r="E620" s="545"/>
      <c r="F620" s="545"/>
    </row>
    <row r="621">
      <c r="A621" s="545"/>
      <c r="B621" s="545"/>
      <c r="C621" s="545"/>
      <c r="D621" s="570"/>
      <c r="E621" s="545"/>
      <c r="F621" s="545"/>
    </row>
    <row r="622">
      <c r="A622" s="545"/>
      <c r="B622" s="545"/>
      <c r="C622" s="545"/>
      <c r="D622" s="570"/>
      <c r="E622" s="545"/>
      <c r="F622" s="545"/>
    </row>
    <row r="623">
      <c r="A623" s="545"/>
      <c r="B623" s="545"/>
      <c r="C623" s="545"/>
      <c r="D623" s="570"/>
      <c r="E623" s="545"/>
      <c r="F623" s="545"/>
    </row>
    <row r="624">
      <c r="A624" s="545"/>
      <c r="B624" s="545"/>
      <c r="C624" s="545"/>
      <c r="D624" s="570"/>
      <c r="E624" s="545"/>
      <c r="F624" s="545"/>
    </row>
    <row r="625">
      <c r="A625" s="545"/>
      <c r="B625" s="545"/>
      <c r="C625" s="545"/>
      <c r="D625" s="570"/>
      <c r="E625" s="545"/>
      <c r="F625" s="545"/>
    </row>
    <row r="626">
      <c r="A626" s="545"/>
      <c r="B626" s="545"/>
      <c r="C626" s="545"/>
      <c r="D626" s="570"/>
      <c r="E626" s="545"/>
      <c r="F626" s="545"/>
    </row>
    <row r="627">
      <c r="A627" s="545"/>
      <c r="B627" s="545"/>
      <c r="C627" s="545"/>
      <c r="D627" s="570"/>
      <c r="E627" s="545"/>
      <c r="F627" s="545"/>
    </row>
    <row r="628">
      <c r="A628" s="545"/>
      <c r="B628" s="545"/>
      <c r="C628" s="545"/>
      <c r="D628" s="570"/>
      <c r="E628" s="545"/>
      <c r="F628" s="545"/>
    </row>
    <row r="629">
      <c r="A629" s="545"/>
      <c r="B629" s="545"/>
      <c r="C629" s="545"/>
      <c r="D629" s="570"/>
      <c r="E629" s="545"/>
      <c r="F629" s="545"/>
    </row>
    <row r="630">
      <c r="A630" s="545"/>
      <c r="B630" s="545"/>
      <c r="C630" s="545"/>
      <c r="D630" s="570"/>
      <c r="E630" s="545"/>
      <c r="F630" s="545"/>
    </row>
    <row r="631">
      <c r="A631" s="545"/>
      <c r="B631" s="545"/>
      <c r="C631" s="545"/>
      <c r="D631" s="570"/>
      <c r="E631" s="545"/>
      <c r="F631" s="545"/>
    </row>
    <row r="632">
      <c r="A632" s="545"/>
      <c r="B632" s="545"/>
      <c r="C632" s="545"/>
      <c r="D632" s="570"/>
      <c r="E632" s="545"/>
      <c r="F632" s="545"/>
    </row>
    <row r="633">
      <c r="A633" s="545"/>
      <c r="B633" s="545"/>
      <c r="C633" s="545"/>
      <c r="D633" s="570"/>
      <c r="E633" s="545"/>
      <c r="F633" s="545"/>
    </row>
    <row r="634">
      <c r="A634" s="545"/>
      <c r="B634" s="545"/>
      <c r="C634" s="545"/>
      <c r="D634" s="570"/>
      <c r="E634" s="545"/>
      <c r="F634" s="545"/>
    </row>
    <row r="635">
      <c r="A635" s="545"/>
      <c r="B635" s="545"/>
      <c r="C635" s="545"/>
      <c r="D635" s="570"/>
      <c r="E635" s="545"/>
      <c r="F635" s="545"/>
    </row>
    <row r="636">
      <c r="A636" s="545"/>
      <c r="B636" s="545"/>
      <c r="C636" s="545"/>
      <c r="D636" s="570"/>
      <c r="E636" s="545"/>
      <c r="F636" s="545"/>
    </row>
    <row r="637">
      <c r="A637" s="545"/>
      <c r="B637" s="545"/>
      <c r="C637" s="545"/>
      <c r="D637" s="570"/>
      <c r="E637" s="545"/>
      <c r="F637" s="545"/>
    </row>
    <row r="638">
      <c r="A638" s="545"/>
      <c r="B638" s="545"/>
      <c r="C638" s="545"/>
      <c r="D638" s="570"/>
      <c r="E638" s="545"/>
      <c r="F638" s="545"/>
    </row>
    <row r="639">
      <c r="A639" s="545"/>
      <c r="B639" s="545"/>
      <c r="C639" s="545"/>
      <c r="D639" s="570"/>
      <c r="E639" s="545"/>
      <c r="F639" s="545"/>
    </row>
    <row r="640">
      <c r="A640" s="545"/>
      <c r="B640" s="545"/>
      <c r="C640" s="545"/>
      <c r="D640" s="570"/>
      <c r="E640" s="545"/>
      <c r="F640" s="545"/>
    </row>
    <row r="641">
      <c r="A641" s="545"/>
      <c r="B641" s="545"/>
      <c r="C641" s="545"/>
      <c r="D641" s="570"/>
      <c r="E641" s="545"/>
      <c r="F641" s="545"/>
    </row>
    <row r="642">
      <c r="A642" s="545"/>
      <c r="B642" s="545"/>
      <c r="C642" s="545"/>
      <c r="D642" s="570"/>
      <c r="E642" s="545"/>
      <c r="F642" s="545"/>
    </row>
    <row r="643">
      <c r="A643" s="545"/>
      <c r="B643" s="545"/>
      <c r="C643" s="545"/>
      <c r="D643" s="570"/>
      <c r="E643" s="545"/>
      <c r="F643" s="545"/>
    </row>
    <row r="644">
      <c r="A644" s="545"/>
      <c r="B644" s="545"/>
      <c r="C644" s="545"/>
      <c r="D644" s="570"/>
      <c r="E644" s="545"/>
      <c r="F644" s="545"/>
    </row>
    <row r="645">
      <c r="A645" s="545"/>
      <c r="B645" s="545"/>
      <c r="C645" s="545"/>
      <c r="D645" s="570"/>
      <c r="E645" s="545"/>
      <c r="F645" s="545"/>
    </row>
    <row r="646">
      <c r="A646" s="545"/>
      <c r="B646" s="545"/>
      <c r="C646" s="545"/>
      <c r="D646" s="570"/>
      <c r="E646" s="545"/>
      <c r="F646" s="545"/>
    </row>
    <row r="647">
      <c r="A647" s="545"/>
      <c r="B647" s="545"/>
      <c r="C647" s="545"/>
      <c r="D647" s="570"/>
      <c r="E647" s="545"/>
      <c r="F647" s="545"/>
    </row>
    <row r="648">
      <c r="A648" s="545"/>
      <c r="B648" s="545"/>
      <c r="C648" s="545"/>
      <c r="D648" s="570"/>
      <c r="E648" s="545"/>
      <c r="F648" s="545"/>
    </row>
    <row r="649">
      <c r="A649" s="545"/>
      <c r="B649" s="545"/>
      <c r="C649" s="545"/>
      <c r="D649" s="570"/>
      <c r="E649" s="545"/>
      <c r="F649" s="545"/>
    </row>
    <row r="650">
      <c r="A650" s="545"/>
      <c r="B650" s="545"/>
      <c r="C650" s="545"/>
      <c r="D650" s="570"/>
      <c r="E650" s="545"/>
      <c r="F650" s="545"/>
    </row>
    <row r="651">
      <c r="A651" s="545"/>
      <c r="B651" s="545"/>
      <c r="C651" s="545"/>
      <c r="D651" s="570"/>
      <c r="E651" s="545"/>
      <c r="F651" s="545"/>
    </row>
    <row r="652">
      <c r="A652" s="545"/>
      <c r="B652" s="545"/>
      <c r="C652" s="545"/>
      <c r="D652" s="570"/>
      <c r="E652" s="545"/>
      <c r="F652" s="545"/>
    </row>
    <row r="653">
      <c r="A653" s="545"/>
      <c r="B653" s="545"/>
      <c r="C653" s="545"/>
      <c r="D653" s="570"/>
      <c r="E653" s="545"/>
      <c r="F653" s="545"/>
    </row>
    <row r="654">
      <c r="A654" s="545"/>
      <c r="B654" s="545"/>
      <c r="C654" s="545"/>
      <c r="D654" s="570"/>
      <c r="E654" s="545"/>
      <c r="F654" s="545"/>
    </row>
    <row r="655">
      <c r="A655" s="545"/>
      <c r="B655" s="545"/>
      <c r="C655" s="545"/>
      <c r="D655" s="570"/>
      <c r="E655" s="545"/>
      <c r="F655" s="545"/>
    </row>
    <row r="656">
      <c r="A656" s="545"/>
      <c r="B656" s="545"/>
      <c r="C656" s="545"/>
      <c r="D656" s="570"/>
      <c r="E656" s="545"/>
      <c r="F656" s="545"/>
    </row>
    <row r="657">
      <c r="A657" s="545"/>
      <c r="B657" s="545"/>
      <c r="C657" s="545"/>
      <c r="D657" s="570"/>
      <c r="E657" s="545"/>
      <c r="F657" s="545"/>
    </row>
    <row r="658">
      <c r="A658" s="545"/>
      <c r="B658" s="545"/>
      <c r="C658" s="545"/>
      <c r="D658" s="570"/>
      <c r="E658" s="545"/>
      <c r="F658" s="545"/>
    </row>
    <row r="659">
      <c r="A659" s="545"/>
      <c r="B659" s="545"/>
      <c r="C659" s="545"/>
      <c r="D659" s="570"/>
      <c r="E659" s="545"/>
      <c r="F659" s="545"/>
    </row>
    <row r="660">
      <c r="A660" s="545"/>
      <c r="B660" s="545"/>
      <c r="C660" s="545"/>
      <c r="D660" s="570"/>
      <c r="E660" s="545"/>
      <c r="F660" s="545"/>
    </row>
    <row r="661">
      <c r="A661" s="545"/>
      <c r="B661" s="545"/>
      <c r="C661" s="545"/>
      <c r="D661" s="570"/>
      <c r="E661" s="545"/>
      <c r="F661" s="545"/>
    </row>
    <row r="662">
      <c r="A662" s="545"/>
      <c r="B662" s="545"/>
      <c r="C662" s="545"/>
      <c r="D662" s="570"/>
      <c r="E662" s="545"/>
      <c r="F662" s="545"/>
    </row>
    <row r="663">
      <c r="A663" s="545"/>
      <c r="B663" s="545"/>
      <c r="C663" s="545"/>
      <c r="D663" s="570"/>
      <c r="E663" s="545"/>
      <c r="F663" s="545"/>
    </row>
    <row r="664">
      <c r="A664" s="545"/>
      <c r="B664" s="545"/>
      <c r="C664" s="545"/>
      <c r="D664" s="570"/>
      <c r="E664" s="545"/>
      <c r="F664" s="545"/>
    </row>
    <row r="665">
      <c r="A665" s="545"/>
      <c r="B665" s="545"/>
      <c r="C665" s="545"/>
      <c r="D665" s="570"/>
      <c r="E665" s="545"/>
      <c r="F665" s="545"/>
    </row>
    <row r="666">
      <c r="A666" s="545"/>
      <c r="B666" s="545"/>
      <c r="C666" s="545"/>
      <c r="D666" s="570"/>
      <c r="E666" s="545"/>
      <c r="F666" s="545"/>
    </row>
    <row r="667">
      <c r="A667" s="545"/>
      <c r="B667" s="545"/>
      <c r="C667" s="545"/>
      <c r="D667" s="570"/>
      <c r="E667" s="545"/>
      <c r="F667" s="545"/>
    </row>
    <row r="668">
      <c r="A668" s="545"/>
      <c r="B668" s="545"/>
      <c r="C668" s="545"/>
      <c r="D668" s="570"/>
      <c r="E668" s="545"/>
      <c r="F668" s="545"/>
    </row>
    <row r="669">
      <c r="A669" s="545"/>
      <c r="B669" s="545"/>
      <c r="C669" s="545"/>
      <c r="D669" s="570"/>
      <c r="E669" s="545"/>
      <c r="F669" s="545"/>
    </row>
    <row r="670">
      <c r="A670" s="545"/>
      <c r="B670" s="545"/>
      <c r="C670" s="545"/>
      <c r="D670" s="570"/>
      <c r="E670" s="545"/>
      <c r="F670" s="545"/>
    </row>
    <row r="671">
      <c r="A671" s="545"/>
      <c r="B671" s="545"/>
      <c r="C671" s="545"/>
      <c r="D671" s="570"/>
      <c r="E671" s="545"/>
      <c r="F671" s="545"/>
    </row>
    <row r="672">
      <c r="A672" s="545"/>
      <c r="B672" s="545"/>
      <c r="C672" s="545"/>
      <c r="D672" s="570"/>
      <c r="E672" s="545"/>
      <c r="F672" s="545"/>
    </row>
    <row r="673">
      <c r="A673" s="545"/>
      <c r="B673" s="545"/>
      <c r="C673" s="545"/>
      <c r="D673" s="570"/>
      <c r="E673" s="545"/>
      <c r="F673" s="545"/>
    </row>
    <row r="674">
      <c r="A674" s="545"/>
      <c r="B674" s="545"/>
      <c r="C674" s="545"/>
      <c r="D674" s="570"/>
      <c r="E674" s="545"/>
      <c r="F674" s="545"/>
    </row>
    <row r="675">
      <c r="A675" s="545"/>
      <c r="B675" s="545"/>
      <c r="C675" s="545"/>
      <c r="D675" s="570"/>
      <c r="E675" s="545"/>
      <c r="F675" s="545"/>
    </row>
    <row r="676">
      <c r="A676" s="545"/>
      <c r="B676" s="545"/>
      <c r="C676" s="545"/>
      <c r="D676" s="570"/>
      <c r="E676" s="545"/>
      <c r="F676" s="545"/>
    </row>
    <row r="677">
      <c r="A677" s="545"/>
      <c r="B677" s="545"/>
      <c r="C677" s="545"/>
      <c r="D677" s="570"/>
      <c r="E677" s="545"/>
      <c r="F677" s="545"/>
    </row>
    <row r="678">
      <c r="A678" s="545"/>
      <c r="B678" s="545"/>
      <c r="C678" s="545"/>
      <c r="D678" s="570"/>
      <c r="E678" s="545"/>
      <c r="F678" s="545"/>
    </row>
    <row r="679">
      <c r="A679" s="545"/>
      <c r="B679" s="545"/>
      <c r="C679" s="545"/>
      <c r="D679" s="570"/>
      <c r="E679" s="545"/>
      <c r="F679" s="545"/>
    </row>
    <row r="680">
      <c r="A680" s="545"/>
      <c r="B680" s="545"/>
      <c r="C680" s="545"/>
      <c r="D680" s="570"/>
      <c r="E680" s="545"/>
      <c r="F680" s="545"/>
    </row>
    <row r="681">
      <c r="A681" s="545"/>
      <c r="B681" s="545"/>
      <c r="C681" s="545"/>
      <c r="D681" s="570"/>
      <c r="E681" s="545"/>
      <c r="F681" s="545"/>
    </row>
    <row r="682">
      <c r="A682" s="545"/>
      <c r="B682" s="545"/>
      <c r="C682" s="545"/>
      <c r="D682" s="570"/>
      <c r="E682" s="545"/>
      <c r="F682" s="545"/>
    </row>
    <row r="683">
      <c r="A683" s="545"/>
      <c r="B683" s="545"/>
      <c r="C683" s="545"/>
      <c r="D683" s="570"/>
      <c r="E683" s="545"/>
      <c r="F683" s="545"/>
    </row>
    <row r="684">
      <c r="A684" s="545"/>
      <c r="B684" s="545"/>
      <c r="C684" s="545"/>
      <c r="D684" s="570"/>
      <c r="E684" s="545"/>
      <c r="F684" s="545"/>
    </row>
    <row r="685">
      <c r="A685" s="545"/>
      <c r="B685" s="545"/>
      <c r="C685" s="545"/>
      <c r="D685" s="570"/>
      <c r="E685" s="545"/>
      <c r="F685" s="545"/>
    </row>
    <row r="686">
      <c r="A686" s="545"/>
      <c r="B686" s="545"/>
      <c r="C686" s="545"/>
      <c r="D686" s="570"/>
      <c r="E686" s="545"/>
      <c r="F686" s="545"/>
    </row>
    <row r="687">
      <c r="A687" s="545"/>
      <c r="B687" s="545"/>
      <c r="C687" s="545"/>
      <c r="D687" s="570"/>
      <c r="E687" s="545"/>
      <c r="F687" s="545"/>
    </row>
    <row r="688">
      <c r="A688" s="545"/>
      <c r="B688" s="545"/>
      <c r="C688" s="545"/>
      <c r="D688" s="570"/>
      <c r="E688" s="545"/>
      <c r="F688" s="545"/>
    </row>
    <row r="689">
      <c r="A689" s="545"/>
      <c r="B689" s="545"/>
      <c r="C689" s="545"/>
      <c r="D689" s="570"/>
      <c r="E689" s="545"/>
      <c r="F689" s="545"/>
    </row>
    <row r="690">
      <c r="A690" s="545"/>
      <c r="B690" s="545"/>
      <c r="C690" s="545"/>
      <c r="D690" s="570"/>
      <c r="E690" s="545"/>
      <c r="F690" s="545"/>
    </row>
    <row r="691">
      <c r="A691" s="545"/>
      <c r="B691" s="545"/>
      <c r="C691" s="545"/>
      <c r="D691" s="570"/>
      <c r="E691" s="545"/>
      <c r="F691" s="545"/>
    </row>
    <row r="692">
      <c r="A692" s="545"/>
      <c r="B692" s="545"/>
      <c r="C692" s="545"/>
      <c r="D692" s="570"/>
      <c r="E692" s="545"/>
      <c r="F692" s="545"/>
    </row>
    <row r="693">
      <c r="A693" s="545"/>
      <c r="B693" s="545"/>
      <c r="C693" s="545"/>
      <c r="D693" s="570"/>
      <c r="E693" s="545"/>
      <c r="F693" s="545"/>
    </row>
    <row r="694">
      <c r="A694" s="545"/>
      <c r="B694" s="545"/>
      <c r="C694" s="545"/>
      <c r="D694" s="570"/>
      <c r="E694" s="545"/>
      <c r="F694" s="545"/>
    </row>
    <row r="695">
      <c r="A695" s="545"/>
      <c r="B695" s="545"/>
      <c r="C695" s="545"/>
      <c r="D695" s="570"/>
      <c r="E695" s="545"/>
      <c r="F695" s="545"/>
    </row>
    <row r="696">
      <c r="A696" s="545"/>
      <c r="B696" s="545"/>
      <c r="C696" s="545"/>
      <c r="D696" s="570"/>
      <c r="E696" s="545"/>
      <c r="F696" s="545"/>
    </row>
    <row r="697">
      <c r="A697" s="545"/>
      <c r="B697" s="545"/>
      <c r="C697" s="545"/>
      <c r="D697" s="570"/>
      <c r="E697" s="545"/>
      <c r="F697" s="545"/>
    </row>
    <row r="698">
      <c r="A698" s="545"/>
      <c r="B698" s="545"/>
      <c r="C698" s="545"/>
      <c r="D698" s="570"/>
      <c r="E698" s="545"/>
      <c r="F698" s="545"/>
    </row>
    <row r="699">
      <c r="A699" s="545"/>
      <c r="B699" s="545"/>
      <c r="C699" s="545"/>
      <c r="D699" s="570"/>
      <c r="E699" s="545"/>
      <c r="F699" s="545"/>
    </row>
    <row r="700">
      <c r="A700" s="545"/>
      <c r="B700" s="545"/>
      <c r="C700" s="545"/>
      <c r="D700" s="570"/>
      <c r="E700" s="545"/>
      <c r="F700" s="545"/>
    </row>
    <row r="701">
      <c r="A701" s="545"/>
      <c r="B701" s="545"/>
      <c r="C701" s="545"/>
      <c r="D701" s="570"/>
      <c r="E701" s="545"/>
      <c r="F701" s="545"/>
    </row>
    <row r="702">
      <c r="A702" s="545"/>
      <c r="B702" s="545"/>
      <c r="C702" s="545"/>
      <c r="D702" s="570"/>
      <c r="E702" s="545"/>
      <c r="F702" s="545"/>
    </row>
    <row r="703">
      <c r="A703" s="545"/>
      <c r="B703" s="545"/>
      <c r="C703" s="545"/>
      <c r="D703" s="570"/>
      <c r="E703" s="545"/>
      <c r="F703" s="545"/>
    </row>
    <row r="704">
      <c r="A704" s="545"/>
      <c r="B704" s="545"/>
      <c r="C704" s="545"/>
      <c r="D704" s="570"/>
      <c r="E704" s="545"/>
      <c r="F704" s="545"/>
    </row>
    <row r="705">
      <c r="A705" s="545"/>
      <c r="B705" s="545"/>
      <c r="C705" s="545"/>
      <c r="D705" s="570"/>
      <c r="E705" s="545"/>
      <c r="F705" s="545"/>
    </row>
    <row r="706">
      <c r="A706" s="545"/>
      <c r="B706" s="545"/>
      <c r="C706" s="545"/>
      <c r="D706" s="570"/>
      <c r="E706" s="545"/>
      <c r="F706" s="545"/>
    </row>
    <row r="707">
      <c r="A707" s="545"/>
      <c r="B707" s="545"/>
      <c r="C707" s="545"/>
      <c r="D707" s="570"/>
      <c r="E707" s="545"/>
      <c r="F707" s="545"/>
    </row>
    <row r="708">
      <c r="A708" s="545"/>
      <c r="B708" s="545"/>
      <c r="C708" s="545"/>
      <c r="D708" s="570"/>
      <c r="E708" s="545"/>
      <c r="F708" s="545"/>
    </row>
    <row r="709">
      <c r="A709" s="545"/>
      <c r="B709" s="545"/>
      <c r="C709" s="545"/>
      <c r="D709" s="570"/>
      <c r="E709" s="545"/>
      <c r="F709" s="545"/>
    </row>
    <row r="710">
      <c r="A710" s="545"/>
      <c r="B710" s="545"/>
      <c r="C710" s="545"/>
      <c r="D710" s="570"/>
      <c r="E710" s="545"/>
      <c r="F710" s="545"/>
    </row>
    <row r="711">
      <c r="A711" s="545"/>
      <c r="B711" s="545"/>
      <c r="C711" s="545"/>
      <c r="D711" s="570"/>
      <c r="E711" s="545"/>
      <c r="F711" s="545"/>
    </row>
    <row r="712">
      <c r="A712" s="545"/>
      <c r="B712" s="545"/>
      <c r="C712" s="545"/>
      <c r="D712" s="570"/>
      <c r="E712" s="545"/>
      <c r="F712" s="545"/>
    </row>
    <row r="713">
      <c r="A713" s="545"/>
      <c r="B713" s="545"/>
      <c r="C713" s="545"/>
      <c r="D713" s="570"/>
      <c r="E713" s="545"/>
      <c r="F713" s="545"/>
    </row>
    <row r="714">
      <c r="A714" s="545"/>
      <c r="B714" s="545"/>
      <c r="C714" s="545"/>
      <c r="D714" s="570"/>
      <c r="E714" s="545"/>
      <c r="F714" s="545"/>
    </row>
    <row r="715">
      <c r="A715" s="545"/>
      <c r="B715" s="545"/>
      <c r="C715" s="545"/>
      <c r="D715" s="570"/>
      <c r="E715" s="545"/>
      <c r="F715" s="545"/>
    </row>
    <row r="716">
      <c r="A716" s="545"/>
      <c r="B716" s="545"/>
      <c r="C716" s="545"/>
      <c r="D716" s="570"/>
      <c r="E716" s="545"/>
      <c r="F716" s="545"/>
    </row>
    <row r="717">
      <c r="A717" s="545"/>
      <c r="B717" s="545"/>
      <c r="C717" s="545"/>
      <c r="D717" s="570"/>
      <c r="E717" s="545"/>
      <c r="F717" s="545"/>
    </row>
    <row r="718">
      <c r="A718" s="545"/>
      <c r="B718" s="545"/>
      <c r="C718" s="545"/>
      <c r="D718" s="570"/>
      <c r="E718" s="545"/>
      <c r="F718" s="545"/>
    </row>
    <row r="719">
      <c r="A719" s="545"/>
      <c r="B719" s="545"/>
      <c r="C719" s="545"/>
      <c r="D719" s="570"/>
      <c r="E719" s="545"/>
      <c r="F719" s="545"/>
    </row>
    <row r="720">
      <c r="A720" s="545"/>
      <c r="B720" s="545"/>
      <c r="C720" s="545"/>
      <c r="D720" s="570"/>
      <c r="E720" s="545"/>
      <c r="F720" s="545"/>
    </row>
    <row r="721">
      <c r="A721" s="545"/>
      <c r="B721" s="545"/>
      <c r="C721" s="545"/>
      <c r="D721" s="570"/>
      <c r="E721" s="545"/>
      <c r="F721" s="545"/>
    </row>
    <row r="722">
      <c r="A722" s="545"/>
      <c r="B722" s="545"/>
      <c r="C722" s="545"/>
      <c r="D722" s="570"/>
      <c r="E722" s="545"/>
      <c r="F722" s="545"/>
    </row>
    <row r="723">
      <c r="A723" s="545"/>
      <c r="B723" s="545"/>
      <c r="C723" s="545"/>
      <c r="D723" s="570"/>
      <c r="E723" s="545"/>
      <c r="F723" s="545"/>
    </row>
    <row r="724">
      <c r="A724" s="545"/>
      <c r="B724" s="545"/>
      <c r="C724" s="545"/>
      <c r="D724" s="570"/>
      <c r="E724" s="545"/>
      <c r="F724" s="545"/>
    </row>
    <row r="725">
      <c r="A725" s="545"/>
      <c r="B725" s="545"/>
      <c r="C725" s="545"/>
      <c r="D725" s="570"/>
      <c r="E725" s="545"/>
      <c r="F725" s="545"/>
    </row>
    <row r="726">
      <c r="A726" s="545"/>
      <c r="B726" s="545"/>
      <c r="C726" s="545"/>
      <c r="D726" s="570"/>
      <c r="E726" s="545"/>
      <c r="F726" s="545"/>
    </row>
    <row r="727">
      <c r="A727" s="545"/>
      <c r="B727" s="545"/>
      <c r="C727" s="545"/>
      <c r="D727" s="570"/>
      <c r="E727" s="545"/>
      <c r="F727" s="545"/>
    </row>
    <row r="728">
      <c r="A728" s="545"/>
      <c r="B728" s="545"/>
      <c r="C728" s="545"/>
      <c r="D728" s="570"/>
      <c r="E728" s="545"/>
      <c r="F728" s="545"/>
    </row>
    <row r="729">
      <c r="A729" s="545"/>
      <c r="B729" s="545"/>
      <c r="C729" s="545"/>
      <c r="D729" s="570"/>
      <c r="E729" s="545"/>
      <c r="F729" s="545"/>
    </row>
    <row r="730">
      <c r="A730" s="545"/>
      <c r="B730" s="545"/>
      <c r="C730" s="545"/>
      <c r="D730" s="570"/>
      <c r="E730" s="545"/>
      <c r="F730" s="545"/>
    </row>
    <row r="731">
      <c r="A731" s="545"/>
      <c r="B731" s="545"/>
      <c r="C731" s="545"/>
      <c r="D731" s="570"/>
      <c r="E731" s="545"/>
      <c r="F731" s="545"/>
    </row>
    <row r="732">
      <c r="A732" s="545"/>
      <c r="B732" s="545"/>
      <c r="C732" s="545"/>
      <c r="D732" s="570"/>
      <c r="E732" s="545"/>
      <c r="F732" s="545"/>
    </row>
    <row r="733">
      <c r="A733" s="545"/>
      <c r="B733" s="545"/>
      <c r="C733" s="545"/>
      <c r="D733" s="570"/>
      <c r="E733" s="545"/>
      <c r="F733" s="545"/>
    </row>
    <row r="734">
      <c r="A734" s="545"/>
      <c r="B734" s="545"/>
      <c r="C734" s="545"/>
      <c r="D734" s="570"/>
      <c r="E734" s="545"/>
      <c r="F734" s="545"/>
    </row>
    <row r="735">
      <c r="A735" s="545"/>
      <c r="B735" s="545"/>
      <c r="C735" s="545"/>
      <c r="D735" s="570"/>
      <c r="E735" s="545"/>
      <c r="F735" s="545"/>
    </row>
    <row r="736">
      <c r="A736" s="545"/>
      <c r="B736" s="545"/>
      <c r="C736" s="545"/>
      <c r="D736" s="570"/>
      <c r="E736" s="545"/>
      <c r="F736" s="545"/>
    </row>
    <row r="737">
      <c r="A737" s="545"/>
      <c r="B737" s="545"/>
      <c r="C737" s="545"/>
      <c r="D737" s="570"/>
      <c r="E737" s="545"/>
      <c r="F737" s="545"/>
    </row>
    <row r="738">
      <c r="A738" s="545"/>
      <c r="B738" s="545"/>
      <c r="C738" s="545"/>
      <c r="D738" s="570"/>
      <c r="E738" s="545"/>
      <c r="F738" s="545"/>
    </row>
    <row r="739">
      <c r="A739" s="545"/>
      <c r="B739" s="545"/>
      <c r="C739" s="545"/>
      <c r="D739" s="570"/>
      <c r="E739" s="545"/>
      <c r="F739" s="545"/>
    </row>
    <row r="740">
      <c r="A740" s="545"/>
      <c r="B740" s="545"/>
      <c r="C740" s="545"/>
      <c r="D740" s="570"/>
      <c r="E740" s="545"/>
      <c r="F740" s="545"/>
    </row>
    <row r="741">
      <c r="A741" s="545"/>
      <c r="B741" s="545"/>
      <c r="C741" s="545"/>
      <c r="D741" s="570"/>
      <c r="E741" s="545"/>
      <c r="F741" s="545"/>
    </row>
    <row r="742">
      <c r="A742" s="545"/>
      <c r="B742" s="545"/>
      <c r="C742" s="545"/>
      <c r="D742" s="570"/>
      <c r="E742" s="545"/>
      <c r="F742" s="545"/>
    </row>
    <row r="743">
      <c r="A743" s="545"/>
      <c r="B743" s="545"/>
      <c r="C743" s="545"/>
      <c r="D743" s="570"/>
      <c r="E743" s="545"/>
      <c r="F743" s="545"/>
    </row>
    <row r="744">
      <c r="A744" s="545"/>
      <c r="B744" s="545"/>
      <c r="C744" s="545"/>
      <c r="D744" s="570"/>
      <c r="E744" s="545"/>
      <c r="F744" s="545"/>
    </row>
    <row r="745">
      <c r="A745" s="545"/>
      <c r="B745" s="545"/>
      <c r="C745" s="545"/>
      <c r="D745" s="570"/>
      <c r="E745" s="545"/>
      <c r="F745" s="545"/>
    </row>
    <row r="746">
      <c r="A746" s="545"/>
      <c r="B746" s="545"/>
      <c r="C746" s="545"/>
      <c r="D746" s="570"/>
      <c r="E746" s="545"/>
      <c r="F746" s="545"/>
    </row>
    <row r="747">
      <c r="A747" s="545"/>
      <c r="B747" s="545"/>
      <c r="C747" s="545"/>
      <c r="D747" s="570"/>
      <c r="E747" s="545"/>
      <c r="F747" s="545"/>
    </row>
    <row r="748">
      <c r="A748" s="545"/>
      <c r="B748" s="545"/>
      <c r="C748" s="545"/>
      <c r="D748" s="570"/>
      <c r="E748" s="545"/>
      <c r="F748" s="545"/>
    </row>
    <row r="749">
      <c r="A749" s="545"/>
      <c r="B749" s="545"/>
      <c r="C749" s="545"/>
      <c r="D749" s="570"/>
      <c r="E749" s="545"/>
      <c r="F749" s="545"/>
    </row>
    <row r="750">
      <c r="A750" s="545"/>
      <c r="B750" s="545"/>
      <c r="C750" s="545"/>
      <c r="D750" s="570"/>
      <c r="E750" s="545"/>
      <c r="F750" s="545"/>
    </row>
    <row r="751">
      <c r="A751" s="545"/>
      <c r="B751" s="545"/>
      <c r="C751" s="545"/>
      <c r="D751" s="570"/>
      <c r="E751" s="545"/>
      <c r="F751" s="545"/>
    </row>
    <row r="752">
      <c r="A752" s="545"/>
      <c r="B752" s="545"/>
      <c r="C752" s="545"/>
      <c r="D752" s="570"/>
      <c r="E752" s="545"/>
      <c r="F752" s="545"/>
    </row>
    <row r="753">
      <c r="A753" s="545"/>
      <c r="B753" s="545"/>
      <c r="C753" s="545"/>
      <c r="D753" s="570"/>
      <c r="E753" s="545"/>
      <c r="F753" s="545"/>
    </row>
    <row r="754">
      <c r="A754" s="545"/>
      <c r="B754" s="545"/>
      <c r="C754" s="545"/>
      <c r="D754" s="570"/>
      <c r="E754" s="545"/>
      <c r="F754" s="545"/>
    </row>
    <row r="755">
      <c r="A755" s="545"/>
      <c r="B755" s="545"/>
      <c r="C755" s="545"/>
      <c r="D755" s="570"/>
      <c r="E755" s="545"/>
      <c r="F755" s="545"/>
    </row>
    <row r="756">
      <c r="A756" s="545"/>
      <c r="B756" s="545"/>
      <c r="C756" s="545"/>
      <c r="D756" s="570"/>
      <c r="E756" s="545"/>
      <c r="F756" s="545"/>
    </row>
    <row r="757">
      <c r="A757" s="545"/>
      <c r="B757" s="545"/>
      <c r="C757" s="545"/>
      <c r="D757" s="570"/>
      <c r="E757" s="545"/>
      <c r="F757" s="545"/>
    </row>
    <row r="758">
      <c r="A758" s="545"/>
      <c r="B758" s="545"/>
      <c r="C758" s="545"/>
      <c r="D758" s="570"/>
      <c r="E758" s="545"/>
      <c r="F758" s="545"/>
    </row>
    <row r="759">
      <c r="A759" s="545"/>
      <c r="B759" s="545"/>
      <c r="C759" s="545"/>
      <c r="D759" s="570"/>
      <c r="E759" s="545"/>
      <c r="F759" s="545"/>
    </row>
    <row r="760">
      <c r="A760" s="545"/>
      <c r="B760" s="545"/>
      <c r="C760" s="545"/>
      <c r="D760" s="570"/>
      <c r="E760" s="545"/>
      <c r="F760" s="545"/>
    </row>
    <row r="761">
      <c r="A761" s="545"/>
      <c r="B761" s="545"/>
      <c r="C761" s="545"/>
      <c r="D761" s="570"/>
      <c r="E761" s="545"/>
      <c r="F761" s="545"/>
    </row>
    <row r="762">
      <c r="A762" s="545"/>
      <c r="B762" s="545"/>
      <c r="C762" s="545"/>
      <c r="D762" s="570"/>
      <c r="E762" s="545"/>
      <c r="F762" s="545"/>
    </row>
    <row r="763">
      <c r="A763" s="545"/>
      <c r="B763" s="545"/>
      <c r="C763" s="545"/>
      <c r="D763" s="570"/>
      <c r="E763" s="545"/>
      <c r="F763" s="545"/>
    </row>
    <row r="764">
      <c r="A764" s="545"/>
      <c r="B764" s="545"/>
      <c r="C764" s="545"/>
      <c r="D764" s="570"/>
      <c r="E764" s="545"/>
      <c r="F764" s="545"/>
    </row>
    <row r="765">
      <c r="A765" s="545"/>
      <c r="B765" s="545"/>
      <c r="C765" s="545"/>
      <c r="D765" s="570"/>
      <c r="E765" s="545"/>
      <c r="F765" s="545"/>
    </row>
    <row r="766">
      <c r="A766" s="545"/>
      <c r="B766" s="545"/>
      <c r="C766" s="545"/>
      <c r="D766" s="570"/>
      <c r="E766" s="545"/>
      <c r="F766" s="545"/>
    </row>
    <row r="767">
      <c r="A767" s="545"/>
      <c r="B767" s="545"/>
      <c r="C767" s="545"/>
      <c r="D767" s="570"/>
      <c r="E767" s="545"/>
      <c r="F767" s="545"/>
    </row>
    <row r="768">
      <c r="A768" s="545"/>
      <c r="B768" s="545"/>
      <c r="C768" s="545"/>
      <c r="D768" s="570"/>
      <c r="E768" s="545"/>
      <c r="F768" s="545"/>
    </row>
    <row r="769">
      <c r="A769" s="545"/>
      <c r="B769" s="545"/>
      <c r="C769" s="545"/>
      <c r="D769" s="570"/>
      <c r="E769" s="545"/>
      <c r="F769" s="545"/>
    </row>
    <row r="770">
      <c r="A770" s="545"/>
      <c r="B770" s="545"/>
      <c r="C770" s="545"/>
      <c r="D770" s="570"/>
      <c r="E770" s="545"/>
      <c r="F770" s="545"/>
    </row>
    <row r="771">
      <c r="A771" s="545"/>
      <c r="B771" s="545"/>
      <c r="C771" s="545"/>
      <c r="D771" s="570"/>
      <c r="E771" s="545"/>
      <c r="F771" s="545"/>
    </row>
    <row r="772">
      <c r="A772" s="545"/>
      <c r="B772" s="545"/>
      <c r="C772" s="545"/>
      <c r="D772" s="570"/>
      <c r="E772" s="545"/>
      <c r="F772" s="545"/>
    </row>
    <row r="773">
      <c r="A773" s="545"/>
      <c r="B773" s="545"/>
      <c r="C773" s="545"/>
      <c r="D773" s="570"/>
      <c r="E773" s="545"/>
      <c r="F773" s="545"/>
    </row>
    <row r="774">
      <c r="A774" s="545"/>
      <c r="B774" s="545"/>
      <c r="C774" s="545"/>
      <c r="D774" s="570"/>
      <c r="E774" s="545"/>
      <c r="F774" s="545"/>
    </row>
    <row r="775">
      <c r="A775" s="545"/>
      <c r="B775" s="545"/>
      <c r="C775" s="545"/>
      <c r="D775" s="570"/>
      <c r="E775" s="545"/>
      <c r="F775" s="545"/>
    </row>
    <row r="776">
      <c r="A776" s="545"/>
      <c r="B776" s="545"/>
      <c r="C776" s="545"/>
      <c r="D776" s="570"/>
      <c r="E776" s="545"/>
      <c r="F776" s="545"/>
    </row>
    <row r="777">
      <c r="A777" s="545"/>
      <c r="B777" s="545"/>
      <c r="C777" s="545"/>
      <c r="D777" s="570"/>
      <c r="E777" s="545"/>
      <c r="F777" s="545"/>
    </row>
    <row r="778">
      <c r="A778" s="545"/>
      <c r="B778" s="545"/>
      <c r="C778" s="545"/>
      <c r="D778" s="570"/>
      <c r="E778" s="545"/>
      <c r="F778" s="545"/>
    </row>
    <row r="779">
      <c r="A779" s="545"/>
      <c r="B779" s="545"/>
      <c r="C779" s="545"/>
      <c r="D779" s="570"/>
      <c r="E779" s="545"/>
      <c r="F779" s="545"/>
    </row>
    <row r="780">
      <c r="A780" s="545"/>
      <c r="B780" s="545"/>
      <c r="C780" s="545"/>
      <c r="D780" s="570"/>
      <c r="E780" s="545"/>
      <c r="F780" s="545"/>
    </row>
    <row r="781">
      <c r="A781" s="545"/>
      <c r="B781" s="545"/>
      <c r="C781" s="545"/>
      <c r="D781" s="570"/>
      <c r="E781" s="545"/>
      <c r="F781" s="545"/>
    </row>
    <row r="782">
      <c r="A782" s="545"/>
      <c r="B782" s="545"/>
      <c r="C782" s="545"/>
      <c r="D782" s="570"/>
      <c r="E782" s="545"/>
      <c r="F782" s="545"/>
    </row>
    <row r="783">
      <c r="A783" s="545"/>
      <c r="B783" s="545"/>
      <c r="C783" s="545"/>
      <c r="D783" s="570"/>
      <c r="E783" s="545"/>
      <c r="F783" s="545"/>
    </row>
    <row r="784">
      <c r="A784" s="545"/>
      <c r="B784" s="545"/>
      <c r="C784" s="545"/>
      <c r="D784" s="570"/>
      <c r="E784" s="545"/>
      <c r="F784" s="545"/>
    </row>
    <row r="785">
      <c r="A785" s="545"/>
      <c r="B785" s="545"/>
      <c r="C785" s="545"/>
      <c r="D785" s="570"/>
      <c r="E785" s="545"/>
      <c r="F785" s="545"/>
    </row>
    <row r="786">
      <c r="A786" s="545"/>
      <c r="B786" s="545"/>
      <c r="C786" s="545"/>
      <c r="D786" s="570"/>
      <c r="E786" s="545"/>
      <c r="F786" s="545"/>
    </row>
    <row r="787">
      <c r="A787" s="545"/>
      <c r="B787" s="545"/>
      <c r="C787" s="545"/>
      <c r="D787" s="570"/>
      <c r="E787" s="545"/>
      <c r="F787" s="545"/>
    </row>
    <row r="788">
      <c r="A788" s="545"/>
      <c r="B788" s="545"/>
      <c r="C788" s="545"/>
      <c r="D788" s="570"/>
      <c r="E788" s="545"/>
      <c r="F788" s="545"/>
    </row>
    <row r="789">
      <c r="A789" s="545"/>
      <c r="B789" s="545"/>
      <c r="C789" s="545"/>
      <c r="D789" s="570"/>
      <c r="E789" s="545"/>
      <c r="F789" s="545"/>
    </row>
    <row r="790">
      <c r="A790" s="545"/>
      <c r="B790" s="545"/>
      <c r="C790" s="545"/>
      <c r="D790" s="570"/>
      <c r="E790" s="545"/>
      <c r="F790" s="545"/>
    </row>
    <row r="791">
      <c r="A791" s="545"/>
      <c r="B791" s="545"/>
      <c r="C791" s="545"/>
      <c r="D791" s="570"/>
      <c r="E791" s="545"/>
      <c r="F791" s="545"/>
    </row>
    <row r="792">
      <c r="A792" s="545"/>
      <c r="B792" s="545"/>
      <c r="C792" s="545"/>
      <c r="D792" s="570"/>
      <c r="E792" s="545"/>
      <c r="F792" s="545"/>
    </row>
    <row r="793">
      <c r="A793" s="545"/>
      <c r="B793" s="545"/>
      <c r="C793" s="545"/>
      <c r="D793" s="570"/>
      <c r="E793" s="545"/>
      <c r="F793" s="545"/>
    </row>
    <row r="794">
      <c r="A794" s="545"/>
      <c r="B794" s="545"/>
      <c r="C794" s="545"/>
      <c r="D794" s="570"/>
      <c r="E794" s="545"/>
      <c r="F794" s="545"/>
    </row>
    <row r="795">
      <c r="A795" s="545"/>
      <c r="B795" s="545"/>
      <c r="C795" s="545"/>
      <c r="D795" s="570"/>
      <c r="E795" s="545"/>
      <c r="F795" s="545"/>
    </row>
    <row r="796">
      <c r="A796" s="545"/>
      <c r="B796" s="545"/>
      <c r="C796" s="545"/>
      <c r="D796" s="570"/>
      <c r="E796" s="545"/>
      <c r="F796" s="545"/>
    </row>
    <row r="797">
      <c r="A797" s="545"/>
      <c r="B797" s="545"/>
      <c r="C797" s="545"/>
      <c r="D797" s="570"/>
      <c r="E797" s="545"/>
      <c r="F797" s="545"/>
    </row>
    <row r="798">
      <c r="A798" s="545"/>
      <c r="B798" s="545"/>
      <c r="C798" s="545"/>
      <c r="D798" s="570"/>
      <c r="E798" s="545"/>
      <c r="F798" s="545"/>
    </row>
    <row r="799">
      <c r="A799" s="545"/>
      <c r="B799" s="545"/>
      <c r="C799" s="545"/>
      <c r="D799" s="570"/>
      <c r="E799" s="545"/>
      <c r="F799" s="545"/>
    </row>
    <row r="800">
      <c r="A800" s="545"/>
      <c r="B800" s="545"/>
      <c r="C800" s="545"/>
      <c r="D800" s="570"/>
      <c r="E800" s="545"/>
      <c r="F800" s="545"/>
    </row>
    <row r="801">
      <c r="A801" s="545"/>
      <c r="B801" s="545"/>
      <c r="C801" s="545"/>
      <c r="D801" s="570"/>
      <c r="E801" s="545"/>
      <c r="F801" s="545"/>
    </row>
    <row r="802">
      <c r="A802" s="545"/>
      <c r="B802" s="545"/>
      <c r="C802" s="545"/>
      <c r="D802" s="570"/>
      <c r="E802" s="545"/>
      <c r="F802" s="545"/>
    </row>
    <row r="803">
      <c r="A803" s="545"/>
      <c r="B803" s="545"/>
      <c r="C803" s="545"/>
      <c r="D803" s="570"/>
      <c r="E803" s="545"/>
      <c r="F803" s="545"/>
    </row>
    <row r="804">
      <c r="A804" s="545"/>
      <c r="B804" s="545"/>
      <c r="C804" s="545"/>
      <c r="D804" s="570"/>
      <c r="E804" s="545"/>
      <c r="F804" s="545"/>
    </row>
    <row r="805">
      <c r="A805" s="545"/>
      <c r="B805" s="545"/>
      <c r="C805" s="545"/>
      <c r="D805" s="570"/>
      <c r="E805" s="545"/>
      <c r="F805" s="545"/>
    </row>
    <row r="806">
      <c r="A806" s="545"/>
      <c r="B806" s="545"/>
      <c r="C806" s="545"/>
      <c r="D806" s="570"/>
      <c r="E806" s="545"/>
      <c r="F806" s="545"/>
    </row>
    <row r="807">
      <c r="A807" s="545"/>
      <c r="B807" s="545"/>
      <c r="C807" s="545"/>
      <c r="D807" s="570"/>
      <c r="E807" s="545"/>
      <c r="F807" s="545"/>
    </row>
    <row r="808">
      <c r="A808" s="545"/>
      <c r="B808" s="545"/>
      <c r="C808" s="545"/>
      <c r="D808" s="570"/>
      <c r="E808" s="545"/>
      <c r="F808" s="545"/>
    </row>
    <row r="809">
      <c r="A809" s="545"/>
      <c r="B809" s="545"/>
      <c r="C809" s="545"/>
      <c r="D809" s="570"/>
      <c r="E809" s="545"/>
      <c r="F809" s="545"/>
    </row>
    <row r="810">
      <c r="A810" s="545"/>
      <c r="B810" s="545"/>
      <c r="C810" s="545"/>
      <c r="D810" s="570"/>
      <c r="E810" s="545"/>
      <c r="F810" s="545"/>
    </row>
    <row r="811">
      <c r="A811" s="545"/>
      <c r="B811" s="545"/>
      <c r="C811" s="545"/>
      <c r="D811" s="570"/>
      <c r="E811" s="545"/>
      <c r="F811" s="545"/>
    </row>
    <row r="812">
      <c r="A812" s="545"/>
      <c r="B812" s="545"/>
      <c r="C812" s="545"/>
      <c r="D812" s="570"/>
      <c r="E812" s="545"/>
      <c r="F812" s="545"/>
    </row>
    <row r="813">
      <c r="A813" s="545"/>
      <c r="B813" s="545"/>
      <c r="C813" s="545"/>
      <c r="D813" s="570"/>
      <c r="E813" s="545"/>
      <c r="F813" s="545"/>
    </row>
    <row r="814">
      <c r="A814" s="545"/>
      <c r="B814" s="545"/>
      <c r="C814" s="545"/>
      <c r="D814" s="570"/>
      <c r="E814" s="545"/>
      <c r="F814" s="545"/>
    </row>
    <row r="815">
      <c r="A815" s="545"/>
      <c r="B815" s="545"/>
      <c r="C815" s="545"/>
      <c r="D815" s="570"/>
      <c r="E815" s="545"/>
      <c r="F815" s="545"/>
    </row>
    <row r="816">
      <c r="A816" s="545"/>
      <c r="B816" s="545"/>
      <c r="C816" s="545"/>
      <c r="D816" s="570"/>
      <c r="E816" s="545"/>
      <c r="F816" s="545"/>
    </row>
    <row r="817">
      <c r="A817" s="545"/>
      <c r="B817" s="545"/>
      <c r="C817" s="545"/>
      <c r="D817" s="570"/>
      <c r="E817" s="545"/>
      <c r="F817" s="545"/>
    </row>
    <row r="818">
      <c r="A818" s="545"/>
      <c r="B818" s="545"/>
      <c r="C818" s="545"/>
      <c r="D818" s="570"/>
      <c r="E818" s="545"/>
      <c r="F818" s="545"/>
    </row>
    <row r="819">
      <c r="A819" s="545"/>
      <c r="B819" s="545"/>
      <c r="C819" s="545"/>
      <c r="D819" s="570"/>
      <c r="E819" s="545"/>
      <c r="F819" s="545"/>
    </row>
    <row r="820">
      <c r="A820" s="545"/>
      <c r="B820" s="545"/>
      <c r="C820" s="545"/>
      <c r="D820" s="570"/>
      <c r="E820" s="545"/>
      <c r="F820" s="545"/>
    </row>
    <row r="821">
      <c r="A821" s="545"/>
      <c r="B821" s="545"/>
      <c r="C821" s="545"/>
      <c r="D821" s="570"/>
      <c r="E821" s="545"/>
      <c r="F821" s="545"/>
    </row>
    <row r="822">
      <c r="A822" s="545"/>
      <c r="B822" s="545"/>
      <c r="C822" s="545"/>
      <c r="D822" s="570"/>
      <c r="E822" s="545"/>
      <c r="F822" s="545"/>
    </row>
    <row r="823">
      <c r="A823" s="545"/>
      <c r="B823" s="545"/>
      <c r="C823" s="545"/>
      <c r="D823" s="570"/>
      <c r="E823" s="545"/>
      <c r="F823" s="545"/>
    </row>
    <row r="824">
      <c r="A824" s="545"/>
      <c r="B824" s="545"/>
      <c r="C824" s="545"/>
      <c r="D824" s="570"/>
      <c r="E824" s="545"/>
      <c r="F824" s="545"/>
    </row>
    <row r="825">
      <c r="A825" s="545"/>
      <c r="B825" s="545"/>
      <c r="C825" s="545"/>
      <c r="D825" s="570"/>
      <c r="E825" s="545"/>
      <c r="F825" s="545"/>
    </row>
    <row r="826">
      <c r="A826" s="545"/>
      <c r="B826" s="545"/>
      <c r="C826" s="545"/>
      <c r="D826" s="570"/>
      <c r="E826" s="545"/>
      <c r="F826" s="545"/>
    </row>
    <row r="827">
      <c r="A827" s="545"/>
      <c r="B827" s="545"/>
      <c r="C827" s="545"/>
      <c r="D827" s="570"/>
      <c r="E827" s="545"/>
      <c r="F827" s="545"/>
    </row>
    <row r="828">
      <c r="A828" s="545"/>
      <c r="B828" s="545"/>
      <c r="C828" s="545"/>
      <c r="D828" s="570"/>
      <c r="E828" s="545"/>
      <c r="F828" s="545"/>
    </row>
    <row r="829">
      <c r="A829" s="545"/>
      <c r="B829" s="545"/>
      <c r="C829" s="545"/>
      <c r="D829" s="570"/>
      <c r="E829" s="545"/>
      <c r="F829" s="545"/>
    </row>
    <row r="830">
      <c r="A830" s="545"/>
      <c r="B830" s="545"/>
      <c r="C830" s="545"/>
      <c r="D830" s="570"/>
      <c r="E830" s="545"/>
      <c r="F830" s="545"/>
    </row>
    <row r="831">
      <c r="A831" s="545"/>
      <c r="B831" s="545"/>
      <c r="C831" s="545"/>
      <c r="D831" s="570"/>
      <c r="E831" s="545"/>
      <c r="F831" s="545"/>
    </row>
    <row r="832">
      <c r="A832" s="545"/>
      <c r="B832" s="545"/>
      <c r="C832" s="545"/>
      <c r="D832" s="570"/>
      <c r="E832" s="545"/>
      <c r="F832" s="545"/>
    </row>
    <row r="833">
      <c r="A833" s="545"/>
      <c r="B833" s="545"/>
      <c r="C833" s="545"/>
      <c r="D833" s="570"/>
      <c r="E833" s="545"/>
      <c r="F833" s="545"/>
    </row>
    <row r="834">
      <c r="A834" s="545"/>
      <c r="B834" s="545"/>
      <c r="C834" s="545"/>
      <c r="D834" s="570"/>
      <c r="E834" s="545"/>
      <c r="F834" s="545"/>
    </row>
    <row r="835">
      <c r="A835" s="545"/>
      <c r="B835" s="545"/>
      <c r="C835" s="545"/>
      <c r="D835" s="570"/>
      <c r="E835" s="545"/>
      <c r="F835" s="545"/>
    </row>
    <row r="836">
      <c r="A836" s="545"/>
      <c r="B836" s="545"/>
      <c r="C836" s="545"/>
      <c r="D836" s="570"/>
      <c r="E836" s="545"/>
      <c r="F836" s="545"/>
    </row>
    <row r="837">
      <c r="A837" s="545"/>
      <c r="B837" s="545"/>
      <c r="C837" s="545"/>
      <c r="D837" s="570"/>
      <c r="E837" s="545"/>
      <c r="F837" s="545"/>
    </row>
    <row r="838">
      <c r="A838" s="545"/>
      <c r="B838" s="545"/>
      <c r="C838" s="545"/>
      <c r="D838" s="570"/>
      <c r="E838" s="545"/>
      <c r="F838" s="545"/>
    </row>
    <row r="839">
      <c r="A839" s="545"/>
      <c r="B839" s="545"/>
      <c r="C839" s="545"/>
      <c r="D839" s="570"/>
      <c r="E839" s="545"/>
      <c r="F839" s="545"/>
    </row>
    <row r="840">
      <c r="A840" s="545"/>
      <c r="B840" s="545"/>
      <c r="C840" s="545"/>
      <c r="D840" s="570"/>
      <c r="E840" s="545"/>
      <c r="F840" s="545"/>
    </row>
    <row r="841">
      <c r="A841" s="545"/>
      <c r="B841" s="545"/>
      <c r="C841" s="545"/>
      <c r="D841" s="570"/>
      <c r="E841" s="545"/>
      <c r="F841" s="545"/>
    </row>
    <row r="842">
      <c r="A842" s="545"/>
      <c r="B842" s="545"/>
      <c r="C842" s="545"/>
      <c r="D842" s="570"/>
      <c r="E842" s="545"/>
      <c r="F842" s="545"/>
    </row>
    <row r="843">
      <c r="A843" s="545"/>
      <c r="B843" s="545"/>
      <c r="C843" s="545"/>
      <c r="D843" s="570"/>
      <c r="E843" s="545"/>
      <c r="F843" s="545"/>
    </row>
    <row r="844">
      <c r="A844" s="545"/>
      <c r="B844" s="545"/>
      <c r="C844" s="545"/>
      <c r="D844" s="570"/>
      <c r="E844" s="545"/>
      <c r="F844" s="545"/>
    </row>
    <row r="845">
      <c r="A845" s="545"/>
      <c r="B845" s="545"/>
      <c r="C845" s="545"/>
      <c r="D845" s="570"/>
      <c r="E845" s="545"/>
      <c r="F845" s="545"/>
    </row>
    <row r="846">
      <c r="A846" s="545"/>
      <c r="B846" s="545"/>
      <c r="C846" s="545"/>
      <c r="D846" s="570"/>
      <c r="E846" s="545"/>
      <c r="F846" s="545"/>
    </row>
    <row r="847">
      <c r="A847" s="545"/>
      <c r="B847" s="545"/>
      <c r="C847" s="545"/>
      <c r="D847" s="570"/>
      <c r="E847" s="545"/>
      <c r="F847" s="545"/>
    </row>
    <row r="848">
      <c r="A848" s="545"/>
      <c r="B848" s="545"/>
      <c r="C848" s="545"/>
      <c r="D848" s="570"/>
      <c r="E848" s="545"/>
      <c r="F848" s="545"/>
    </row>
    <row r="849">
      <c r="A849" s="545"/>
      <c r="B849" s="545"/>
      <c r="C849" s="545"/>
      <c r="D849" s="570"/>
      <c r="E849" s="545"/>
      <c r="F849" s="545"/>
    </row>
    <row r="850">
      <c r="A850" s="545"/>
      <c r="B850" s="545"/>
      <c r="C850" s="545"/>
      <c r="D850" s="570"/>
      <c r="E850" s="545"/>
      <c r="F850" s="545"/>
    </row>
    <row r="851">
      <c r="A851" s="545"/>
      <c r="B851" s="545"/>
      <c r="C851" s="545"/>
      <c r="D851" s="570"/>
      <c r="E851" s="545"/>
      <c r="F851" s="545"/>
    </row>
    <row r="852">
      <c r="A852" s="545"/>
      <c r="B852" s="545"/>
      <c r="C852" s="545"/>
      <c r="D852" s="570"/>
      <c r="E852" s="545"/>
      <c r="F852" s="545"/>
    </row>
    <row r="853">
      <c r="A853" s="545"/>
      <c r="B853" s="545"/>
      <c r="C853" s="545"/>
      <c r="D853" s="570"/>
      <c r="E853" s="545"/>
      <c r="F853" s="545"/>
    </row>
    <row r="854">
      <c r="A854" s="545"/>
      <c r="B854" s="545"/>
      <c r="C854" s="545"/>
      <c r="D854" s="570"/>
      <c r="E854" s="545"/>
      <c r="F854" s="545"/>
    </row>
    <row r="855">
      <c r="A855" s="545"/>
      <c r="B855" s="545"/>
      <c r="C855" s="545"/>
      <c r="D855" s="570"/>
      <c r="E855" s="545"/>
      <c r="F855" s="545"/>
    </row>
    <row r="856">
      <c r="A856" s="545"/>
      <c r="B856" s="545"/>
      <c r="C856" s="545"/>
      <c r="D856" s="570"/>
      <c r="E856" s="545"/>
      <c r="F856" s="545"/>
    </row>
    <row r="857">
      <c r="A857" s="545"/>
      <c r="B857" s="545"/>
      <c r="C857" s="545"/>
      <c r="D857" s="570"/>
      <c r="E857" s="545"/>
      <c r="F857" s="545"/>
    </row>
    <row r="858">
      <c r="A858" s="545"/>
      <c r="B858" s="545"/>
      <c r="C858" s="545"/>
      <c r="D858" s="570"/>
      <c r="E858" s="545"/>
      <c r="F858" s="545"/>
    </row>
    <row r="859">
      <c r="A859" s="545"/>
      <c r="B859" s="545"/>
      <c r="C859" s="545"/>
      <c r="D859" s="570"/>
      <c r="E859" s="545"/>
      <c r="F859" s="545"/>
    </row>
    <row r="860">
      <c r="A860" s="545"/>
      <c r="B860" s="545"/>
      <c r="C860" s="545"/>
      <c r="D860" s="570"/>
      <c r="E860" s="545"/>
      <c r="F860" s="545"/>
    </row>
    <row r="861">
      <c r="A861" s="545"/>
      <c r="B861" s="545"/>
      <c r="C861" s="545"/>
      <c r="D861" s="570"/>
      <c r="E861" s="545"/>
      <c r="F861" s="545"/>
    </row>
    <row r="862">
      <c r="A862" s="545"/>
      <c r="B862" s="545"/>
      <c r="C862" s="545"/>
      <c r="D862" s="570"/>
      <c r="E862" s="545"/>
      <c r="F862" s="545"/>
    </row>
    <row r="863">
      <c r="A863" s="545"/>
      <c r="B863" s="545"/>
      <c r="C863" s="545"/>
      <c r="D863" s="570"/>
      <c r="E863" s="545"/>
      <c r="F863" s="545"/>
    </row>
    <row r="864">
      <c r="A864" s="545"/>
      <c r="B864" s="545"/>
      <c r="C864" s="545"/>
      <c r="D864" s="570"/>
      <c r="E864" s="545"/>
      <c r="F864" s="545"/>
    </row>
    <row r="865">
      <c r="A865" s="545"/>
      <c r="B865" s="545"/>
      <c r="C865" s="545"/>
      <c r="D865" s="570"/>
      <c r="E865" s="545"/>
      <c r="F865" s="545"/>
    </row>
    <row r="866">
      <c r="A866" s="545"/>
      <c r="B866" s="545"/>
      <c r="C866" s="545"/>
      <c r="D866" s="570"/>
      <c r="E866" s="545"/>
      <c r="F866" s="545"/>
    </row>
    <row r="867">
      <c r="A867" s="545"/>
      <c r="B867" s="545"/>
      <c r="C867" s="545"/>
      <c r="D867" s="570"/>
      <c r="E867" s="545"/>
      <c r="F867" s="545"/>
    </row>
    <row r="868">
      <c r="A868" s="545"/>
      <c r="B868" s="545"/>
      <c r="C868" s="545"/>
      <c r="D868" s="570"/>
      <c r="E868" s="545"/>
      <c r="F868" s="545"/>
    </row>
    <row r="869">
      <c r="A869" s="545"/>
      <c r="B869" s="545"/>
      <c r="C869" s="545"/>
      <c r="D869" s="570"/>
      <c r="E869" s="545"/>
      <c r="F869" s="545"/>
    </row>
    <row r="870">
      <c r="A870" s="545"/>
      <c r="B870" s="545"/>
      <c r="C870" s="545"/>
      <c r="D870" s="570"/>
      <c r="E870" s="545"/>
      <c r="F870" s="545"/>
    </row>
    <row r="871">
      <c r="A871" s="545"/>
      <c r="B871" s="545"/>
      <c r="C871" s="545"/>
      <c r="D871" s="570"/>
      <c r="E871" s="545"/>
      <c r="F871" s="545"/>
    </row>
    <row r="872">
      <c r="A872" s="545"/>
      <c r="B872" s="545"/>
      <c r="C872" s="545"/>
      <c r="D872" s="570"/>
      <c r="E872" s="545"/>
      <c r="F872" s="545"/>
    </row>
    <row r="873">
      <c r="A873" s="545"/>
      <c r="B873" s="545"/>
      <c r="C873" s="545"/>
      <c r="D873" s="570"/>
      <c r="E873" s="545"/>
      <c r="F873" s="545"/>
    </row>
    <row r="874">
      <c r="A874" s="545"/>
      <c r="B874" s="545"/>
      <c r="C874" s="545"/>
      <c r="D874" s="570"/>
      <c r="E874" s="545"/>
      <c r="F874" s="545"/>
    </row>
    <row r="875">
      <c r="A875" s="545"/>
      <c r="B875" s="545"/>
      <c r="C875" s="545"/>
      <c r="D875" s="570"/>
      <c r="E875" s="545"/>
      <c r="F875" s="545"/>
    </row>
    <row r="876">
      <c r="A876" s="545"/>
      <c r="B876" s="545"/>
      <c r="C876" s="545"/>
      <c r="D876" s="570"/>
      <c r="E876" s="545"/>
      <c r="F876" s="545"/>
    </row>
    <row r="877">
      <c r="A877" s="545"/>
      <c r="B877" s="545"/>
      <c r="C877" s="545"/>
      <c r="D877" s="570"/>
      <c r="E877" s="545"/>
      <c r="F877" s="545"/>
    </row>
    <row r="878">
      <c r="A878" s="545"/>
      <c r="B878" s="545"/>
      <c r="C878" s="545"/>
      <c r="D878" s="570"/>
      <c r="E878" s="545"/>
      <c r="F878" s="545"/>
    </row>
    <row r="879">
      <c r="A879" s="545"/>
      <c r="B879" s="545"/>
      <c r="C879" s="545"/>
      <c r="D879" s="570"/>
      <c r="E879" s="545"/>
      <c r="F879" s="545"/>
    </row>
    <row r="880">
      <c r="A880" s="545"/>
      <c r="B880" s="545"/>
      <c r="C880" s="545"/>
      <c r="D880" s="570"/>
      <c r="E880" s="545"/>
      <c r="F880" s="545"/>
    </row>
    <row r="881">
      <c r="A881" s="545"/>
      <c r="B881" s="545"/>
      <c r="C881" s="545"/>
      <c r="D881" s="570"/>
      <c r="E881" s="545"/>
      <c r="F881" s="545"/>
    </row>
    <row r="882">
      <c r="A882" s="545"/>
      <c r="B882" s="545"/>
      <c r="C882" s="545"/>
      <c r="D882" s="570"/>
      <c r="E882" s="545"/>
      <c r="F882" s="545"/>
    </row>
    <row r="883">
      <c r="A883" s="545"/>
      <c r="B883" s="545"/>
      <c r="C883" s="545"/>
      <c r="D883" s="570"/>
      <c r="E883" s="545"/>
      <c r="F883" s="545"/>
    </row>
    <row r="884">
      <c r="A884" s="545"/>
      <c r="B884" s="545"/>
      <c r="C884" s="545"/>
      <c r="D884" s="570"/>
      <c r="E884" s="545"/>
      <c r="F884" s="545"/>
    </row>
    <row r="885">
      <c r="A885" s="545"/>
      <c r="B885" s="545"/>
      <c r="C885" s="545"/>
      <c r="D885" s="570"/>
      <c r="E885" s="545"/>
      <c r="F885" s="545"/>
    </row>
    <row r="886">
      <c r="A886" s="545"/>
      <c r="B886" s="545"/>
      <c r="C886" s="545"/>
      <c r="D886" s="570"/>
      <c r="E886" s="545"/>
      <c r="F886" s="545"/>
    </row>
    <row r="887">
      <c r="A887" s="545"/>
      <c r="B887" s="545"/>
      <c r="C887" s="545"/>
      <c r="D887" s="570"/>
      <c r="E887" s="545"/>
      <c r="F887" s="545"/>
    </row>
    <row r="888">
      <c r="A888" s="545"/>
      <c r="B888" s="545"/>
      <c r="C888" s="545"/>
      <c r="D888" s="570"/>
      <c r="E888" s="545"/>
      <c r="F888" s="545"/>
    </row>
    <row r="889">
      <c r="A889" s="545"/>
      <c r="B889" s="545"/>
      <c r="C889" s="545"/>
      <c r="D889" s="570"/>
      <c r="E889" s="545"/>
      <c r="F889" s="545"/>
    </row>
    <row r="890">
      <c r="A890" s="545"/>
      <c r="B890" s="545"/>
      <c r="C890" s="545"/>
      <c r="D890" s="570"/>
      <c r="E890" s="545"/>
      <c r="F890" s="545"/>
    </row>
    <row r="891">
      <c r="A891" s="545"/>
      <c r="B891" s="545"/>
      <c r="C891" s="545"/>
      <c r="D891" s="570"/>
      <c r="E891" s="545"/>
      <c r="F891" s="545"/>
    </row>
    <row r="892">
      <c r="A892" s="545"/>
      <c r="B892" s="545"/>
      <c r="C892" s="545"/>
      <c r="D892" s="570"/>
      <c r="E892" s="545"/>
      <c r="F892" s="545"/>
    </row>
    <row r="893">
      <c r="A893" s="545"/>
      <c r="B893" s="545"/>
      <c r="C893" s="545"/>
      <c r="D893" s="570"/>
      <c r="E893" s="545"/>
      <c r="F893" s="545"/>
    </row>
    <row r="894">
      <c r="A894" s="545"/>
      <c r="B894" s="545"/>
      <c r="C894" s="545"/>
      <c r="D894" s="570"/>
      <c r="E894" s="545"/>
      <c r="F894" s="545"/>
    </row>
    <row r="895">
      <c r="A895" s="545"/>
      <c r="B895" s="545"/>
      <c r="C895" s="545"/>
      <c r="D895" s="570"/>
      <c r="E895" s="545"/>
      <c r="F895" s="545"/>
    </row>
    <row r="896">
      <c r="A896" s="545"/>
      <c r="B896" s="545"/>
      <c r="C896" s="545"/>
      <c r="D896" s="570"/>
      <c r="E896" s="545"/>
      <c r="F896" s="545"/>
    </row>
    <row r="897">
      <c r="A897" s="545"/>
      <c r="B897" s="545"/>
      <c r="C897" s="545"/>
      <c r="D897" s="570"/>
      <c r="E897" s="545"/>
      <c r="F897" s="545"/>
    </row>
    <row r="898">
      <c r="A898" s="545"/>
      <c r="B898" s="545"/>
      <c r="C898" s="545"/>
      <c r="D898" s="570"/>
      <c r="E898" s="545"/>
      <c r="F898" s="545"/>
    </row>
    <row r="899">
      <c r="A899" s="545"/>
      <c r="B899" s="545"/>
      <c r="C899" s="545"/>
      <c r="D899" s="570"/>
      <c r="E899" s="545"/>
      <c r="F899" s="545"/>
    </row>
    <row r="900">
      <c r="A900" s="545"/>
      <c r="B900" s="545"/>
      <c r="C900" s="545"/>
      <c r="D900" s="570"/>
      <c r="E900" s="545"/>
      <c r="F900" s="545"/>
    </row>
    <row r="901">
      <c r="A901" s="545"/>
      <c r="B901" s="545"/>
      <c r="C901" s="545"/>
      <c r="D901" s="570"/>
      <c r="E901" s="545"/>
      <c r="F901" s="545"/>
    </row>
    <row r="902">
      <c r="A902" s="545"/>
      <c r="B902" s="545"/>
      <c r="C902" s="545"/>
      <c r="D902" s="570"/>
      <c r="E902" s="545"/>
      <c r="F902" s="545"/>
    </row>
    <row r="903">
      <c r="A903" s="545"/>
      <c r="B903" s="545"/>
      <c r="C903" s="545"/>
      <c r="D903" s="570"/>
      <c r="E903" s="545"/>
      <c r="F903" s="545"/>
    </row>
    <row r="904">
      <c r="A904" s="545"/>
      <c r="B904" s="545"/>
      <c r="C904" s="545"/>
      <c r="D904" s="570"/>
      <c r="E904" s="545"/>
      <c r="F904" s="545"/>
    </row>
    <row r="905">
      <c r="A905" s="545"/>
      <c r="B905" s="545"/>
      <c r="C905" s="545"/>
      <c r="D905" s="570"/>
      <c r="E905" s="545"/>
      <c r="F905" s="545"/>
    </row>
    <row r="906">
      <c r="A906" s="545"/>
      <c r="B906" s="545"/>
      <c r="C906" s="545"/>
      <c r="D906" s="570"/>
      <c r="E906" s="545"/>
      <c r="F906" s="545"/>
    </row>
    <row r="907">
      <c r="A907" s="545"/>
      <c r="B907" s="545"/>
      <c r="C907" s="545"/>
      <c r="D907" s="570"/>
      <c r="E907" s="545"/>
      <c r="F907" s="545"/>
    </row>
    <row r="908">
      <c r="A908" s="545"/>
      <c r="B908" s="545"/>
      <c r="C908" s="545"/>
      <c r="D908" s="570"/>
      <c r="E908" s="545"/>
      <c r="F908" s="545"/>
    </row>
    <row r="909">
      <c r="A909" s="545"/>
      <c r="B909" s="545"/>
      <c r="C909" s="545"/>
      <c r="D909" s="570"/>
      <c r="E909" s="545"/>
      <c r="F909" s="545"/>
    </row>
    <row r="910">
      <c r="A910" s="545"/>
      <c r="B910" s="545"/>
      <c r="C910" s="545"/>
      <c r="D910" s="570"/>
      <c r="E910" s="545"/>
      <c r="F910" s="545"/>
    </row>
    <row r="911">
      <c r="A911" s="545"/>
      <c r="B911" s="545"/>
      <c r="C911" s="545"/>
      <c r="D911" s="570"/>
      <c r="E911" s="545"/>
      <c r="F911" s="545"/>
    </row>
    <row r="912">
      <c r="A912" s="545"/>
      <c r="B912" s="545"/>
      <c r="C912" s="545"/>
      <c r="D912" s="570"/>
      <c r="E912" s="545"/>
      <c r="F912" s="545"/>
    </row>
    <row r="913">
      <c r="A913" s="545"/>
      <c r="B913" s="545"/>
      <c r="C913" s="545"/>
      <c r="D913" s="570"/>
      <c r="E913" s="545"/>
      <c r="F913" s="545"/>
    </row>
    <row r="914">
      <c r="A914" s="545"/>
      <c r="B914" s="545"/>
      <c r="C914" s="545"/>
      <c r="D914" s="570"/>
      <c r="E914" s="545"/>
      <c r="F914" s="545"/>
    </row>
    <row r="915">
      <c r="A915" s="545"/>
      <c r="B915" s="545"/>
      <c r="C915" s="545"/>
      <c r="D915" s="570"/>
      <c r="E915" s="545"/>
      <c r="F915" s="545"/>
    </row>
    <row r="916">
      <c r="A916" s="545"/>
      <c r="B916" s="545"/>
      <c r="C916" s="545"/>
      <c r="D916" s="570"/>
      <c r="E916" s="545"/>
      <c r="F916" s="545"/>
    </row>
    <row r="917">
      <c r="A917" s="545"/>
      <c r="B917" s="545"/>
      <c r="C917" s="545"/>
      <c r="D917" s="570"/>
      <c r="E917" s="545"/>
      <c r="F917" s="545"/>
    </row>
    <row r="918">
      <c r="A918" s="545"/>
      <c r="B918" s="545"/>
      <c r="C918" s="545"/>
      <c r="D918" s="570"/>
      <c r="E918" s="545"/>
      <c r="F918" s="545"/>
    </row>
    <row r="919">
      <c r="A919" s="545"/>
      <c r="B919" s="545"/>
      <c r="C919" s="545"/>
      <c r="D919" s="570"/>
      <c r="E919" s="545"/>
      <c r="F919" s="545"/>
    </row>
    <row r="920">
      <c r="A920" s="545"/>
      <c r="B920" s="545"/>
      <c r="C920" s="545"/>
      <c r="D920" s="570"/>
      <c r="E920" s="545"/>
      <c r="F920" s="545"/>
    </row>
    <row r="921">
      <c r="A921" s="545"/>
      <c r="B921" s="545"/>
      <c r="C921" s="545"/>
      <c r="D921" s="570"/>
      <c r="E921" s="545"/>
      <c r="F921" s="545"/>
    </row>
    <row r="922">
      <c r="A922" s="545"/>
      <c r="B922" s="545"/>
      <c r="C922" s="545"/>
      <c r="D922" s="570"/>
      <c r="E922" s="545"/>
      <c r="F922" s="545"/>
    </row>
    <row r="923">
      <c r="A923" s="545"/>
      <c r="B923" s="545"/>
      <c r="C923" s="545"/>
      <c r="D923" s="570"/>
      <c r="E923" s="545"/>
      <c r="F923" s="545"/>
    </row>
    <row r="924">
      <c r="A924" s="545"/>
      <c r="B924" s="545"/>
      <c r="C924" s="545"/>
      <c r="D924" s="570"/>
      <c r="E924" s="545"/>
      <c r="F924" s="545"/>
    </row>
    <row r="925">
      <c r="A925" s="545"/>
      <c r="B925" s="545"/>
      <c r="C925" s="545"/>
      <c r="D925" s="570"/>
      <c r="E925" s="545"/>
      <c r="F925" s="545"/>
    </row>
    <row r="926">
      <c r="A926" s="545"/>
      <c r="B926" s="545"/>
      <c r="C926" s="545"/>
      <c r="D926" s="570"/>
      <c r="E926" s="545"/>
      <c r="F926" s="545"/>
    </row>
    <row r="927">
      <c r="A927" s="545"/>
      <c r="B927" s="545"/>
      <c r="C927" s="545"/>
      <c r="D927" s="570"/>
      <c r="E927" s="545"/>
      <c r="F927" s="545"/>
    </row>
    <row r="928">
      <c r="A928" s="545"/>
      <c r="B928" s="545"/>
      <c r="C928" s="545"/>
      <c r="D928" s="570"/>
      <c r="E928" s="545"/>
      <c r="F928" s="545"/>
    </row>
    <row r="929">
      <c r="A929" s="545"/>
      <c r="B929" s="545"/>
      <c r="C929" s="545"/>
      <c r="D929" s="570"/>
      <c r="E929" s="545"/>
      <c r="F929" s="545"/>
    </row>
    <row r="930">
      <c r="A930" s="545"/>
      <c r="B930" s="545"/>
      <c r="C930" s="545"/>
      <c r="D930" s="570"/>
      <c r="E930" s="545"/>
      <c r="F930" s="545"/>
    </row>
    <row r="931">
      <c r="A931" s="545"/>
      <c r="B931" s="545"/>
      <c r="C931" s="545"/>
      <c r="D931" s="570"/>
      <c r="E931" s="545"/>
      <c r="F931" s="545"/>
    </row>
    <row r="932">
      <c r="A932" s="545"/>
      <c r="B932" s="545"/>
      <c r="C932" s="545"/>
      <c r="D932" s="570"/>
      <c r="E932" s="545"/>
      <c r="F932" s="545"/>
    </row>
    <row r="933">
      <c r="A933" s="545"/>
      <c r="B933" s="545"/>
      <c r="C933" s="545"/>
      <c r="D933" s="570"/>
      <c r="E933" s="545"/>
      <c r="F933" s="545"/>
    </row>
    <row r="934">
      <c r="A934" s="545"/>
      <c r="B934" s="545"/>
      <c r="C934" s="545"/>
      <c r="D934" s="570"/>
      <c r="E934" s="545"/>
      <c r="F934" s="545"/>
    </row>
    <row r="935">
      <c r="A935" s="545"/>
      <c r="B935" s="545"/>
      <c r="C935" s="545"/>
      <c r="D935" s="570"/>
      <c r="E935" s="545"/>
      <c r="F935" s="545"/>
    </row>
    <row r="936">
      <c r="A936" s="545"/>
      <c r="B936" s="545"/>
      <c r="C936" s="545"/>
      <c r="D936" s="570"/>
      <c r="E936" s="545"/>
      <c r="F936" s="545"/>
    </row>
    <row r="937">
      <c r="A937" s="545"/>
      <c r="B937" s="545"/>
      <c r="C937" s="545"/>
      <c r="D937" s="570"/>
      <c r="E937" s="545"/>
      <c r="F937" s="545"/>
    </row>
    <row r="938">
      <c r="A938" s="545"/>
      <c r="B938" s="545"/>
      <c r="C938" s="545"/>
      <c r="D938" s="570"/>
      <c r="E938" s="545"/>
      <c r="F938" s="545"/>
    </row>
    <row r="939">
      <c r="A939" s="545"/>
      <c r="B939" s="545"/>
      <c r="C939" s="545"/>
      <c r="D939" s="570"/>
      <c r="E939" s="545"/>
      <c r="F939" s="545"/>
    </row>
    <row r="940">
      <c r="A940" s="545"/>
      <c r="B940" s="545"/>
      <c r="C940" s="545"/>
      <c r="D940" s="570"/>
      <c r="E940" s="545"/>
      <c r="F940" s="545"/>
    </row>
    <row r="941">
      <c r="A941" s="545"/>
      <c r="B941" s="545"/>
      <c r="C941" s="545"/>
      <c r="D941" s="570"/>
      <c r="E941" s="545"/>
      <c r="F941" s="545"/>
    </row>
    <row r="942">
      <c r="A942" s="545"/>
      <c r="B942" s="545"/>
      <c r="C942" s="545"/>
      <c r="D942" s="570"/>
      <c r="E942" s="545"/>
      <c r="F942" s="545"/>
    </row>
    <row r="943">
      <c r="A943" s="545"/>
      <c r="B943" s="545"/>
      <c r="C943" s="545"/>
      <c r="D943" s="570"/>
      <c r="E943" s="545"/>
      <c r="F943" s="545"/>
    </row>
    <row r="944">
      <c r="A944" s="545"/>
      <c r="B944" s="545"/>
      <c r="C944" s="545"/>
      <c r="D944" s="570"/>
      <c r="E944" s="545"/>
      <c r="F944" s="545"/>
    </row>
    <row r="945">
      <c r="A945" s="545"/>
      <c r="B945" s="545"/>
      <c r="C945" s="545"/>
      <c r="D945" s="570"/>
      <c r="E945" s="545"/>
      <c r="F945" s="545"/>
    </row>
    <row r="946">
      <c r="A946" s="545"/>
      <c r="B946" s="545"/>
      <c r="C946" s="545"/>
      <c r="D946" s="570"/>
      <c r="E946" s="545"/>
      <c r="F946" s="545"/>
    </row>
    <row r="947">
      <c r="A947" s="545"/>
      <c r="B947" s="545"/>
      <c r="C947" s="545"/>
      <c r="D947" s="570"/>
      <c r="E947" s="545"/>
      <c r="F947" s="545"/>
    </row>
    <row r="948">
      <c r="A948" s="545"/>
      <c r="B948" s="545"/>
      <c r="C948" s="545"/>
      <c r="D948" s="570"/>
      <c r="E948" s="545"/>
      <c r="F948" s="545"/>
    </row>
    <row r="949">
      <c r="A949" s="545"/>
      <c r="B949" s="545"/>
      <c r="C949" s="545"/>
      <c r="D949" s="570"/>
      <c r="E949" s="545"/>
      <c r="F949" s="545"/>
    </row>
    <row r="950">
      <c r="A950" s="545"/>
      <c r="B950" s="545"/>
      <c r="C950" s="545"/>
      <c r="D950" s="570"/>
      <c r="E950" s="545"/>
      <c r="F950" s="545"/>
    </row>
    <row r="951">
      <c r="A951" s="545"/>
      <c r="B951" s="545"/>
      <c r="C951" s="545"/>
      <c r="D951" s="570"/>
      <c r="E951" s="545"/>
      <c r="F951" s="545"/>
    </row>
    <row r="952">
      <c r="A952" s="545"/>
      <c r="B952" s="545"/>
      <c r="C952" s="545"/>
      <c r="D952" s="570"/>
      <c r="E952" s="545"/>
      <c r="F952" s="545"/>
    </row>
    <row r="953">
      <c r="A953" s="545"/>
      <c r="B953" s="545"/>
      <c r="C953" s="545"/>
      <c r="D953" s="570"/>
      <c r="E953" s="545"/>
      <c r="F953" s="545"/>
    </row>
    <row r="954">
      <c r="A954" s="545"/>
      <c r="B954" s="545"/>
      <c r="C954" s="545"/>
      <c r="D954" s="570"/>
      <c r="E954" s="545"/>
      <c r="F954" s="545"/>
    </row>
    <row r="955">
      <c r="A955" s="545"/>
      <c r="B955" s="545"/>
      <c r="C955" s="545"/>
      <c r="D955" s="570"/>
      <c r="E955" s="545"/>
      <c r="F955" s="545"/>
    </row>
    <row r="956">
      <c r="A956" s="545"/>
      <c r="B956" s="545"/>
      <c r="C956" s="545"/>
      <c r="D956" s="570"/>
      <c r="E956" s="545"/>
      <c r="F956" s="545"/>
    </row>
    <row r="957">
      <c r="A957" s="545"/>
      <c r="B957" s="545"/>
      <c r="C957" s="545"/>
      <c r="D957" s="570"/>
      <c r="E957" s="545"/>
      <c r="F957" s="545"/>
    </row>
    <row r="958">
      <c r="A958" s="545"/>
      <c r="B958" s="545"/>
      <c r="C958" s="545"/>
      <c r="D958" s="570"/>
      <c r="E958" s="545"/>
      <c r="F958" s="545"/>
    </row>
    <row r="959">
      <c r="A959" s="545"/>
      <c r="B959" s="545"/>
      <c r="C959" s="545"/>
      <c r="D959" s="570"/>
      <c r="E959" s="545"/>
      <c r="F959" s="545"/>
    </row>
    <row r="960">
      <c r="A960" s="545"/>
      <c r="B960" s="545"/>
      <c r="C960" s="545"/>
      <c r="D960" s="570"/>
      <c r="E960" s="545"/>
      <c r="F960" s="545"/>
    </row>
    <row r="961">
      <c r="A961" s="545"/>
      <c r="B961" s="545"/>
      <c r="C961" s="545"/>
      <c r="D961" s="570"/>
      <c r="E961" s="545"/>
      <c r="F961" s="545"/>
    </row>
    <row r="962">
      <c r="A962" s="545"/>
      <c r="B962" s="545"/>
      <c r="C962" s="545"/>
      <c r="D962" s="570"/>
      <c r="E962" s="545"/>
      <c r="F962" s="545"/>
    </row>
    <row r="963">
      <c r="A963" s="545"/>
      <c r="B963" s="545"/>
      <c r="C963" s="545"/>
      <c r="D963" s="570"/>
      <c r="E963" s="545"/>
      <c r="F963" s="545"/>
    </row>
    <row r="964">
      <c r="A964" s="545"/>
      <c r="B964" s="545"/>
      <c r="C964" s="545"/>
      <c r="D964" s="570"/>
      <c r="E964" s="545"/>
      <c r="F964" s="545"/>
    </row>
    <row r="965">
      <c r="A965" s="545"/>
      <c r="B965" s="545"/>
      <c r="C965" s="545"/>
      <c r="D965" s="570"/>
      <c r="E965" s="545"/>
      <c r="F965" s="545"/>
    </row>
    <row r="966">
      <c r="A966" s="545"/>
      <c r="B966" s="545"/>
      <c r="C966" s="545"/>
      <c r="D966" s="570"/>
      <c r="E966" s="545"/>
      <c r="F966" s="545"/>
    </row>
    <row r="967">
      <c r="A967" s="545"/>
      <c r="B967" s="545"/>
      <c r="C967" s="545"/>
      <c r="D967" s="570"/>
      <c r="E967" s="545"/>
      <c r="F967" s="545"/>
    </row>
    <row r="968">
      <c r="A968" s="545"/>
      <c r="B968" s="545"/>
      <c r="C968" s="545"/>
      <c r="D968" s="570"/>
      <c r="E968" s="545"/>
      <c r="F968" s="545"/>
    </row>
    <row r="969">
      <c r="A969" s="545"/>
      <c r="B969" s="545"/>
      <c r="C969" s="545"/>
      <c r="D969" s="570"/>
      <c r="E969" s="545"/>
      <c r="F969" s="545"/>
    </row>
    <row r="970">
      <c r="A970" s="545"/>
      <c r="B970" s="545"/>
      <c r="C970" s="545"/>
      <c r="D970" s="570"/>
      <c r="E970" s="545"/>
      <c r="F970" s="545"/>
    </row>
    <row r="971">
      <c r="A971" s="545"/>
      <c r="B971" s="545"/>
      <c r="C971" s="545"/>
      <c r="D971" s="570"/>
      <c r="E971" s="545"/>
      <c r="F971" s="545"/>
    </row>
    <row r="972">
      <c r="A972" s="545"/>
      <c r="B972" s="545"/>
      <c r="C972" s="545"/>
      <c r="D972" s="570"/>
      <c r="E972" s="545"/>
      <c r="F972" s="545"/>
    </row>
    <row r="973">
      <c r="A973" s="545"/>
      <c r="B973" s="545"/>
      <c r="C973" s="545"/>
      <c r="D973" s="570"/>
      <c r="E973" s="545"/>
      <c r="F973" s="545"/>
    </row>
    <row r="974">
      <c r="A974" s="545"/>
      <c r="B974" s="545"/>
      <c r="C974" s="545"/>
      <c r="D974" s="570"/>
      <c r="E974" s="545"/>
      <c r="F974" s="545"/>
    </row>
    <row r="975">
      <c r="A975" s="545"/>
      <c r="B975" s="545"/>
      <c r="C975" s="545"/>
      <c r="D975" s="570"/>
      <c r="E975" s="545"/>
      <c r="F975" s="545"/>
    </row>
    <row r="976">
      <c r="A976" s="545"/>
      <c r="B976" s="545"/>
      <c r="C976" s="545"/>
      <c r="D976" s="570"/>
      <c r="E976" s="545"/>
      <c r="F976" s="545"/>
    </row>
    <row r="977">
      <c r="A977" s="545"/>
      <c r="B977" s="545"/>
      <c r="C977" s="545"/>
      <c r="D977" s="570"/>
      <c r="E977" s="545"/>
      <c r="F977" s="545"/>
    </row>
    <row r="978">
      <c r="A978" s="545"/>
      <c r="B978" s="545"/>
      <c r="C978" s="545"/>
      <c r="D978" s="570"/>
      <c r="E978" s="545"/>
      <c r="F978" s="545"/>
    </row>
    <row r="979">
      <c r="A979" s="545"/>
      <c r="B979" s="545"/>
      <c r="C979" s="545"/>
      <c r="D979" s="570"/>
      <c r="E979" s="545"/>
      <c r="F979" s="545"/>
    </row>
    <row r="980">
      <c r="A980" s="545"/>
      <c r="B980" s="545"/>
      <c r="C980" s="545"/>
      <c r="D980" s="570"/>
      <c r="E980" s="545"/>
      <c r="F980" s="545"/>
    </row>
    <row r="981">
      <c r="A981" s="545"/>
      <c r="B981" s="545"/>
      <c r="C981" s="545"/>
      <c r="D981" s="570"/>
      <c r="E981" s="545"/>
      <c r="F981" s="545"/>
    </row>
    <row r="982">
      <c r="A982" s="545"/>
      <c r="B982" s="545"/>
      <c r="C982" s="545"/>
      <c r="D982" s="570"/>
      <c r="E982" s="545"/>
      <c r="F982" s="545"/>
    </row>
    <row r="983">
      <c r="A983" s="545"/>
      <c r="B983" s="545"/>
      <c r="C983" s="545"/>
      <c r="D983" s="570"/>
      <c r="E983" s="545"/>
      <c r="F983" s="545"/>
    </row>
    <row r="984">
      <c r="A984" s="545"/>
      <c r="B984" s="545"/>
      <c r="C984" s="545"/>
      <c r="D984" s="570"/>
      <c r="E984" s="545"/>
      <c r="F984" s="545"/>
    </row>
    <row r="985">
      <c r="A985" s="545"/>
      <c r="B985" s="545"/>
      <c r="C985" s="545"/>
      <c r="D985" s="570"/>
      <c r="E985" s="545"/>
      <c r="F985" s="545"/>
    </row>
    <row r="986">
      <c r="A986" s="545"/>
      <c r="B986" s="545"/>
      <c r="C986" s="545"/>
      <c r="D986" s="570"/>
      <c r="E986" s="545"/>
      <c r="F986" s="545"/>
    </row>
    <row r="987">
      <c r="A987" s="545"/>
      <c r="B987" s="545"/>
      <c r="C987" s="545"/>
      <c r="D987" s="570"/>
      <c r="E987" s="545"/>
      <c r="F987" s="545"/>
    </row>
    <row r="988">
      <c r="A988" s="545"/>
      <c r="B988" s="545"/>
      <c r="C988" s="545"/>
      <c r="D988" s="570"/>
      <c r="E988" s="545"/>
      <c r="F988" s="545"/>
    </row>
    <row r="989">
      <c r="A989" s="545"/>
      <c r="B989" s="545"/>
      <c r="C989" s="545"/>
      <c r="D989" s="570"/>
      <c r="E989" s="545"/>
      <c r="F989" s="545"/>
    </row>
    <row r="990">
      <c r="A990" s="545"/>
      <c r="B990" s="545"/>
      <c r="C990" s="545"/>
      <c r="D990" s="570"/>
      <c r="E990" s="545"/>
      <c r="F990" s="545"/>
    </row>
    <row r="991">
      <c r="A991" s="545"/>
      <c r="B991" s="545"/>
      <c r="C991" s="545"/>
      <c r="D991" s="570"/>
      <c r="E991" s="545"/>
      <c r="F991" s="545"/>
    </row>
    <row r="992">
      <c r="A992" s="545"/>
      <c r="B992" s="545"/>
      <c r="C992" s="545"/>
      <c r="D992" s="570"/>
      <c r="E992" s="545"/>
      <c r="F992" s="545"/>
    </row>
    <row r="993">
      <c r="A993" s="545"/>
      <c r="B993" s="545"/>
      <c r="C993" s="545"/>
      <c r="D993" s="570"/>
      <c r="E993" s="545"/>
      <c r="F993" s="545"/>
    </row>
    <row r="994">
      <c r="A994" s="545"/>
      <c r="B994" s="545"/>
      <c r="C994" s="545"/>
      <c r="D994" s="570"/>
      <c r="E994" s="545"/>
      <c r="F994" s="545"/>
    </row>
    <row r="995">
      <c r="A995" s="545"/>
      <c r="B995" s="545"/>
      <c r="C995" s="545"/>
      <c r="D995" s="570"/>
      <c r="E995" s="545"/>
      <c r="F995" s="545"/>
    </row>
    <row r="996">
      <c r="A996" s="545"/>
      <c r="B996" s="545"/>
      <c r="C996" s="545"/>
      <c r="D996" s="570"/>
      <c r="E996" s="545"/>
      <c r="F996" s="545"/>
    </row>
    <row r="997">
      <c r="A997" s="545"/>
      <c r="B997" s="545"/>
      <c r="C997" s="545"/>
      <c r="D997" s="570"/>
      <c r="E997" s="545"/>
      <c r="F997" s="545"/>
    </row>
    <row r="998">
      <c r="A998" s="545"/>
      <c r="B998" s="545"/>
      <c r="C998" s="545"/>
      <c r="D998" s="570"/>
      <c r="E998" s="545"/>
      <c r="F998" s="545"/>
    </row>
    <row r="999">
      <c r="A999" s="545"/>
      <c r="B999" s="545"/>
      <c r="C999" s="545"/>
      <c r="D999" s="570"/>
      <c r="E999" s="545"/>
      <c r="F999" s="545"/>
    </row>
    <row r="1000">
      <c r="A1000" s="545"/>
      <c r="B1000" s="545"/>
      <c r="C1000" s="545"/>
      <c r="D1000" s="570"/>
      <c r="E1000" s="545"/>
      <c r="F1000" s="545"/>
    </row>
    <row r="1001">
      <c r="A1001" s="545"/>
      <c r="B1001" s="545"/>
      <c r="C1001" s="545"/>
      <c r="D1001" s="570"/>
      <c r="E1001" s="545"/>
      <c r="F1001" s="545"/>
    </row>
    <row r="1002">
      <c r="A1002" s="545"/>
      <c r="B1002" s="545"/>
      <c r="C1002" s="545"/>
      <c r="D1002" s="570"/>
      <c r="E1002" s="545"/>
      <c r="F1002" s="545"/>
    </row>
    <row r="1003">
      <c r="A1003" s="545"/>
      <c r="B1003" s="545"/>
      <c r="C1003" s="545"/>
      <c r="D1003" s="570"/>
      <c r="E1003" s="545"/>
      <c r="F1003" s="545"/>
    </row>
    <row r="1004">
      <c r="A1004" s="545"/>
      <c r="B1004" s="545"/>
      <c r="C1004" s="545"/>
      <c r="D1004" s="570"/>
      <c r="E1004" s="545"/>
      <c r="F1004" s="545"/>
    </row>
    <row r="1005">
      <c r="A1005" s="545"/>
      <c r="B1005" s="545"/>
      <c r="C1005" s="545"/>
      <c r="D1005" s="570"/>
      <c r="E1005" s="545"/>
      <c r="F1005" s="545"/>
    </row>
  </sheetData>
  <mergeCells count="1">
    <mergeCell ref="B70:E70"/>
  </mergeCells>
  <hyperlinks>
    <hyperlink r:id="rId1" ref="A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8.5"/>
    <col customWidth="1" min="2" max="2" width="17.13"/>
    <col customWidth="1" min="3" max="3" width="18.5"/>
    <col customWidth="1" hidden="1" min="4" max="4" width="13.88"/>
    <col customWidth="1" min="5" max="5" width="14.38"/>
    <col customWidth="1" hidden="1" min="6" max="8" width="13.88"/>
    <col customWidth="1" min="9" max="9" width="12.63"/>
    <col customWidth="1" min="10" max="10" width="12.13"/>
    <col customWidth="1" min="11" max="11" width="17.88"/>
    <col customWidth="1" min="12" max="12" width="82.63"/>
  </cols>
  <sheetData>
    <row r="1">
      <c r="A1" s="610" t="s">
        <v>1432</v>
      </c>
      <c r="B1" s="611" t="s">
        <v>35</v>
      </c>
      <c r="C1" s="612" t="s">
        <v>1435</v>
      </c>
      <c r="D1" s="613" t="s">
        <v>1438</v>
      </c>
      <c r="E1" s="614" t="s">
        <v>8</v>
      </c>
      <c r="F1" s="611" t="s">
        <v>1440</v>
      </c>
      <c r="G1" s="613" t="s">
        <v>18</v>
      </c>
      <c r="H1" s="613" t="s">
        <v>19</v>
      </c>
      <c r="I1" s="615" t="s">
        <v>21</v>
      </c>
      <c r="J1" s="617" t="s">
        <v>1441</v>
      </c>
      <c r="K1" s="613" t="s">
        <v>23</v>
      </c>
      <c r="L1" s="619" t="s">
        <v>1442</v>
      </c>
      <c r="M1" s="620"/>
      <c r="N1" s="620"/>
      <c r="O1" s="620"/>
      <c r="P1" s="620"/>
      <c r="Q1" s="620"/>
      <c r="R1" s="620"/>
      <c r="S1" s="620"/>
      <c r="T1" s="620"/>
      <c r="U1" s="620"/>
    </row>
    <row r="2">
      <c r="A2" s="621">
        <v>1.0</v>
      </c>
      <c r="B2" s="621" t="s">
        <v>1446</v>
      </c>
      <c r="C2" s="623" t="s">
        <v>5</v>
      </c>
      <c r="D2" s="625"/>
      <c r="E2" s="623">
        <v>9.003530044E9</v>
      </c>
      <c r="F2" s="626" t="str">
        <f t="array" ref="F2">_xlfn.XLOOKUP(I2,startify3.0!I:I,startify3.0!A:A)</f>
        <v>#N/A</v>
      </c>
      <c r="G2" s="627"/>
      <c r="H2" s="623" t="s">
        <v>68</v>
      </c>
      <c r="I2" s="623" t="s">
        <v>689</v>
      </c>
      <c r="J2" s="628" t="s">
        <v>1449</v>
      </c>
      <c r="K2" s="629" t="s">
        <v>1410</v>
      </c>
      <c r="L2" s="623" t="s">
        <v>1450</v>
      </c>
      <c r="M2" s="620"/>
      <c r="N2" s="620"/>
      <c r="O2" s="620"/>
      <c r="P2" s="620"/>
      <c r="Q2" s="620"/>
      <c r="R2" s="620"/>
      <c r="S2" s="620"/>
      <c r="T2" s="620"/>
      <c r="U2" s="620"/>
    </row>
    <row r="3">
      <c r="A3" s="623">
        <v>2.0</v>
      </c>
      <c r="B3" s="623" t="s">
        <v>378</v>
      </c>
      <c r="C3" s="626" t="s">
        <v>5</v>
      </c>
      <c r="D3" s="625" t="s">
        <v>1451</v>
      </c>
      <c r="E3" s="630">
        <v>9.342049639E9</v>
      </c>
      <c r="F3" s="631">
        <f t="array" ref="F3">_xlfn.XLOOKUP(I3,startify3.0!I:I,startify3.0!A:A)</f>
        <v>3</v>
      </c>
      <c r="G3" s="623" t="s">
        <v>91</v>
      </c>
      <c r="H3" s="623" t="s">
        <v>68</v>
      </c>
      <c r="I3" s="626" t="s">
        <v>59</v>
      </c>
      <c r="J3" s="628" t="s">
        <v>1455</v>
      </c>
      <c r="K3" s="632" t="s">
        <v>61</v>
      </c>
      <c r="L3" s="623" t="s">
        <v>1459</v>
      </c>
      <c r="M3" s="620"/>
      <c r="N3" s="620"/>
      <c r="O3" s="620"/>
      <c r="P3" s="620"/>
      <c r="Q3" s="620"/>
      <c r="R3" s="620"/>
      <c r="S3" s="620"/>
      <c r="T3" s="620"/>
      <c r="U3" s="620"/>
    </row>
    <row r="4">
      <c r="A4" s="621">
        <v>3.0</v>
      </c>
      <c r="B4" s="621" t="s">
        <v>519</v>
      </c>
      <c r="C4" s="623" t="s">
        <v>5</v>
      </c>
      <c r="D4" s="625"/>
      <c r="E4" s="623">
        <v>9.080721623E9</v>
      </c>
      <c r="F4" s="626" t="str">
        <f t="array" ref="F4">_xlfn.XLOOKUP(I4,startify3.0!I:I,startify3.0!A:A)</f>
        <v>#N/A</v>
      </c>
      <c r="G4" s="627"/>
      <c r="H4" s="623"/>
      <c r="I4" s="400" t="s">
        <v>526</v>
      </c>
      <c r="J4" s="628" t="s">
        <v>1461</v>
      </c>
      <c r="K4" s="634" t="s">
        <v>527</v>
      </c>
      <c r="L4" s="623" t="s">
        <v>1463</v>
      </c>
      <c r="M4" s="620"/>
      <c r="N4" s="620"/>
      <c r="O4" s="620"/>
      <c r="P4" s="620"/>
      <c r="Q4" s="620"/>
      <c r="R4" s="620"/>
      <c r="S4" s="620"/>
      <c r="T4" s="620"/>
      <c r="U4" s="620"/>
    </row>
    <row r="5">
      <c r="A5" s="635">
        <v>4.0</v>
      </c>
      <c r="B5" s="635" t="s">
        <v>1048</v>
      </c>
      <c r="C5" s="331" t="s">
        <v>5</v>
      </c>
      <c r="D5" s="636"/>
      <c r="E5" s="407">
        <v>8.610961896E9</v>
      </c>
      <c r="F5" s="637">
        <f t="array" ref="F5">_xlfn.XLOOKUP(I5,startify3.0!I:I,startify3.0!A:A)</f>
        <v>80</v>
      </c>
      <c r="G5" s="638"/>
      <c r="H5" s="396"/>
      <c r="I5" s="396" t="s">
        <v>1050</v>
      </c>
      <c r="J5" s="628" t="s">
        <v>1467</v>
      </c>
      <c r="K5" s="639" t="s">
        <v>1448</v>
      </c>
      <c r="L5" s="640" t="s">
        <v>1470</v>
      </c>
      <c r="M5" s="620"/>
      <c r="N5" s="620"/>
      <c r="O5" s="620"/>
      <c r="P5" s="620"/>
      <c r="Q5" s="620"/>
      <c r="R5" s="620"/>
      <c r="S5" s="620"/>
      <c r="T5" s="620"/>
      <c r="U5" s="620"/>
    </row>
    <row r="6">
      <c r="A6" s="331">
        <v>5.0</v>
      </c>
      <c r="B6" s="635" t="s">
        <v>481</v>
      </c>
      <c r="C6" s="331" t="s">
        <v>5</v>
      </c>
      <c r="D6" s="636"/>
      <c r="E6" s="396">
        <v>8.754728402E9</v>
      </c>
      <c r="F6" s="302" t="str">
        <f t="array" ref="F6">_xlfn.XLOOKUP(I6,startify3.0!I:I,startify3.0!A:A)</f>
        <v>#N/A</v>
      </c>
      <c r="G6" s="638"/>
      <c r="H6" s="396" t="s">
        <v>68</v>
      </c>
      <c r="I6" s="396" t="s">
        <v>489</v>
      </c>
      <c r="J6" s="628" t="s">
        <v>1472</v>
      </c>
      <c r="K6" s="642" t="s">
        <v>490</v>
      </c>
      <c r="L6" s="640" t="s">
        <v>1474</v>
      </c>
      <c r="M6" s="620"/>
      <c r="N6" s="620"/>
      <c r="O6" s="620"/>
      <c r="P6" s="620"/>
      <c r="Q6" s="620"/>
      <c r="R6" s="620"/>
      <c r="S6" s="620"/>
      <c r="T6" s="620"/>
      <c r="U6" s="620"/>
    </row>
    <row r="7">
      <c r="A7" s="621">
        <v>6.0</v>
      </c>
      <c r="B7" s="621" t="s">
        <v>901</v>
      </c>
      <c r="C7" s="623" t="s">
        <v>5</v>
      </c>
      <c r="D7" s="625"/>
      <c r="E7" s="644">
        <v>7.305494413E9</v>
      </c>
      <c r="F7" s="631">
        <f t="array" ref="F7">_xlfn.XLOOKUP(I7,startify3.0!I:I,startify3.0!A:A)</f>
        <v>227</v>
      </c>
      <c r="G7" s="627"/>
      <c r="H7" s="623" t="s">
        <v>68</v>
      </c>
      <c r="I7" s="623" t="s">
        <v>908</v>
      </c>
      <c r="J7" s="628" t="s">
        <v>1477</v>
      </c>
      <c r="K7" s="632" t="s">
        <v>910</v>
      </c>
      <c r="L7" s="623" t="s">
        <v>1480</v>
      </c>
      <c r="M7" s="620"/>
      <c r="N7" s="620"/>
      <c r="O7" s="620"/>
      <c r="P7" s="620"/>
      <c r="Q7" s="620"/>
      <c r="R7" s="620"/>
      <c r="S7" s="620"/>
      <c r="T7" s="620"/>
      <c r="U7" s="620"/>
    </row>
    <row r="8">
      <c r="A8" s="635">
        <v>7.0</v>
      </c>
      <c r="B8" s="331" t="s">
        <v>1008</v>
      </c>
      <c r="C8" s="302" t="s">
        <v>5</v>
      </c>
      <c r="D8" s="636" t="s">
        <v>1481</v>
      </c>
      <c r="E8" s="442">
        <v>9.150452331E9</v>
      </c>
      <c r="F8" s="637">
        <f t="array" ref="F8">_xlfn.XLOOKUP(I8,startify3.0!I:I,startify3.0!A:A)</f>
        <v>182</v>
      </c>
      <c r="G8" s="302"/>
      <c r="H8" s="331" t="s">
        <v>68</v>
      </c>
      <c r="I8" s="646" t="s">
        <v>178</v>
      </c>
      <c r="J8" s="628" t="s">
        <v>1483</v>
      </c>
      <c r="K8" s="649" t="s">
        <v>179</v>
      </c>
      <c r="L8" s="640" t="s">
        <v>1486</v>
      </c>
      <c r="M8" s="620"/>
      <c r="N8" s="620"/>
      <c r="O8" s="620"/>
      <c r="P8" s="620"/>
      <c r="Q8" s="620"/>
      <c r="R8" s="620"/>
      <c r="S8" s="620"/>
      <c r="T8" s="620"/>
      <c r="U8" s="620"/>
    </row>
    <row r="9">
      <c r="A9" s="331">
        <v>8.0</v>
      </c>
      <c r="B9" s="331" t="s">
        <v>860</v>
      </c>
      <c r="C9" s="331" t="s">
        <v>5</v>
      </c>
      <c r="D9" s="636"/>
      <c r="E9" s="650">
        <v>9.500194696E9</v>
      </c>
      <c r="F9" s="637">
        <f t="array" ref="F9">_xlfn.XLOOKUP(I9,startify3.0!I:I,startify3.0!A:A)</f>
        <v>221</v>
      </c>
      <c r="G9" s="651"/>
      <c r="H9" s="331" t="s">
        <v>68</v>
      </c>
      <c r="I9" s="407" t="s">
        <v>864</v>
      </c>
      <c r="J9" s="628" t="s">
        <v>1492</v>
      </c>
      <c r="K9" s="642" t="s">
        <v>1493</v>
      </c>
      <c r="L9" s="640" t="s">
        <v>1494</v>
      </c>
      <c r="M9" s="620"/>
      <c r="N9" s="620"/>
      <c r="O9" s="620"/>
      <c r="P9" s="620"/>
      <c r="Q9" s="620"/>
      <c r="R9" s="620"/>
      <c r="S9" s="620"/>
      <c r="T9" s="620"/>
      <c r="U9" s="620"/>
    </row>
    <row r="10">
      <c r="A10" s="621">
        <v>9.0</v>
      </c>
      <c r="B10" s="621" t="s">
        <v>544</v>
      </c>
      <c r="C10" s="623" t="s">
        <v>5</v>
      </c>
      <c r="D10" s="625" t="e">
        <v>#N/A</v>
      </c>
      <c r="E10" s="623">
        <v>7.845471602E9</v>
      </c>
      <c r="F10" s="626"/>
      <c r="G10" s="627"/>
      <c r="H10" s="623"/>
      <c r="I10" s="623" t="s">
        <v>549</v>
      </c>
      <c r="J10" s="628" t="s">
        <v>1499</v>
      </c>
      <c r="K10" s="632" t="s">
        <v>551</v>
      </c>
      <c r="L10" s="652" t="s">
        <v>1502</v>
      </c>
      <c r="M10" s="620"/>
      <c r="N10" s="620"/>
      <c r="O10" s="620"/>
      <c r="P10" s="620"/>
      <c r="Q10" s="620"/>
      <c r="R10" s="620"/>
      <c r="S10" s="620"/>
      <c r="T10" s="620"/>
      <c r="U10" s="620"/>
    </row>
    <row r="11">
      <c r="A11" s="635">
        <v>10.0</v>
      </c>
      <c r="B11" s="331" t="s">
        <v>557</v>
      </c>
      <c r="C11" s="331" t="s">
        <v>5</v>
      </c>
      <c r="D11" s="636"/>
      <c r="E11" s="442">
        <v>9.705933771E9</v>
      </c>
      <c r="F11" s="637">
        <f t="array" ref="F11">_xlfn.XLOOKUP(I11,startify3.0!I:I,startify3.0!A:A)</f>
        <v>191</v>
      </c>
      <c r="G11" s="654"/>
      <c r="H11" s="651" t="s">
        <v>68</v>
      </c>
      <c r="I11" s="655" t="s">
        <v>556</v>
      </c>
      <c r="J11" s="628" t="s">
        <v>1506</v>
      </c>
      <c r="K11" s="642" t="s">
        <v>1507</v>
      </c>
      <c r="L11" s="640" t="s">
        <v>1510</v>
      </c>
      <c r="M11" s="620"/>
      <c r="N11" s="620"/>
      <c r="O11" s="620"/>
      <c r="P11" s="620"/>
      <c r="Q11" s="620"/>
      <c r="R11" s="620"/>
      <c r="S11" s="620"/>
      <c r="T11" s="620"/>
      <c r="U11" s="620"/>
    </row>
    <row r="12">
      <c r="A12" s="623">
        <v>11.0</v>
      </c>
      <c r="B12" s="623" t="s">
        <v>592</v>
      </c>
      <c r="C12" s="626" t="s">
        <v>5</v>
      </c>
      <c r="D12" s="625">
        <v>45968.0</v>
      </c>
      <c r="E12" s="630">
        <v>9.790339415E9</v>
      </c>
      <c r="F12" s="631">
        <f t="array" ref="F12">_xlfn.XLOOKUP(I12,startify3.0!I:I,startify3.0!A:A)</f>
        <v>52</v>
      </c>
      <c r="G12" s="626"/>
      <c r="H12" s="623" t="s">
        <v>68</v>
      </c>
      <c r="I12" s="626" t="s">
        <v>594</v>
      </c>
      <c r="J12" s="628" t="s">
        <v>1513</v>
      </c>
      <c r="K12" s="632" t="s">
        <v>1366</v>
      </c>
      <c r="L12" s="623" t="s">
        <v>1514</v>
      </c>
      <c r="M12" s="620"/>
      <c r="N12" s="620"/>
      <c r="O12" s="620"/>
      <c r="P12" s="620"/>
      <c r="Q12" s="620"/>
      <c r="R12" s="620"/>
      <c r="S12" s="620"/>
      <c r="T12" s="620"/>
      <c r="U12" s="620"/>
    </row>
    <row r="13">
      <c r="A13" s="635">
        <v>12.0</v>
      </c>
      <c r="B13" s="331" t="s">
        <v>171</v>
      </c>
      <c r="C13" s="302" t="s">
        <v>5</v>
      </c>
      <c r="D13" s="636" t="s">
        <v>1515</v>
      </c>
      <c r="E13" s="442">
        <v>9.384233122E9</v>
      </c>
      <c r="F13" s="637">
        <f t="array" ref="F13">_xlfn.XLOOKUP(I13,startify3.0!I:I,startify3.0!A:A)</f>
        <v>136</v>
      </c>
      <c r="G13" s="302"/>
      <c r="H13" s="331" t="s">
        <v>68</v>
      </c>
      <c r="I13" s="646" t="s">
        <v>696</v>
      </c>
      <c r="J13" s="628" t="s">
        <v>1516</v>
      </c>
      <c r="K13" s="642" t="s">
        <v>1221</v>
      </c>
      <c r="L13" s="640" t="s">
        <v>1518</v>
      </c>
      <c r="M13" s="620"/>
      <c r="N13" s="620"/>
      <c r="O13" s="620"/>
      <c r="P13" s="620"/>
      <c r="Q13" s="620"/>
      <c r="R13" s="620"/>
      <c r="S13" s="620"/>
      <c r="T13" s="620"/>
      <c r="U13" s="620"/>
    </row>
    <row r="14">
      <c r="A14" s="621">
        <v>13.0</v>
      </c>
      <c r="B14" s="623" t="s">
        <v>531</v>
      </c>
      <c r="C14" s="623" t="s">
        <v>5</v>
      </c>
      <c r="D14" s="625"/>
      <c r="E14" s="623">
        <v>9.476478885E9</v>
      </c>
      <c r="F14" s="626"/>
      <c r="G14" s="626"/>
      <c r="H14" s="623"/>
      <c r="I14" s="623" t="s">
        <v>538</v>
      </c>
      <c r="J14" s="628" t="s">
        <v>1519</v>
      </c>
      <c r="K14" s="632" t="s">
        <v>539</v>
      </c>
      <c r="L14" s="623" t="s">
        <v>1521</v>
      </c>
      <c r="M14" s="620"/>
      <c r="N14" s="620"/>
      <c r="O14" s="620"/>
      <c r="P14" s="620"/>
      <c r="Q14" s="620"/>
      <c r="R14" s="620"/>
      <c r="S14" s="620"/>
      <c r="T14" s="620"/>
      <c r="U14" s="620"/>
    </row>
    <row r="15">
      <c r="A15" s="623">
        <v>14.0</v>
      </c>
      <c r="B15" s="623" t="s">
        <v>598</v>
      </c>
      <c r="C15" s="626" t="s">
        <v>5</v>
      </c>
      <c r="D15" s="625" t="s">
        <v>1523</v>
      </c>
      <c r="E15" s="630">
        <v>8.939077434E9</v>
      </c>
      <c r="F15" s="631">
        <f t="array" ref="F15">_xlfn.XLOOKUP(I15,startify3.0!I:I,startify3.0!A:A)</f>
        <v>149</v>
      </c>
      <c r="G15" s="626"/>
      <c r="H15" s="623" t="s">
        <v>68</v>
      </c>
      <c r="I15" s="626" t="s">
        <v>600</v>
      </c>
      <c r="J15" s="628" t="s">
        <v>1519</v>
      </c>
      <c r="K15" s="632" t="s">
        <v>1414</v>
      </c>
      <c r="L15" s="623" t="s">
        <v>1528</v>
      </c>
      <c r="M15" s="620"/>
      <c r="N15" s="620"/>
      <c r="O15" s="620"/>
      <c r="P15" s="620"/>
      <c r="Q15" s="620"/>
      <c r="R15" s="620"/>
      <c r="S15" s="620"/>
      <c r="T15" s="620"/>
      <c r="U15" s="620"/>
    </row>
    <row r="16">
      <c r="A16" s="635">
        <v>15.0</v>
      </c>
      <c r="B16" s="331" t="s">
        <v>1530</v>
      </c>
      <c r="C16" s="302" t="s">
        <v>5</v>
      </c>
      <c r="D16" s="636"/>
      <c r="E16" s="442">
        <v>9.791896178E9</v>
      </c>
      <c r="F16" s="637">
        <f t="array" ref="F16">_xlfn.XLOOKUP(I16,startify3.0!I:I,startify3.0!A:A)</f>
        <v>198</v>
      </c>
      <c r="G16" s="302"/>
      <c r="H16" s="331" t="s">
        <v>68</v>
      </c>
      <c r="I16" s="646" t="s">
        <v>826</v>
      </c>
      <c r="J16" s="628" t="s">
        <v>1532</v>
      </c>
      <c r="K16" s="642" t="s">
        <v>1533</v>
      </c>
      <c r="L16" s="640" t="s">
        <v>1537</v>
      </c>
      <c r="M16" s="620"/>
      <c r="N16" s="620"/>
      <c r="O16" s="620"/>
      <c r="P16" s="620"/>
      <c r="Q16" s="620"/>
      <c r="R16" s="620"/>
      <c r="S16" s="620"/>
      <c r="T16" s="620"/>
      <c r="U16" s="620"/>
    </row>
    <row r="17">
      <c r="A17" s="621">
        <v>16.0</v>
      </c>
      <c r="B17" s="623" t="s">
        <v>604</v>
      </c>
      <c r="C17" s="626" t="s">
        <v>5</v>
      </c>
      <c r="D17" s="625" t="s">
        <v>1481</v>
      </c>
      <c r="E17" s="630">
        <v>7.539960504E9</v>
      </c>
      <c r="F17" s="631">
        <f t="array" ref="F17">_xlfn.XLOOKUP(I17,startify3.0!I:I,startify3.0!A:A)</f>
        <v>93</v>
      </c>
      <c r="G17" s="626"/>
      <c r="H17" s="623" t="s">
        <v>68</v>
      </c>
      <c r="I17" s="626" t="s">
        <v>454</v>
      </c>
      <c r="J17" s="628" t="s">
        <v>1542</v>
      </c>
      <c r="K17" s="657" t="s">
        <v>1465</v>
      </c>
      <c r="L17" s="623" t="s">
        <v>1546</v>
      </c>
      <c r="M17" s="620"/>
      <c r="N17" s="620"/>
      <c r="O17" s="620"/>
      <c r="P17" s="620"/>
      <c r="Q17" s="620"/>
      <c r="R17" s="620"/>
      <c r="S17" s="620"/>
      <c r="T17" s="620"/>
      <c r="U17" s="620"/>
    </row>
    <row r="18">
      <c r="A18" s="331">
        <v>17.0</v>
      </c>
      <c r="B18" s="331" t="s">
        <v>581</v>
      </c>
      <c r="C18" s="302" t="s">
        <v>5</v>
      </c>
      <c r="D18" s="636">
        <v>45968.0</v>
      </c>
      <c r="E18" s="442">
        <v>7.845414195E9</v>
      </c>
      <c r="F18" s="637">
        <f t="array" ref="F18">_xlfn.XLOOKUP(I18,startify3.0!I:I,startify3.0!A:A)</f>
        <v>22</v>
      </c>
      <c r="G18" s="302"/>
      <c r="H18" s="331" t="s">
        <v>68</v>
      </c>
      <c r="I18" s="646" t="s">
        <v>583</v>
      </c>
      <c r="J18" s="628" t="s">
        <v>1550</v>
      </c>
      <c r="K18" s="642" t="s">
        <v>1076</v>
      </c>
      <c r="L18" s="640" t="s">
        <v>1551</v>
      </c>
      <c r="M18" s="620"/>
      <c r="N18" s="620"/>
      <c r="O18" s="620"/>
      <c r="P18" s="620"/>
      <c r="Q18" s="620"/>
      <c r="R18" s="620"/>
      <c r="S18" s="620"/>
      <c r="T18" s="620"/>
      <c r="U18" s="620"/>
    </row>
    <row r="19">
      <c r="A19" s="635">
        <v>18.0</v>
      </c>
      <c r="B19" s="331" t="s">
        <v>431</v>
      </c>
      <c r="C19" s="331" t="s">
        <v>5</v>
      </c>
      <c r="D19" s="636" t="s">
        <v>1555</v>
      </c>
      <c r="E19" s="406">
        <v>6.384712172E9</v>
      </c>
      <c r="F19" s="302" t="str">
        <f t="array" ref="F19">_xlfn.XLOOKUP(I19,startify3.0!I:I,startify3.0!A:A)</f>
        <v>#N/A</v>
      </c>
      <c r="G19" s="651"/>
      <c r="H19" s="651" t="s">
        <v>68</v>
      </c>
      <c r="I19" s="407" t="s">
        <v>435</v>
      </c>
      <c r="J19" s="628" t="s">
        <v>1557</v>
      </c>
      <c r="K19" s="642" t="s">
        <v>436</v>
      </c>
      <c r="L19" s="640" t="s">
        <v>1563</v>
      </c>
      <c r="M19" s="620"/>
      <c r="N19" s="620"/>
      <c r="O19" s="620"/>
      <c r="P19" s="620"/>
      <c r="Q19" s="620"/>
      <c r="R19" s="620"/>
      <c r="S19" s="620"/>
      <c r="T19" s="620"/>
      <c r="U19" s="620"/>
    </row>
    <row r="20">
      <c r="A20" s="635">
        <v>19.0</v>
      </c>
      <c r="B20" s="331" t="s">
        <v>1565</v>
      </c>
      <c r="C20" s="663" t="s">
        <v>1566</v>
      </c>
      <c r="D20" s="665"/>
      <c r="E20" s="406"/>
      <c r="F20" s="302"/>
      <c r="G20" s="331"/>
      <c r="H20" s="331"/>
      <c r="I20" s="294" t="s">
        <v>1570</v>
      </c>
      <c r="J20" s="644"/>
      <c r="K20" s="331"/>
      <c r="L20" s="640"/>
      <c r="M20" s="620"/>
      <c r="N20" s="620"/>
      <c r="O20" s="620"/>
      <c r="P20" s="620"/>
      <c r="Q20" s="620"/>
      <c r="R20" s="620"/>
      <c r="S20" s="620"/>
      <c r="T20" s="620"/>
      <c r="U20" s="620"/>
    </row>
    <row r="21">
      <c r="A21" s="331">
        <v>20.0</v>
      </c>
      <c r="B21" s="331" t="s">
        <v>992</v>
      </c>
      <c r="C21" s="331" t="s">
        <v>5</v>
      </c>
      <c r="D21" s="636"/>
      <c r="E21" s="406">
        <v>8.148232205E9</v>
      </c>
      <c r="F21" s="637">
        <f t="array" ref="F21">_xlfn.XLOOKUP(I21,startify3.0!I:I,startify3.0!A:A)</f>
        <v>37</v>
      </c>
      <c r="G21" s="651"/>
      <c r="H21" s="666" t="s">
        <v>68</v>
      </c>
      <c r="I21" s="407" t="s">
        <v>994</v>
      </c>
      <c r="J21" s="628" t="s">
        <v>1576</v>
      </c>
      <c r="K21" s="642" t="s">
        <v>1485</v>
      </c>
      <c r="L21" s="640" t="s">
        <v>1579</v>
      </c>
      <c r="M21" s="620"/>
      <c r="N21" s="620"/>
      <c r="O21" s="620"/>
      <c r="P21" s="620"/>
      <c r="Q21" s="620"/>
      <c r="R21" s="620"/>
      <c r="S21" s="620"/>
      <c r="T21" s="620"/>
      <c r="U21" s="620"/>
    </row>
    <row r="22">
      <c r="A22" s="635">
        <v>21.0</v>
      </c>
      <c r="B22" s="331" t="s">
        <v>1198</v>
      </c>
      <c r="C22" s="331" t="s">
        <v>5</v>
      </c>
      <c r="D22" s="636"/>
      <c r="E22" s="406">
        <v>8.807800947E9</v>
      </c>
      <c r="F22" s="637">
        <f t="array" ref="F22">_xlfn.XLOOKUP(I22,startify3.0!I:I,startify3.0!A:A)</f>
        <v>21</v>
      </c>
      <c r="G22" s="331"/>
      <c r="H22" s="331" t="s">
        <v>68</v>
      </c>
      <c r="I22" s="669" t="s">
        <v>385</v>
      </c>
      <c r="J22" s="628" t="s">
        <v>1585</v>
      </c>
      <c r="K22" s="490" t="s">
        <v>1531</v>
      </c>
      <c r="L22" s="671" t="s">
        <v>1587</v>
      </c>
      <c r="M22" s="620"/>
      <c r="N22" s="620"/>
      <c r="O22" s="620"/>
      <c r="P22" s="620"/>
      <c r="Q22" s="620"/>
      <c r="R22" s="620"/>
      <c r="S22" s="620"/>
      <c r="T22" s="620"/>
      <c r="U22" s="620"/>
    </row>
    <row r="23">
      <c r="A23" s="635">
        <v>22.0</v>
      </c>
      <c r="B23" s="331" t="s">
        <v>1128</v>
      </c>
      <c r="C23" s="331" t="s">
        <v>5</v>
      </c>
      <c r="D23" s="636"/>
      <c r="E23" s="400">
        <v>7.70859289E9</v>
      </c>
      <c r="F23" s="302"/>
      <c r="G23" s="331"/>
      <c r="H23" s="302"/>
      <c r="I23" s="331" t="s">
        <v>633</v>
      </c>
      <c r="J23" s="628" t="s">
        <v>1589</v>
      </c>
      <c r="K23" s="642" t="s">
        <v>635</v>
      </c>
      <c r="L23" s="640" t="s">
        <v>1591</v>
      </c>
      <c r="M23" s="620"/>
      <c r="N23" s="620"/>
      <c r="O23" s="620"/>
      <c r="P23" s="620"/>
      <c r="Q23" s="620"/>
      <c r="R23" s="620"/>
      <c r="S23" s="620"/>
      <c r="T23" s="620"/>
      <c r="U23" s="620"/>
    </row>
    <row r="24">
      <c r="A24" s="331">
        <v>23.0</v>
      </c>
      <c r="B24" s="331" t="s">
        <v>1367</v>
      </c>
      <c r="C24" s="302" t="s">
        <v>5</v>
      </c>
      <c r="D24" s="636">
        <v>46000.0</v>
      </c>
      <c r="E24" s="442">
        <v>7.395956159E9</v>
      </c>
      <c r="F24" s="637">
        <f t="array" ref="F24">_xlfn.XLOOKUP(I24,startify3.0!I:I,startify3.0!A:A)</f>
        <v>70</v>
      </c>
      <c r="G24" s="331" t="s">
        <v>91</v>
      </c>
      <c r="H24" s="302"/>
      <c r="I24" s="646" t="s">
        <v>83</v>
      </c>
      <c r="J24" s="628" t="s">
        <v>1595</v>
      </c>
      <c r="K24" s="642" t="s">
        <v>84</v>
      </c>
      <c r="L24" s="640" t="s">
        <v>1597</v>
      </c>
      <c r="M24" s="620"/>
      <c r="N24" s="620"/>
      <c r="O24" s="620"/>
      <c r="P24" s="620"/>
      <c r="Q24" s="620"/>
      <c r="R24" s="620"/>
      <c r="S24" s="620"/>
      <c r="T24" s="620"/>
      <c r="U24" s="620"/>
    </row>
    <row r="25">
      <c r="A25" s="635">
        <v>24.0</v>
      </c>
      <c r="B25" s="331" t="s">
        <v>922</v>
      </c>
      <c r="C25" s="331" t="s">
        <v>5</v>
      </c>
      <c r="D25" s="636"/>
      <c r="E25" s="406" t="s">
        <v>924</v>
      </c>
      <c r="F25" s="637">
        <f t="array" ref="F25">_xlfn.XLOOKUP(I25,startify3.0!I:I,startify3.0!A:A)</f>
        <v>156</v>
      </c>
      <c r="G25" s="654"/>
      <c r="H25" s="654"/>
      <c r="I25" s="655" t="s">
        <v>361</v>
      </c>
      <c r="J25" s="628" t="s">
        <v>1599</v>
      </c>
      <c r="K25" s="642" t="s">
        <v>368</v>
      </c>
      <c r="L25" s="640" t="s">
        <v>1601</v>
      </c>
      <c r="M25" s="620"/>
      <c r="N25" s="620"/>
      <c r="O25" s="620"/>
      <c r="P25" s="620"/>
      <c r="Q25" s="620"/>
      <c r="R25" s="620"/>
      <c r="S25" s="620"/>
      <c r="T25" s="620"/>
      <c r="U25" s="620"/>
    </row>
    <row r="26">
      <c r="A26" s="635">
        <v>25.0</v>
      </c>
      <c r="B26" s="635" t="s">
        <v>1025</v>
      </c>
      <c r="C26" s="331" t="s">
        <v>5</v>
      </c>
      <c r="D26" s="636"/>
      <c r="E26" s="407">
        <v>6.38278593E9</v>
      </c>
      <c r="F26" s="302" t="str">
        <f t="array" ref="F26">_xlfn.XLOOKUP(I26,startify3.0!I:I,startify3.0!A:A)</f>
        <v>#N/A</v>
      </c>
      <c r="G26" s="638"/>
      <c r="H26" s="396" t="s">
        <v>68</v>
      </c>
      <c r="I26" s="396" t="s">
        <v>1026</v>
      </c>
      <c r="J26" s="628" t="s">
        <v>1605</v>
      </c>
      <c r="K26" s="642" t="s">
        <v>1548</v>
      </c>
      <c r="L26" s="640" t="s">
        <v>1609</v>
      </c>
      <c r="M26" s="620"/>
      <c r="N26" s="620"/>
      <c r="O26" s="620"/>
      <c r="P26" s="620"/>
      <c r="Q26" s="620"/>
      <c r="R26" s="620"/>
      <c r="S26" s="620"/>
      <c r="T26" s="620"/>
      <c r="U26" s="620"/>
    </row>
    <row r="27">
      <c r="A27" s="331">
        <v>26.0</v>
      </c>
      <c r="B27" s="331" t="s">
        <v>250</v>
      </c>
      <c r="C27" s="331" t="s">
        <v>5</v>
      </c>
      <c r="D27" s="636"/>
      <c r="E27" s="406">
        <v>9.444910521E9</v>
      </c>
      <c r="F27" s="302" t="str">
        <f t="array" ref="F27">_xlfn.XLOOKUP(I27,startify3.0!I:I,startify3.0!A:A)</f>
        <v>#N/A</v>
      </c>
      <c r="G27" s="331"/>
      <c r="H27" s="331" t="s">
        <v>68</v>
      </c>
      <c r="I27" s="396" t="s">
        <v>260</v>
      </c>
      <c r="J27" s="628" t="s">
        <v>1614</v>
      </c>
      <c r="K27" s="642" t="s">
        <v>261</v>
      </c>
      <c r="L27" s="678" t="s">
        <v>1617</v>
      </c>
      <c r="M27" s="620"/>
      <c r="N27" s="620"/>
      <c r="O27" s="620"/>
      <c r="P27" s="620"/>
      <c r="Q27" s="620"/>
      <c r="R27" s="620"/>
      <c r="S27" s="620"/>
      <c r="T27" s="620"/>
      <c r="U27" s="620"/>
    </row>
    <row r="28">
      <c r="A28" s="635">
        <v>27.0</v>
      </c>
      <c r="B28" s="635" t="s">
        <v>360</v>
      </c>
      <c r="C28" s="331" t="s">
        <v>5</v>
      </c>
      <c r="D28" s="636"/>
      <c r="E28" s="407">
        <v>9.89411904E9</v>
      </c>
      <c r="F28" s="302" t="str">
        <f t="array" ref="F28">_xlfn.XLOOKUP(I28,startify3.0!I:I,startify3.0!A:A)</f>
        <v>#N/A</v>
      </c>
      <c r="G28" s="638"/>
      <c r="H28" s="396"/>
      <c r="I28" s="651" t="s">
        <v>370</v>
      </c>
      <c r="J28" s="628" t="s">
        <v>1623</v>
      </c>
      <c r="K28" s="642" t="s">
        <v>371</v>
      </c>
      <c r="L28" s="640" t="s">
        <v>1628</v>
      </c>
      <c r="M28" s="620"/>
      <c r="N28" s="620"/>
      <c r="O28" s="620"/>
      <c r="P28" s="620"/>
      <c r="Q28" s="620"/>
      <c r="R28" s="620"/>
      <c r="S28" s="620"/>
      <c r="T28" s="620"/>
      <c r="U28" s="620"/>
    </row>
    <row r="29">
      <c r="A29" s="635">
        <v>28.0</v>
      </c>
      <c r="B29" s="331" t="s">
        <v>1042</v>
      </c>
      <c r="C29" s="331" t="s">
        <v>5</v>
      </c>
      <c r="D29" s="636"/>
      <c r="E29" s="396">
        <v>8.098927503E9</v>
      </c>
      <c r="F29" s="302"/>
      <c r="G29" s="331"/>
      <c r="H29" s="685"/>
      <c r="I29" s="407" t="s">
        <v>1046</v>
      </c>
      <c r="J29" s="628" t="s">
        <v>1636</v>
      </c>
      <c r="K29" s="642" t="s">
        <v>1047</v>
      </c>
      <c r="L29" s="678" t="s">
        <v>1640</v>
      </c>
      <c r="M29" s="620"/>
      <c r="N29" s="620"/>
      <c r="O29" s="620"/>
      <c r="P29" s="620"/>
      <c r="Q29" s="620"/>
      <c r="R29" s="620"/>
      <c r="S29" s="620"/>
      <c r="T29" s="620"/>
      <c r="U29" s="620"/>
    </row>
    <row r="30">
      <c r="A30" s="331">
        <v>29.0</v>
      </c>
      <c r="B30" s="331" t="s">
        <v>1643</v>
      </c>
      <c r="C30" s="663" t="s">
        <v>1566</v>
      </c>
      <c r="D30" s="636"/>
      <c r="E30" s="406">
        <v>7.9042366E9</v>
      </c>
      <c r="F30" s="302" t="str">
        <f t="array" ref="F30">_xlfn.XLOOKUP(I30,startify3.0!I:I,startify3.0!A:A)</f>
        <v>#N/A</v>
      </c>
      <c r="G30" s="331" t="s">
        <v>91</v>
      </c>
      <c r="H30" s="685"/>
      <c r="I30" s="331" t="s">
        <v>1650</v>
      </c>
      <c r="J30" s="687"/>
      <c r="K30" s="331"/>
      <c r="L30" s="688"/>
      <c r="M30" s="620"/>
      <c r="N30" s="620"/>
      <c r="O30" s="620"/>
      <c r="P30" s="620"/>
      <c r="Q30" s="620"/>
      <c r="R30" s="620"/>
      <c r="S30" s="620"/>
      <c r="T30" s="620"/>
      <c r="U30" s="620"/>
    </row>
    <row r="31">
      <c r="A31" s="635">
        <v>30.0</v>
      </c>
      <c r="B31" s="331" t="s">
        <v>631</v>
      </c>
      <c r="C31" s="302" t="s">
        <v>5</v>
      </c>
      <c r="D31" s="636">
        <v>46000.0</v>
      </c>
      <c r="E31" s="442">
        <v>8.681879364E9</v>
      </c>
      <c r="F31" s="637">
        <f t="array" ref="F31">_xlfn.XLOOKUP(I31,startify3.0!I:I,startify3.0!A:A)</f>
        <v>101</v>
      </c>
      <c r="G31" s="302"/>
      <c r="H31" s="331" t="s">
        <v>68</v>
      </c>
      <c r="I31" s="646" t="s">
        <v>634</v>
      </c>
      <c r="J31" s="628" t="s">
        <v>1657</v>
      </c>
      <c r="K31" s="642" t="s">
        <v>1658</v>
      </c>
      <c r="L31" s="640" t="s">
        <v>1664</v>
      </c>
      <c r="M31" s="620"/>
      <c r="N31" s="620"/>
      <c r="O31" s="620"/>
      <c r="P31" s="620"/>
      <c r="Q31" s="620"/>
      <c r="R31" s="620"/>
      <c r="S31" s="620"/>
      <c r="T31" s="620"/>
      <c r="U31" s="620"/>
    </row>
    <row r="32">
      <c r="A32" s="635">
        <v>31.0</v>
      </c>
      <c r="B32" s="721" t="s">
        <v>423</v>
      </c>
      <c r="C32" s="331" t="s">
        <v>5</v>
      </c>
      <c r="D32" s="636"/>
      <c r="E32" s="396">
        <v>9.952437272E9</v>
      </c>
      <c r="F32" s="302" t="str">
        <f t="array" ref="F32">_xlfn.XLOOKUP(I32,startify3.0!I:I,startify3.0!A:A)</f>
        <v>#N/A</v>
      </c>
      <c r="G32" s="638"/>
      <c r="H32" s="396"/>
      <c r="I32" s="396" t="s">
        <v>428</v>
      </c>
      <c r="J32" s="628" t="s">
        <v>1668</v>
      </c>
      <c r="K32" s="642" t="s">
        <v>429</v>
      </c>
      <c r="L32" s="640" t="s">
        <v>1672</v>
      </c>
      <c r="M32" s="620"/>
      <c r="N32" s="620"/>
      <c r="O32" s="620"/>
      <c r="P32" s="620"/>
      <c r="Q32" s="620"/>
      <c r="R32" s="620"/>
      <c r="S32" s="620"/>
      <c r="T32" s="620"/>
      <c r="U32" s="620"/>
    </row>
    <row r="33">
      <c r="A33" s="623">
        <v>32.0</v>
      </c>
      <c r="B33" s="623" t="s">
        <v>776</v>
      </c>
      <c r="C33" s="623" t="s">
        <v>5</v>
      </c>
      <c r="D33" s="625"/>
      <c r="E33" s="630">
        <v>9.79163837E9</v>
      </c>
      <c r="F33" s="631">
        <f t="array" ref="F33">_xlfn.XLOOKUP(I33,startify3.0!I:I,startify3.0!A:A)</f>
        <v>145</v>
      </c>
      <c r="G33" s="626"/>
      <c r="H33" s="623" t="s">
        <v>68</v>
      </c>
      <c r="I33" s="626" t="s">
        <v>117</v>
      </c>
      <c r="J33" s="628" t="s">
        <v>1676</v>
      </c>
      <c r="K33" s="738" t="s">
        <v>1642</v>
      </c>
      <c r="L33" s="623" t="s">
        <v>1681</v>
      </c>
      <c r="M33" s="620"/>
      <c r="N33" s="620"/>
      <c r="O33" s="620"/>
      <c r="P33" s="620"/>
      <c r="Q33" s="620"/>
      <c r="R33" s="620"/>
      <c r="S33" s="620"/>
      <c r="T33" s="620"/>
      <c r="U33" s="620"/>
    </row>
    <row r="34">
      <c r="A34" s="635">
        <v>33.0</v>
      </c>
      <c r="B34" s="635" t="s">
        <v>115</v>
      </c>
      <c r="C34" s="331" t="s">
        <v>5</v>
      </c>
      <c r="D34" s="636"/>
      <c r="E34" s="406">
        <v>9.043405357E9</v>
      </c>
      <c r="F34" s="302"/>
      <c r="G34" s="638"/>
      <c r="H34" s="396"/>
      <c r="I34" s="331" t="s">
        <v>132</v>
      </c>
      <c r="J34" s="628" t="s">
        <v>1684</v>
      </c>
      <c r="K34" s="744" t="s">
        <v>133</v>
      </c>
      <c r="L34" s="746" t="s">
        <v>1688</v>
      </c>
      <c r="M34" s="620"/>
      <c r="N34" s="620"/>
      <c r="O34" s="620"/>
      <c r="P34" s="620"/>
      <c r="Q34" s="620"/>
      <c r="R34" s="620"/>
      <c r="S34" s="620"/>
      <c r="T34" s="620"/>
      <c r="U34" s="620"/>
    </row>
    <row r="35">
      <c r="A35" s="635">
        <v>34.0</v>
      </c>
      <c r="B35" s="635" t="s">
        <v>1017</v>
      </c>
      <c r="C35" s="331" t="s">
        <v>5</v>
      </c>
      <c r="D35" s="636"/>
      <c r="E35" s="407">
        <v>8.610004262E9</v>
      </c>
      <c r="F35" s="637">
        <f t="array" ref="F35">_xlfn.XLOOKUP(I35,startify3.0!I:I,startify3.0!A:A)</f>
        <v>167</v>
      </c>
      <c r="G35" s="638"/>
      <c r="H35" s="396" t="s">
        <v>68</v>
      </c>
      <c r="I35" s="396" t="s">
        <v>1018</v>
      </c>
      <c r="J35" s="628" t="s">
        <v>1694</v>
      </c>
      <c r="K35" s="642" t="s">
        <v>1321</v>
      </c>
      <c r="L35" s="746" t="s">
        <v>1698</v>
      </c>
      <c r="M35" s="620"/>
      <c r="N35" s="620"/>
      <c r="O35" s="620"/>
      <c r="P35" s="620"/>
      <c r="Q35" s="620"/>
      <c r="R35" s="620"/>
      <c r="S35" s="620"/>
      <c r="T35" s="620"/>
      <c r="U35" s="620"/>
    </row>
    <row r="36">
      <c r="A36" s="331">
        <v>35.0</v>
      </c>
      <c r="B36" s="635" t="s">
        <v>1210</v>
      </c>
      <c r="C36" s="331" t="s">
        <v>5</v>
      </c>
      <c r="D36" s="636"/>
      <c r="E36" s="396">
        <v>9.597312212E9</v>
      </c>
      <c r="F36" s="302"/>
      <c r="G36" s="638"/>
      <c r="H36" s="396" t="s">
        <v>68</v>
      </c>
      <c r="I36" s="407" t="s">
        <v>1211</v>
      </c>
      <c r="J36" s="628" t="s">
        <v>1703</v>
      </c>
      <c r="K36" s="642" t="s">
        <v>1702</v>
      </c>
      <c r="L36" s="640" t="s">
        <v>1707</v>
      </c>
      <c r="M36" s="620"/>
      <c r="N36" s="620"/>
      <c r="O36" s="620"/>
      <c r="P36" s="620"/>
      <c r="Q36" s="620"/>
      <c r="R36" s="620"/>
      <c r="S36" s="620"/>
      <c r="T36" s="620"/>
      <c r="U36" s="620"/>
    </row>
    <row r="37">
      <c r="A37" s="621">
        <v>36.0</v>
      </c>
      <c r="B37" s="621" t="s">
        <v>507</v>
      </c>
      <c r="C37" s="623" t="s">
        <v>5</v>
      </c>
      <c r="D37" s="625"/>
      <c r="E37" s="623">
        <v>8.939797268E9</v>
      </c>
      <c r="F37" s="626"/>
      <c r="G37" s="627"/>
      <c r="H37" s="623" t="s">
        <v>68</v>
      </c>
      <c r="I37" s="623" t="s">
        <v>514</v>
      </c>
      <c r="J37" s="628" t="s">
        <v>1710</v>
      </c>
      <c r="K37" s="768" t="s">
        <v>516</v>
      </c>
      <c r="L37" s="623" t="s">
        <v>1721</v>
      </c>
      <c r="M37" s="620"/>
      <c r="N37" s="620"/>
      <c r="O37" s="620"/>
      <c r="P37" s="620"/>
      <c r="Q37" s="620"/>
      <c r="R37" s="620"/>
      <c r="S37" s="620"/>
      <c r="T37" s="620"/>
      <c r="U37" s="620"/>
    </row>
    <row r="38">
      <c r="A38" s="331">
        <v>38.0</v>
      </c>
      <c r="B38" s="331" t="s">
        <v>750</v>
      </c>
      <c r="C38" s="302" t="s">
        <v>5</v>
      </c>
      <c r="D38" s="636" t="s">
        <v>1481</v>
      </c>
      <c r="E38" s="442">
        <v>6.38133723E9</v>
      </c>
      <c r="F38" s="637">
        <f t="array" ref="F38">_xlfn.XLOOKUP(I38,startify3.0!I:I,startify3.0!A:A)</f>
        <v>146</v>
      </c>
      <c r="G38" s="302"/>
      <c r="H38" s="331" t="s">
        <v>68</v>
      </c>
      <c r="I38" s="646" t="s">
        <v>469</v>
      </c>
      <c r="J38" s="628" t="s">
        <v>1724</v>
      </c>
      <c r="K38" s="649" t="s">
        <v>1471</v>
      </c>
      <c r="L38" s="640" t="s">
        <v>1725</v>
      </c>
      <c r="M38" s="620"/>
      <c r="N38" s="620"/>
      <c r="O38" s="620"/>
      <c r="P38" s="620"/>
      <c r="Q38" s="620"/>
      <c r="R38" s="620"/>
      <c r="S38" s="620"/>
      <c r="T38" s="620"/>
      <c r="U38" s="620"/>
    </row>
    <row r="39">
      <c r="A39" s="635">
        <v>37.0</v>
      </c>
      <c r="B39" s="685" t="s">
        <v>1712</v>
      </c>
      <c r="C39" s="663" t="s">
        <v>1566</v>
      </c>
      <c r="D39" s="636"/>
      <c r="E39" s="442">
        <v>7.092028561E9</v>
      </c>
      <c r="F39" s="302" t="str">
        <f t="array" ref="F39">_xlfn.XLOOKUP(I39,startify3.0!I:I,startify3.0!A:A)</f>
        <v>#N/A</v>
      </c>
      <c r="G39" s="685"/>
      <c r="H39" s="685"/>
      <c r="I39" s="294" t="s">
        <v>1727</v>
      </c>
      <c r="J39" s="644">
        <v>0.0</v>
      </c>
      <c r="K39" s="685"/>
      <c r="L39" s="775"/>
      <c r="M39" s="620"/>
      <c r="N39" s="620"/>
      <c r="O39" s="620"/>
      <c r="P39" s="620"/>
      <c r="Q39" s="620"/>
      <c r="R39" s="620"/>
      <c r="S39" s="620"/>
      <c r="T39" s="620"/>
      <c r="U39" s="620"/>
    </row>
    <row r="40">
      <c r="A40" s="635">
        <v>39.0</v>
      </c>
      <c r="B40" s="331" t="s">
        <v>1709</v>
      </c>
      <c r="C40" s="663" t="s">
        <v>1566</v>
      </c>
      <c r="D40" s="636"/>
      <c r="E40" s="442">
        <v>9.841454141E9</v>
      </c>
      <c r="F40" s="637">
        <f t="array" ref="F40">_xlfn.XLOOKUP(I40,startify3.0!I:I,startify3.0!A:A)</f>
        <v>46</v>
      </c>
      <c r="G40" s="331" t="s">
        <v>91</v>
      </c>
      <c r="H40" s="685"/>
      <c r="I40" s="669" t="s">
        <v>702</v>
      </c>
      <c r="J40" s="628" t="s">
        <v>1605</v>
      </c>
      <c r="K40" s="331"/>
      <c r="L40" s="678" t="s">
        <v>1729</v>
      </c>
      <c r="M40" s="620"/>
      <c r="N40" s="620"/>
      <c r="O40" s="620"/>
      <c r="P40" s="620"/>
      <c r="Q40" s="620"/>
      <c r="R40" s="620"/>
      <c r="S40" s="620"/>
      <c r="T40" s="620"/>
      <c r="U40" s="620"/>
    </row>
    <row r="41">
      <c r="A41" s="635">
        <v>40.0</v>
      </c>
      <c r="B41" s="776" t="s">
        <v>1226</v>
      </c>
      <c r="C41" s="331" t="s">
        <v>5</v>
      </c>
      <c r="D41" s="636"/>
      <c r="E41" s="777">
        <v>9.150479903E9</v>
      </c>
      <c r="F41" s="637">
        <f t="array" ref="F41">_xlfn.XLOOKUP(I41,startify3.0!I:I,startify3.0!A:A)</f>
        <v>91</v>
      </c>
      <c r="G41" s="638"/>
      <c r="H41" s="396" t="s">
        <v>68</v>
      </c>
      <c r="I41" s="407" t="s">
        <v>1229</v>
      </c>
      <c r="J41" s="628" t="s">
        <v>1731</v>
      </c>
      <c r="K41" s="642" t="s">
        <v>1406</v>
      </c>
      <c r="L41" s="640" t="s">
        <v>1732</v>
      </c>
      <c r="M41" s="620"/>
      <c r="N41" s="620"/>
      <c r="O41" s="620"/>
      <c r="P41" s="620"/>
      <c r="Q41" s="620"/>
      <c r="R41" s="620"/>
      <c r="S41" s="620"/>
      <c r="T41" s="620"/>
      <c r="U41" s="620"/>
    </row>
    <row r="42">
      <c r="A42" s="331">
        <v>41.0</v>
      </c>
      <c r="B42" s="331" t="s">
        <v>809</v>
      </c>
      <c r="C42" s="302" t="s">
        <v>5</v>
      </c>
      <c r="D42" s="636">
        <v>45968.0</v>
      </c>
      <c r="E42" s="442">
        <v>7.094149367E9</v>
      </c>
      <c r="F42" s="637">
        <f t="array" ref="F42">_xlfn.XLOOKUP(I42,startify3.0!I:I,startify3.0!A:A)</f>
        <v>4</v>
      </c>
      <c r="G42" s="302"/>
      <c r="H42" s="331" t="s">
        <v>68</v>
      </c>
      <c r="I42" s="646" t="s">
        <v>142</v>
      </c>
      <c r="J42" s="628" t="s">
        <v>1735</v>
      </c>
      <c r="K42" s="642" t="s">
        <v>1581</v>
      </c>
      <c r="L42" s="640" t="s">
        <v>1737</v>
      </c>
      <c r="M42" s="620"/>
      <c r="N42" s="620"/>
      <c r="O42" s="620"/>
      <c r="P42" s="620"/>
      <c r="Q42" s="620"/>
      <c r="R42" s="620"/>
      <c r="S42" s="620"/>
      <c r="T42" s="620"/>
      <c r="U42" s="620"/>
    </row>
    <row r="43">
      <c r="A43" s="635">
        <v>42.0</v>
      </c>
      <c r="B43" s="331" t="s">
        <v>265</v>
      </c>
      <c r="C43" s="331" t="s">
        <v>5</v>
      </c>
      <c r="D43" s="636" t="s">
        <v>1481</v>
      </c>
      <c r="E43" s="406">
        <v>7.358299188E9</v>
      </c>
      <c r="F43" s="302" t="str">
        <f t="array" ref="F43">_xlfn.XLOOKUP(I43,startify3.0!I:I,startify3.0!A:A)</f>
        <v>#N/A</v>
      </c>
      <c r="G43" s="651"/>
      <c r="H43" s="651"/>
      <c r="I43" s="407" t="s">
        <v>267</v>
      </c>
      <c r="J43" s="628" t="s">
        <v>1740</v>
      </c>
      <c r="K43" s="642" t="s">
        <v>268</v>
      </c>
      <c r="L43" s="640" t="s">
        <v>1742</v>
      </c>
      <c r="M43" s="620"/>
      <c r="N43" s="620"/>
      <c r="O43" s="620"/>
      <c r="P43" s="620"/>
      <c r="Q43" s="620"/>
      <c r="R43" s="620"/>
      <c r="S43" s="620"/>
      <c r="T43" s="620"/>
      <c r="U43" s="620"/>
    </row>
    <row r="44">
      <c r="A44" s="621">
        <v>43.0</v>
      </c>
      <c r="B44" s="623" t="s">
        <v>1065</v>
      </c>
      <c r="C44" s="623" t="s">
        <v>5</v>
      </c>
      <c r="D44" s="625"/>
      <c r="E44" s="630">
        <v>8.87097621E9</v>
      </c>
      <c r="F44" s="626" t="str">
        <f t="array" ref="F44">_xlfn.XLOOKUP(I44,startify3.0!I:I,startify3.0!A:A)</f>
        <v>#N/A</v>
      </c>
      <c r="G44" s="644"/>
      <c r="H44" s="644" t="s">
        <v>68</v>
      </c>
      <c r="I44" s="644" t="s">
        <v>1067</v>
      </c>
      <c r="J44" s="628" t="s">
        <v>1744</v>
      </c>
      <c r="K44" s="632" t="s">
        <v>1423</v>
      </c>
      <c r="L44" s="623" t="s">
        <v>1745</v>
      </c>
      <c r="M44" s="620"/>
      <c r="N44" s="620"/>
      <c r="O44" s="620"/>
      <c r="P44" s="620"/>
      <c r="Q44" s="620"/>
      <c r="R44" s="620"/>
      <c r="S44" s="620"/>
      <c r="T44" s="620"/>
      <c r="U44" s="620"/>
    </row>
    <row r="45">
      <c r="A45" s="331">
        <v>44.0</v>
      </c>
      <c r="B45" s="635" t="s">
        <v>1746</v>
      </c>
      <c r="C45" s="331" t="s">
        <v>5</v>
      </c>
      <c r="D45" s="636"/>
      <c r="E45" s="407" t="s">
        <v>951</v>
      </c>
      <c r="F45" s="637">
        <f t="array" ref="F45">_xlfn.XLOOKUP(I45,startify3.0!I:I,startify3.0!A:A)</f>
        <v>215</v>
      </c>
      <c r="G45" s="638"/>
      <c r="H45" s="396"/>
      <c r="I45" s="396" t="s">
        <v>956</v>
      </c>
      <c r="J45" s="628" t="s">
        <v>1747</v>
      </c>
      <c r="K45" s="642" t="s">
        <v>957</v>
      </c>
      <c r="L45" s="640" t="s">
        <v>1749</v>
      </c>
      <c r="M45" s="620"/>
      <c r="N45" s="620"/>
      <c r="O45" s="620"/>
      <c r="P45" s="620"/>
      <c r="Q45" s="620"/>
      <c r="R45" s="620"/>
      <c r="S45" s="620"/>
      <c r="T45" s="620"/>
      <c r="U45" s="620"/>
    </row>
    <row r="46">
      <c r="A46" s="635">
        <v>45.0</v>
      </c>
      <c r="B46" s="331" t="s">
        <v>303</v>
      </c>
      <c r="C46" s="331" t="s">
        <v>5</v>
      </c>
      <c r="D46" s="636" t="s">
        <v>1750</v>
      </c>
      <c r="E46" s="406">
        <v>8.1480911E9</v>
      </c>
      <c r="F46" s="302" t="str">
        <f t="array" ref="F46">_xlfn.XLOOKUP(I46,startify3.0!I:I,startify3.0!A:A)</f>
        <v>#N/A</v>
      </c>
      <c r="G46" s="331" t="s">
        <v>91</v>
      </c>
      <c r="H46" s="331"/>
      <c r="I46" s="396" t="s">
        <v>304</v>
      </c>
      <c r="J46" s="628" t="s">
        <v>1751</v>
      </c>
      <c r="K46" s="642" t="s">
        <v>1091</v>
      </c>
      <c r="L46" s="640" t="s">
        <v>1752</v>
      </c>
      <c r="M46" s="620"/>
      <c r="N46" s="620"/>
      <c r="O46" s="620"/>
      <c r="P46" s="620"/>
      <c r="Q46" s="620"/>
      <c r="R46" s="620"/>
      <c r="S46" s="620"/>
      <c r="T46" s="620"/>
      <c r="U46" s="620"/>
    </row>
    <row r="47">
      <c r="A47" s="635">
        <v>46.0</v>
      </c>
      <c r="B47" s="331" t="s">
        <v>1356</v>
      </c>
      <c r="C47" s="302" t="s">
        <v>5</v>
      </c>
      <c r="D47" s="636">
        <v>46000.0</v>
      </c>
      <c r="E47" s="442">
        <v>9.042871766E9</v>
      </c>
      <c r="F47" s="637">
        <f t="array" ref="F47">_xlfn.XLOOKUP(I47,startify3.0!I:I,startify3.0!A:A)</f>
        <v>44</v>
      </c>
      <c r="G47" s="302"/>
      <c r="H47" s="331" t="s">
        <v>68</v>
      </c>
      <c r="I47" s="646" t="s">
        <v>293</v>
      </c>
      <c r="J47" s="628" t="s">
        <v>1753</v>
      </c>
      <c r="K47" s="642" t="s">
        <v>1360</v>
      </c>
      <c r="L47" s="640" t="s">
        <v>1754</v>
      </c>
      <c r="M47" s="620"/>
      <c r="N47" s="620"/>
      <c r="O47" s="620"/>
      <c r="P47" s="620"/>
      <c r="Q47" s="620"/>
      <c r="R47" s="620"/>
      <c r="S47" s="620"/>
      <c r="T47" s="620"/>
      <c r="U47" s="620"/>
    </row>
    <row r="48">
      <c r="A48" s="331">
        <v>47.0</v>
      </c>
      <c r="B48" s="635" t="s">
        <v>472</v>
      </c>
      <c r="C48" s="331" t="s">
        <v>5</v>
      </c>
      <c r="D48" s="636"/>
      <c r="E48" s="407">
        <v>8.608499779E9</v>
      </c>
      <c r="F48" s="637">
        <f t="array" ref="F48">_xlfn.XLOOKUP(I48,startify3.0!I:I,startify3.0!A:A)</f>
        <v>214</v>
      </c>
      <c r="G48" s="638"/>
      <c r="H48" s="396"/>
      <c r="I48" s="396" t="s">
        <v>479</v>
      </c>
      <c r="J48" s="628" t="s">
        <v>1755</v>
      </c>
      <c r="K48" s="642" t="s">
        <v>480</v>
      </c>
      <c r="L48" s="640" t="s">
        <v>1756</v>
      </c>
      <c r="M48" s="620"/>
      <c r="N48" s="620"/>
      <c r="O48" s="620"/>
      <c r="P48" s="620"/>
      <c r="Q48" s="620"/>
      <c r="R48" s="620"/>
      <c r="S48" s="620"/>
      <c r="T48" s="620"/>
      <c r="U48" s="620"/>
    </row>
    <row r="49">
      <c r="A49" s="635">
        <v>48.0</v>
      </c>
      <c r="B49" s="331" t="s">
        <v>1169</v>
      </c>
      <c r="C49" s="331" t="s">
        <v>5</v>
      </c>
      <c r="D49" s="636"/>
      <c r="E49" s="442">
        <v>6.380541322E9</v>
      </c>
      <c r="F49" s="637">
        <f t="array" ref="F49">_xlfn.XLOOKUP(I49,startify3.0!I:I,startify3.0!A:A)</f>
        <v>135</v>
      </c>
      <c r="G49" s="654"/>
      <c r="H49" s="651" t="s">
        <v>68</v>
      </c>
      <c r="I49" s="655" t="s">
        <v>939</v>
      </c>
      <c r="J49" s="687"/>
      <c r="K49" s="331" t="s">
        <v>359</v>
      </c>
      <c r="L49" s="640"/>
      <c r="M49" s="620"/>
      <c r="N49" s="620"/>
      <c r="O49" s="620"/>
      <c r="P49" s="620"/>
      <c r="Q49" s="620"/>
      <c r="R49" s="620"/>
      <c r="S49" s="620"/>
      <c r="T49" s="620"/>
      <c r="U49" s="620"/>
    </row>
    <row r="50">
      <c r="A50" s="635">
        <v>49.0</v>
      </c>
      <c r="B50" s="331" t="s">
        <v>794</v>
      </c>
      <c r="C50" s="302" t="s">
        <v>5</v>
      </c>
      <c r="D50" s="636">
        <v>46000.0</v>
      </c>
      <c r="E50" s="442">
        <v>8.122302503E9</v>
      </c>
      <c r="F50" s="637">
        <f t="array" ref="F50">_xlfn.XLOOKUP(I50,startify3.0!I:I,startify3.0!A:A)</f>
        <v>100</v>
      </c>
      <c r="G50" s="302"/>
      <c r="H50" s="331" t="s">
        <v>68</v>
      </c>
      <c r="I50" s="646" t="s">
        <v>796</v>
      </c>
      <c r="J50" s="628" t="s">
        <v>1758</v>
      </c>
      <c r="K50" s="642" t="s">
        <v>1666</v>
      </c>
      <c r="L50" s="640" t="s">
        <v>1759</v>
      </c>
      <c r="M50" s="620"/>
      <c r="N50" s="620"/>
      <c r="O50" s="620"/>
      <c r="P50" s="620"/>
      <c r="Q50" s="620"/>
      <c r="R50" s="620"/>
      <c r="S50" s="620"/>
      <c r="T50" s="620"/>
      <c r="U50" s="620"/>
    </row>
    <row r="51">
      <c r="A51" s="623">
        <v>50.0</v>
      </c>
      <c r="B51" s="623" t="s">
        <v>1341</v>
      </c>
      <c r="C51" s="623" t="s">
        <v>5</v>
      </c>
      <c r="D51" s="625" t="s">
        <v>1760</v>
      </c>
      <c r="E51" s="621">
        <v>7.092922565E9</v>
      </c>
      <c r="F51" s="626" t="str">
        <f t="array" ref="F51">_xlfn.XLOOKUP(I51,startify3.0!I:I,startify3.0!A:A)</f>
        <v>#N/A</v>
      </c>
      <c r="G51" s="644"/>
      <c r="H51" s="644" t="s">
        <v>68</v>
      </c>
      <c r="I51" s="644" t="s">
        <v>1149</v>
      </c>
      <c r="J51" s="628" t="s">
        <v>1762</v>
      </c>
      <c r="K51" s="632" t="s">
        <v>1342</v>
      </c>
      <c r="L51" s="644" t="s">
        <v>1764</v>
      </c>
      <c r="M51" s="620"/>
      <c r="N51" s="620"/>
      <c r="O51" s="620"/>
      <c r="P51" s="620"/>
      <c r="Q51" s="620"/>
      <c r="R51" s="620"/>
      <c r="S51" s="620"/>
      <c r="T51" s="620"/>
      <c r="U51" s="620"/>
    </row>
    <row r="52">
      <c r="A52" s="635">
        <v>51.0</v>
      </c>
      <c r="B52" s="331" t="s">
        <v>75</v>
      </c>
      <c r="C52" s="302" t="s">
        <v>5</v>
      </c>
      <c r="D52" s="636" t="s">
        <v>1765</v>
      </c>
      <c r="E52" s="442">
        <v>9.363300142E9</v>
      </c>
      <c r="F52" s="302" t="str">
        <f t="array" ref="F52">_xlfn.XLOOKUP(I52,startify3.0!I:I,startify3.0!A:A)</f>
        <v>#N/A</v>
      </c>
      <c r="G52" s="302"/>
      <c r="H52" s="331" t="s">
        <v>125</v>
      </c>
      <c r="I52" s="646" t="s">
        <v>92</v>
      </c>
      <c r="J52" s="628" t="s">
        <v>1766</v>
      </c>
      <c r="K52" s="642" t="s">
        <v>93</v>
      </c>
      <c r="L52" s="640" t="s">
        <v>1767</v>
      </c>
      <c r="M52" s="620"/>
      <c r="N52" s="620"/>
      <c r="O52" s="620"/>
      <c r="P52" s="620"/>
      <c r="Q52" s="620"/>
      <c r="R52" s="620"/>
      <c r="S52" s="620"/>
      <c r="T52" s="620"/>
      <c r="U52" s="620"/>
    </row>
    <row r="53">
      <c r="A53" s="635">
        <v>52.0</v>
      </c>
      <c r="B53" s="331" t="s">
        <v>745</v>
      </c>
      <c r="C53" s="302" t="s">
        <v>5</v>
      </c>
      <c r="D53" s="636" t="s">
        <v>1481</v>
      </c>
      <c r="E53" s="442">
        <v>6.381784015E9</v>
      </c>
      <c r="F53" s="637">
        <f t="array" ref="F53">_xlfn.XLOOKUP(I53,startify3.0!I:I,startify3.0!A:A)</f>
        <v>17</v>
      </c>
      <c r="G53" s="302"/>
      <c r="H53" s="331" t="s">
        <v>125</v>
      </c>
      <c r="I53" s="646" t="s">
        <v>345</v>
      </c>
      <c r="J53" s="628" t="s">
        <v>1768</v>
      </c>
      <c r="K53" s="800" t="s">
        <v>1145</v>
      </c>
      <c r="L53" s="640" t="s">
        <v>1770</v>
      </c>
      <c r="M53" s="620"/>
      <c r="N53" s="620"/>
      <c r="O53" s="620"/>
      <c r="P53" s="620"/>
      <c r="Q53" s="620"/>
      <c r="R53" s="620"/>
      <c r="S53" s="620"/>
      <c r="T53" s="620"/>
      <c r="U53" s="620"/>
    </row>
    <row r="54">
      <c r="A54" s="331">
        <v>53.0</v>
      </c>
      <c r="B54" s="331" t="s">
        <v>1771</v>
      </c>
      <c r="C54" s="331" t="s">
        <v>5</v>
      </c>
      <c r="D54" s="636">
        <v>46357.0</v>
      </c>
      <c r="E54" s="406">
        <v>8.092225251E9</v>
      </c>
      <c r="F54" s="302" t="str">
        <f t="array" ref="F54">_xlfn.XLOOKUP(I54,startify3.0!I:I,startify3.0!A:A)</f>
        <v>#N/A</v>
      </c>
      <c r="G54" s="651"/>
      <c r="H54" s="651" t="s">
        <v>68</v>
      </c>
      <c r="I54" s="298" t="s">
        <v>291</v>
      </c>
      <c r="J54" s="628" t="s">
        <v>1772</v>
      </c>
      <c r="K54" s="744" t="s">
        <v>292</v>
      </c>
      <c r="L54" s="640" t="s">
        <v>1773</v>
      </c>
      <c r="M54" s="620"/>
      <c r="N54" s="620"/>
      <c r="O54" s="620"/>
      <c r="P54" s="620"/>
      <c r="Q54" s="620"/>
      <c r="R54" s="620"/>
      <c r="S54" s="620"/>
      <c r="T54" s="620"/>
      <c r="U54" s="620"/>
    </row>
    <row r="55">
      <c r="A55" s="635">
        <v>54.0</v>
      </c>
      <c r="B55" s="331" t="s">
        <v>890</v>
      </c>
      <c r="C55" s="331" t="s">
        <v>5</v>
      </c>
      <c r="D55" s="636"/>
      <c r="E55" s="406">
        <v>9.626316318E9</v>
      </c>
      <c r="F55" s="637">
        <f t="array" ref="F55">_xlfn.XLOOKUP(I55,startify3.0!I:I,startify3.0!A:A)</f>
        <v>207</v>
      </c>
      <c r="G55" s="651"/>
      <c r="H55" s="651" t="s">
        <v>68</v>
      </c>
      <c r="I55" s="407" t="s">
        <v>894</v>
      </c>
      <c r="J55" s="628" t="s">
        <v>1605</v>
      </c>
      <c r="K55" s="642" t="s">
        <v>1680</v>
      </c>
      <c r="L55" s="640" t="s">
        <v>1774</v>
      </c>
      <c r="M55" s="620"/>
      <c r="N55" s="620"/>
      <c r="O55" s="620"/>
      <c r="P55" s="620"/>
      <c r="Q55" s="620"/>
      <c r="R55" s="620"/>
      <c r="S55" s="620"/>
      <c r="T55" s="620"/>
      <c r="U55" s="620"/>
    </row>
    <row r="56">
      <c r="A56" s="635">
        <v>55.0</v>
      </c>
      <c r="B56" s="635" t="s">
        <v>1775</v>
      </c>
      <c r="C56" s="331" t="s">
        <v>5</v>
      </c>
      <c r="D56" s="636"/>
      <c r="E56" s="396">
        <v>9.080265174E9</v>
      </c>
      <c r="F56" s="637">
        <f t="array" ref="F56">_xlfn.XLOOKUP(I56,startify3.0!I:I,startify3.0!A:A)</f>
        <v>133</v>
      </c>
      <c r="G56" s="638"/>
      <c r="H56" s="396"/>
      <c r="I56" s="396" t="s">
        <v>522</v>
      </c>
      <c r="J56" s="628" t="s">
        <v>1777</v>
      </c>
      <c r="K56" s="642" t="s">
        <v>1501</v>
      </c>
      <c r="L56" s="640" t="s">
        <v>1778</v>
      </c>
      <c r="M56" s="620"/>
      <c r="N56" s="620"/>
      <c r="O56" s="620"/>
      <c r="P56" s="620"/>
      <c r="Q56" s="620"/>
      <c r="R56" s="620"/>
      <c r="S56" s="620"/>
      <c r="T56" s="620"/>
      <c r="U56" s="620"/>
    </row>
    <row r="57">
      <c r="A57" s="331">
        <v>56.0</v>
      </c>
      <c r="B57" s="331" t="s">
        <v>996</v>
      </c>
      <c r="C57" s="331" t="s">
        <v>5</v>
      </c>
      <c r="D57" s="636"/>
      <c r="E57" s="406">
        <v>8.270345463E9</v>
      </c>
      <c r="F57" s="637">
        <f t="array" ref="F57">_xlfn.XLOOKUP(I57,startify3.0!I:I,startify3.0!A:A)</f>
        <v>111</v>
      </c>
      <c r="G57" s="651"/>
      <c r="H57" s="651" t="s">
        <v>68</v>
      </c>
      <c r="I57" s="407" t="s">
        <v>997</v>
      </c>
      <c r="J57" s="628" t="s">
        <v>1779</v>
      </c>
      <c r="K57" s="642" t="s">
        <v>1326</v>
      </c>
      <c r="L57" s="640" t="s">
        <v>1780</v>
      </c>
      <c r="M57" s="620"/>
      <c r="N57" s="620"/>
      <c r="O57" s="620"/>
      <c r="P57" s="620"/>
      <c r="Q57" s="620"/>
      <c r="R57" s="620"/>
      <c r="S57" s="620"/>
      <c r="T57" s="620"/>
      <c r="U57" s="620"/>
    </row>
    <row r="58">
      <c r="A58" s="635">
        <v>57.0</v>
      </c>
      <c r="B58" s="776" t="s">
        <v>1071</v>
      </c>
      <c r="C58" s="331" t="s">
        <v>5</v>
      </c>
      <c r="D58" s="636"/>
      <c r="E58" s="669">
        <v>9.361455523E9</v>
      </c>
      <c r="F58" s="637">
        <f t="array" ref="F58">_xlfn.XLOOKUP(I58,startify3.0!I:I,startify3.0!A:A)</f>
        <v>228</v>
      </c>
      <c r="G58" s="331"/>
      <c r="H58" s="396" t="s">
        <v>68</v>
      </c>
      <c r="I58" s="396" t="s">
        <v>1073</v>
      </c>
      <c r="J58" s="628" t="s">
        <v>1781</v>
      </c>
      <c r="K58" s="642" t="s">
        <v>1261</v>
      </c>
      <c r="L58" s="640" t="s">
        <v>1782</v>
      </c>
      <c r="M58" s="620"/>
      <c r="N58" s="620"/>
      <c r="O58" s="620"/>
      <c r="P58" s="620"/>
      <c r="Q58" s="620"/>
      <c r="R58" s="620"/>
      <c r="S58" s="801"/>
      <c r="T58" s="801"/>
      <c r="U58" s="801"/>
    </row>
    <row r="59">
      <c r="A59" s="621">
        <v>58.0</v>
      </c>
      <c r="B59" s="621" t="s">
        <v>1238</v>
      </c>
      <c r="C59" s="623" t="s">
        <v>5</v>
      </c>
      <c r="D59" s="625"/>
      <c r="E59" s="623">
        <v>6.380652935E9</v>
      </c>
      <c r="F59" s="631">
        <f t="array" ref="F59">_xlfn.XLOOKUP(I59,startify3.0!I:I,startify3.0!A:A)</f>
        <v>162</v>
      </c>
      <c r="G59" s="627"/>
      <c r="H59" s="623" t="s">
        <v>68</v>
      </c>
      <c r="I59" s="644" t="s">
        <v>1240</v>
      </c>
      <c r="J59" s="628" t="s">
        <v>1784</v>
      </c>
      <c r="K59" s="632" t="s">
        <v>1543</v>
      </c>
      <c r="L59" s="623" t="s">
        <v>1785</v>
      </c>
      <c r="M59" s="620"/>
      <c r="N59" s="620"/>
      <c r="O59" s="620"/>
      <c r="P59" s="620"/>
      <c r="Q59" s="620"/>
      <c r="R59" s="620"/>
      <c r="S59" s="620"/>
      <c r="T59" s="620"/>
      <c r="U59" s="620"/>
    </row>
    <row r="60">
      <c r="A60" s="331">
        <v>59.0</v>
      </c>
      <c r="B60" s="331" t="s">
        <v>537</v>
      </c>
      <c r="C60" s="302" t="s">
        <v>5</v>
      </c>
      <c r="D60" s="636">
        <v>46000.0</v>
      </c>
      <c r="E60" s="442">
        <v>8.148522265E9</v>
      </c>
      <c r="F60" s="637">
        <f t="array" ref="F60">_xlfn.XLOOKUP(I60,startify3.0!I:I,startify3.0!A:A)</f>
        <v>14</v>
      </c>
      <c r="G60" s="302"/>
      <c r="H60" s="331" t="s">
        <v>68</v>
      </c>
      <c r="I60" s="646" t="s">
        <v>316</v>
      </c>
      <c r="J60" s="628" t="s">
        <v>1787</v>
      </c>
      <c r="K60" s="642" t="s">
        <v>1512</v>
      </c>
      <c r="L60" s="640" t="s">
        <v>1788</v>
      </c>
      <c r="M60" s="620"/>
      <c r="N60" s="620"/>
      <c r="O60" s="620"/>
      <c r="P60" s="620"/>
      <c r="Q60" s="620"/>
      <c r="R60" s="620"/>
      <c r="S60" s="620"/>
      <c r="T60" s="620"/>
      <c r="U60" s="620"/>
    </row>
    <row r="61">
      <c r="A61" s="635">
        <v>60.0</v>
      </c>
      <c r="B61" s="331" t="s">
        <v>720</v>
      </c>
      <c r="C61" s="302" t="s">
        <v>5</v>
      </c>
      <c r="D61" s="636">
        <v>46357.0</v>
      </c>
      <c r="E61" s="442">
        <v>7.200326094E9</v>
      </c>
      <c r="F61" s="637">
        <f t="array" ref="F61">_xlfn.XLOOKUP(I61,startify3.0!I:I,startify3.0!A:A)</f>
        <v>42</v>
      </c>
      <c r="G61" s="302"/>
      <c r="H61" s="331" t="s">
        <v>68</v>
      </c>
      <c r="I61" s="646" t="s">
        <v>621</v>
      </c>
      <c r="J61" s="628" t="s">
        <v>1790</v>
      </c>
      <c r="K61" s="800" t="s">
        <v>1339</v>
      </c>
      <c r="L61" s="640" t="s">
        <v>1792</v>
      </c>
      <c r="M61" s="620"/>
      <c r="N61" s="620"/>
      <c r="O61" s="620"/>
      <c r="P61" s="620"/>
      <c r="Q61" s="620"/>
      <c r="R61" s="620"/>
      <c r="S61" s="620"/>
      <c r="T61" s="620"/>
      <c r="U61" s="620"/>
    </row>
    <row r="62">
      <c r="A62" s="635">
        <v>61.0</v>
      </c>
      <c r="B62" s="802" t="s">
        <v>227</v>
      </c>
      <c r="C62" s="331" t="s">
        <v>5</v>
      </c>
      <c r="D62" s="636"/>
      <c r="E62" s="396">
        <v>9.688299333E9</v>
      </c>
      <c r="F62" s="302" t="str">
        <f t="array" ref="F62">_xlfn.XLOOKUP(I62,startify3.0!I:I,startify3.0!A:A)</f>
        <v>#N/A</v>
      </c>
      <c r="G62" s="638"/>
      <c r="H62" s="396" t="s">
        <v>68</v>
      </c>
      <c r="I62" s="396" t="s">
        <v>242</v>
      </c>
      <c r="J62" s="628" t="s">
        <v>1793</v>
      </c>
      <c r="K62" s="642" t="s">
        <v>243</v>
      </c>
      <c r="L62" s="640" t="s">
        <v>1795</v>
      </c>
      <c r="M62" s="620"/>
      <c r="N62" s="620"/>
      <c r="O62" s="620"/>
      <c r="P62" s="620"/>
      <c r="Q62" s="620"/>
      <c r="R62" s="620"/>
      <c r="S62" s="620"/>
      <c r="T62" s="620"/>
      <c r="U62" s="620"/>
    </row>
    <row r="63">
      <c r="A63" s="331">
        <v>62.0</v>
      </c>
      <c r="B63" s="331" t="s">
        <v>1428</v>
      </c>
      <c r="C63" s="302" t="s">
        <v>5</v>
      </c>
      <c r="D63" s="636">
        <v>45969.0</v>
      </c>
      <c r="E63" s="442">
        <v>8.12268775E9</v>
      </c>
      <c r="F63" s="637">
        <f t="array" ref="F63">_xlfn.XLOOKUP(I63,startify3.0!I:I,startify3.0!A:A)</f>
        <v>205</v>
      </c>
      <c r="G63" s="302"/>
      <c r="H63" s="331" t="s">
        <v>68</v>
      </c>
      <c r="I63" s="646" t="s">
        <v>725</v>
      </c>
      <c r="J63" s="628" t="s">
        <v>1796</v>
      </c>
      <c r="K63" s="803" t="s">
        <v>1431</v>
      </c>
      <c r="L63" s="640" t="s">
        <v>1798</v>
      </c>
      <c r="M63" s="620"/>
      <c r="N63" s="620"/>
      <c r="O63" s="620"/>
      <c r="P63" s="620"/>
      <c r="Q63" s="620"/>
      <c r="R63" s="620"/>
      <c r="S63" s="620"/>
      <c r="T63" s="620"/>
      <c r="U63" s="620"/>
    </row>
    <row r="64">
      <c r="A64" s="635">
        <v>63.0</v>
      </c>
      <c r="B64" s="331" t="s">
        <v>249</v>
      </c>
      <c r="C64" s="331" t="s">
        <v>5</v>
      </c>
      <c r="D64" s="636"/>
      <c r="E64" s="442">
        <v>9.962764646E9</v>
      </c>
      <c r="F64" s="637">
        <f t="array" ref="F64">_xlfn.XLOOKUP(I64,startify3.0!I:I,startify3.0!A:A)</f>
        <v>200</v>
      </c>
      <c r="G64" s="302"/>
      <c r="H64" s="302"/>
      <c r="I64" s="646" t="s">
        <v>248</v>
      </c>
      <c r="J64" s="628" t="s">
        <v>1799</v>
      </c>
      <c r="K64" s="642" t="s">
        <v>1418</v>
      </c>
      <c r="L64" s="640" t="s">
        <v>1800</v>
      </c>
      <c r="M64" s="620"/>
      <c r="N64" s="620"/>
      <c r="O64" s="620"/>
      <c r="P64" s="620"/>
      <c r="Q64" s="620"/>
      <c r="R64" s="620"/>
      <c r="S64" s="620"/>
      <c r="T64" s="620"/>
      <c r="U64" s="620"/>
    </row>
    <row r="65">
      <c r="A65" s="635">
        <v>64.0</v>
      </c>
      <c r="B65" s="802" t="s">
        <v>1115</v>
      </c>
      <c r="C65" s="331" t="s">
        <v>5</v>
      </c>
      <c r="D65" s="636"/>
      <c r="E65" s="396">
        <v>8.973223615E9</v>
      </c>
      <c r="F65" s="302" t="str">
        <f t="array" ref="F65">_xlfn.XLOOKUP(I65,startify3.0!I:I,startify3.0!A:A)</f>
        <v>#N/A</v>
      </c>
      <c r="G65" s="638"/>
      <c r="H65" s="396"/>
      <c r="I65" s="396" t="s">
        <v>1119</v>
      </c>
      <c r="J65" s="628" t="s">
        <v>1801</v>
      </c>
      <c r="K65" s="642" t="s">
        <v>1382</v>
      </c>
      <c r="L65" s="640" t="s">
        <v>1802</v>
      </c>
      <c r="M65" s="620"/>
      <c r="N65" s="620"/>
      <c r="O65" s="620"/>
      <c r="P65" s="620"/>
      <c r="Q65" s="620"/>
      <c r="R65" s="620"/>
      <c r="S65" s="620"/>
      <c r="T65" s="620"/>
      <c r="U65" s="620"/>
    </row>
    <row r="66">
      <c r="A66" s="623">
        <v>65.0</v>
      </c>
      <c r="B66" s="621" t="s">
        <v>462</v>
      </c>
      <c r="C66" s="623" t="s">
        <v>5</v>
      </c>
      <c r="D66" s="625"/>
      <c r="E66" s="623">
        <v>8.555874504E9</v>
      </c>
      <c r="F66" s="626" t="str">
        <f t="array" ref="F66">_xlfn.XLOOKUP(I66,startify3.0!I:I,startify3.0!A:A)</f>
        <v>#N/A</v>
      </c>
      <c r="G66" s="627"/>
      <c r="H66" s="623" t="s">
        <v>68</v>
      </c>
      <c r="I66" s="623" t="s">
        <v>468</v>
      </c>
      <c r="J66" s="628" t="s">
        <v>1804</v>
      </c>
      <c r="K66" s="632" t="s">
        <v>470</v>
      </c>
      <c r="L66" s="623" t="s">
        <v>1805</v>
      </c>
      <c r="M66" s="620"/>
      <c r="N66" s="620"/>
      <c r="O66" s="620"/>
      <c r="P66" s="620"/>
      <c r="Q66" s="620"/>
      <c r="R66" s="620"/>
      <c r="S66" s="620"/>
      <c r="T66" s="620"/>
      <c r="U66" s="620"/>
    </row>
    <row r="67">
      <c r="A67" s="635">
        <v>66.0</v>
      </c>
      <c r="B67" s="331" t="s">
        <v>866</v>
      </c>
      <c r="C67" s="331" t="s">
        <v>5</v>
      </c>
      <c r="D67" s="636"/>
      <c r="E67" s="442">
        <v>6.374990762E9</v>
      </c>
      <c r="F67" s="637">
        <f t="array" ref="F67">_xlfn.XLOOKUP(I67,startify3.0!I:I,startify3.0!A:A)</f>
        <v>34</v>
      </c>
      <c r="G67" s="654"/>
      <c r="H67" s="651" t="s">
        <v>68</v>
      </c>
      <c r="I67" s="655" t="s">
        <v>511</v>
      </c>
      <c r="J67" s="628" t="s">
        <v>1807</v>
      </c>
      <c r="K67" s="642" t="s">
        <v>1539</v>
      </c>
      <c r="L67" s="640" t="s">
        <v>1808</v>
      </c>
      <c r="M67" s="620"/>
      <c r="N67" s="620"/>
      <c r="O67" s="620"/>
      <c r="P67" s="620"/>
      <c r="Q67" s="620"/>
      <c r="R67" s="620"/>
      <c r="S67" s="620"/>
      <c r="T67" s="620"/>
      <c r="U67" s="620"/>
    </row>
    <row r="68">
      <c r="A68" s="635">
        <v>67.0</v>
      </c>
      <c r="B68" s="635" t="s">
        <v>917</v>
      </c>
      <c r="C68" s="331" t="s">
        <v>5</v>
      </c>
      <c r="D68" s="636"/>
      <c r="E68" s="407">
        <v>8.939724423E9</v>
      </c>
      <c r="F68" s="637">
        <f t="array" ref="F68">_xlfn.XLOOKUP(I68,startify3.0!I:I,startify3.0!A:A)</f>
        <v>112</v>
      </c>
      <c r="G68" s="638"/>
      <c r="H68" s="396" t="s">
        <v>68</v>
      </c>
      <c r="I68" s="396" t="s">
        <v>919</v>
      </c>
      <c r="J68" s="628" t="s">
        <v>1810</v>
      </c>
      <c r="K68" s="642" t="s">
        <v>1302</v>
      </c>
      <c r="L68" s="640" t="s">
        <v>1811</v>
      </c>
      <c r="M68" s="620"/>
      <c r="N68" s="620"/>
      <c r="O68" s="620"/>
      <c r="P68" s="620"/>
      <c r="Q68" s="620"/>
      <c r="R68" s="620"/>
      <c r="S68" s="620"/>
      <c r="T68" s="620"/>
      <c r="U68" s="620"/>
    </row>
    <row r="69">
      <c r="A69" s="331">
        <v>68.0</v>
      </c>
      <c r="B69" s="331" t="s">
        <v>942</v>
      </c>
      <c r="C69" s="331" t="s">
        <v>5</v>
      </c>
      <c r="D69" s="636"/>
      <c r="E69" s="442">
        <v>9.566834018E9</v>
      </c>
      <c r="F69" s="637">
        <f t="array" ref="F69">_xlfn.XLOOKUP(I69,startify3.0!I:I,startify3.0!A:A)</f>
        <v>150</v>
      </c>
      <c r="G69" s="651"/>
      <c r="H69" s="651" t="s">
        <v>68</v>
      </c>
      <c r="I69" s="407" t="s">
        <v>943</v>
      </c>
      <c r="J69" s="628" t="s">
        <v>1812</v>
      </c>
      <c r="K69" s="642" t="s">
        <v>1660</v>
      </c>
      <c r="L69" s="640" t="s">
        <v>1814</v>
      </c>
      <c r="M69" s="620"/>
      <c r="N69" s="620"/>
      <c r="O69" s="620"/>
      <c r="P69" s="620"/>
      <c r="Q69" s="620"/>
      <c r="R69" s="620"/>
      <c r="S69" s="620"/>
      <c r="T69" s="620"/>
      <c r="U69" s="620"/>
    </row>
    <row r="70">
      <c r="A70" s="635">
        <v>69.0</v>
      </c>
      <c r="B70" s="635" t="s">
        <v>410</v>
      </c>
      <c r="C70" s="331" t="s">
        <v>5</v>
      </c>
      <c r="D70" s="636"/>
      <c r="E70" s="407">
        <v>8.122980305E9</v>
      </c>
      <c r="F70" s="302" t="str">
        <f t="array" ref="F70">_xlfn.XLOOKUP(I70,startify3.0!I:I,startify3.0!A:A)</f>
        <v>#N/A</v>
      </c>
      <c r="G70" s="638"/>
      <c r="H70" s="396" t="s">
        <v>68</v>
      </c>
      <c r="I70" s="396" t="s">
        <v>418</v>
      </c>
      <c r="J70" s="628" t="s">
        <v>1816</v>
      </c>
      <c r="K70" s="642" t="s">
        <v>419</v>
      </c>
      <c r="L70" s="640" t="s">
        <v>1817</v>
      </c>
      <c r="M70" s="620"/>
      <c r="N70" s="620"/>
      <c r="O70" s="620"/>
      <c r="P70" s="620"/>
      <c r="Q70" s="620"/>
      <c r="R70" s="620"/>
      <c r="S70" s="620"/>
      <c r="T70" s="620"/>
      <c r="U70" s="620"/>
    </row>
    <row r="71">
      <c r="A71" s="621">
        <v>70.0</v>
      </c>
      <c r="B71" s="623" t="s">
        <v>388</v>
      </c>
      <c r="C71" s="623" t="s">
        <v>5</v>
      </c>
      <c r="D71" s="625"/>
      <c r="E71" s="621">
        <v>7.358734289E9</v>
      </c>
      <c r="F71" s="626" t="str">
        <f t="array" ref="F71">_xlfn.XLOOKUP(I71,startify3.0!I:I,startify3.0!A:A)</f>
        <v>#N/A</v>
      </c>
      <c r="G71" s="623"/>
      <c r="H71" s="623" t="s">
        <v>68</v>
      </c>
      <c r="I71" s="623" t="s">
        <v>396</v>
      </c>
      <c r="J71" s="628" t="s">
        <v>1818</v>
      </c>
      <c r="K71" s="632" t="s">
        <v>397</v>
      </c>
      <c r="L71" s="623" t="s">
        <v>1819</v>
      </c>
      <c r="M71" s="620"/>
      <c r="N71" s="620"/>
      <c r="O71" s="620"/>
      <c r="P71" s="620"/>
      <c r="Q71" s="620"/>
      <c r="R71" s="620"/>
      <c r="S71" s="620"/>
      <c r="T71" s="620"/>
      <c r="U71" s="620"/>
    </row>
    <row r="72">
      <c r="A72" s="331">
        <v>71.0</v>
      </c>
      <c r="B72" s="331" t="s">
        <v>836</v>
      </c>
      <c r="C72" s="302" t="s">
        <v>5</v>
      </c>
      <c r="D72" s="636">
        <v>45968.0</v>
      </c>
      <c r="E72" s="442">
        <v>9.790004554E9</v>
      </c>
      <c r="F72" s="637">
        <f t="array" ref="F72">_xlfn.XLOOKUP(I72,startify3.0!I:I,startify3.0!A:A)</f>
        <v>138</v>
      </c>
      <c r="G72" s="805" t="s">
        <v>91</v>
      </c>
      <c r="H72" s="806"/>
      <c r="I72" s="807" t="s">
        <v>255</v>
      </c>
      <c r="J72" s="628" t="s">
        <v>1821</v>
      </c>
      <c r="K72" s="490" t="s">
        <v>1554</v>
      </c>
      <c r="L72" s="640" t="s">
        <v>1823</v>
      </c>
      <c r="M72" s="620"/>
      <c r="N72" s="620"/>
      <c r="O72" s="620"/>
      <c r="P72" s="620"/>
      <c r="Q72" s="620"/>
      <c r="R72" s="620"/>
      <c r="S72" s="620"/>
      <c r="T72" s="620"/>
      <c r="U72" s="620"/>
    </row>
    <row r="73">
      <c r="A73" s="331"/>
      <c r="B73" s="331" t="s">
        <v>850</v>
      </c>
      <c r="C73" s="302" t="s">
        <v>5</v>
      </c>
      <c r="D73" s="636" t="s">
        <v>1824</v>
      </c>
      <c r="E73" s="442">
        <v>8.610254655E9</v>
      </c>
      <c r="F73" s="637">
        <f t="array" ref="F73">_xlfn.XLOOKUP(I73,startify3.0!I:I,startify3.0!A:A)</f>
        <v>28</v>
      </c>
      <c r="G73" s="302"/>
      <c r="H73" s="331" t="s">
        <v>68</v>
      </c>
      <c r="I73" s="646" t="s">
        <v>448</v>
      </c>
      <c r="J73" s="808"/>
      <c r="K73" s="331"/>
      <c r="L73" s="331"/>
      <c r="M73" s="620"/>
      <c r="N73" s="620"/>
      <c r="O73" s="620"/>
      <c r="P73" s="620"/>
      <c r="Q73" s="620"/>
      <c r="R73" s="620"/>
      <c r="S73" s="620"/>
      <c r="T73" s="620"/>
      <c r="U73" s="620"/>
    </row>
    <row r="74">
      <c r="A74" s="635">
        <v>72.0</v>
      </c>
      <c r="B74" s="331" t="s">
        <v>914</v>
      </c>
      <c r="C74" s="331" t="s">
        <v>5</v>
      </c>
      <c r="D74" s="636"/>
      <c r="E74" s="406">
        <v>8.675058253E9</v>
      </c>
      <c r="F74" s="637">
        <f t="array" ref="F74">_xlfn.XLOOKUP(I74,startify3.0!I:I,startify3.0!A:A)</f>
        <v>194</v>
      </c>
      <c r="G74" s="651"/>
      <c r="H74" s="651" t="s">
        <v>68</v>
      </c>
      <c r="I74" s="407" t="s">
        <v>926</v>
      </c>
      <c r="J74" s="628" t="s">
        <v>1826</v>
      </c>
      <c r="K74" s="642" t="s">
        <v>927</v>
      </c>
      <c r="L74" s="640" t="s">
        <v>1827</v>
      </c>
      <c r="M74" s="620"/>
      <c r="N74" s="620"/>
      <c r="O74" s="620"/>
      <c r="P74" s="620"/>
      <c r="Q74" s="620"/>
      <c r="R74" s="620"/>
      <c r="S74" s="620"/>
      <c r="T74" s="620"/>
      <c r="U74" s="620"/>
    </row>
    <row r="75">
      <c r="A75" s="635">
        <v>73.0</v>
      </c>
      <c r="B75" s="331" t="s">
        <v>401</v>
      </c>
      <c r="C75" s="685" t="s">
        <v>5</v>
      </c>
      <c r="D75" s="636" t="s">
        <v>1555</v>
      </c>
      <c r="E75" s="442">
        <v>9.003815145E9</v>
      </c>
      <c r="F75" s="302" t="e">
        <v>#N/A</v>
      </c>
      <c r="G75" s="331" t="s">
        <v>91</v>
      </c>
      <c r="H75" s="685"/>
      <c r="I75" s="669" t="s">
        <v>283</v>
      </c>
      <c r="J75" s="628" t="s">
        <v>1828</v>
      </c>
      <c r="K75" s="642" t="s">
        <v>285</v>
      </c>
      <c r="L75" s="640" t="s">
        <v>1830</v>
      </c>
      <c r="M75" s="620"/>
      <c r="N75" s="620"/>
      <c r="O75" s="620"/>
      <c r="P75" s="620"/>
      <c r="Q75" s="620"/>
      <c r="R75" s="620"/>
      <c r="S75" s="620"/>
      <c r="T75" s="620"/>
      <c r="U75" s="620"/>
    </row>
    <row r="76">
      <c r="A76" s="623">
        <v>74.0</v>
      </c>
      <c r="B76" s="630" t="s">
        <v>1077</v>
      </c>
      <c r="C76" s="623" t="s">
        <v>5</v>
      </c>
      <c r="D76" s="625"/>
      <c r="E76" s="809">
        <v>9.600447671E9</v>
      </c>
      <c r="F76" s="631">
        <f t="array" ref="F76">_xlfn.XLOOKUP(I76,startify3.0!I:I,startify3.0!A:A)</f>
        <v>186</v>
      </c>
      <c r="G76" s="627"/>
      <c r="H76" s="623" t="s">
        <v>68</v>
      </c>
      <c r="I76" s="809" t="s">
        <v>1078</v>
      </c>
      <c r="J76" s="628" t="s">
        <v>1831</v>
      </c>
      <c r="K76" s="632" t="s">
        <v>1656</v>
      </c>
      <c r="L76" s="623" t="s">
        <v>1833</v>
      </c>
      <c r="M76" s="620"/>
      <c r="N76" s="620"/>
      <c r="O76" s="620"/>
      <c r="P76" s="620"/>
      <c r="Q76" s="620"/>
      <c r="R76" s="620"/>
      <c r="S76" s="620"/>
      <c r="T76" s="620"/>
      <c r="U76" s="620"/>
    </row>
    <row r="77">
      <c r="A77" s="635">
        <v>75.0</v>
      </c>
      <c r="B77" s="331" t="s">
        <v>143</v>
      </c>
      <c r="C77" s="331" t="s">
        <v>5</v>
      </c>
      <c r="D77" s="636" t="s">
        <v>1765</v>
      </c>
      <c r="E77" s="406">
        <v>8.148402208E9</v>
      </c>
      <c r="F77" s="302" t="str">
        <f t="array" ref="F77">_xlfn.XLOOKUP(I77,startify3.0!I:I,startify3.0!A:A)</f>
        <v>#N/A</v>
      </c>
      <c r="G77" s="651"/>
      <c r="H77" s="651"/>
      <c r="I77" s="407" t="s">
        <v>152</v>
      </c>
      <c r="J77" s="628" t="s">
        <v>1834</v>
      </c>
      <c r="K77" s="642" t="s">
        <v>153</v>
      </c>
      <c r="L77" s="640" t="s">
        <v>1835</v>
      </c>
      <c r="M77" s="620"/>
      <c r="N77" s="620"/>
      <c r="O77" s="620"/>
      <c r="P77" s="620"/>
      <c r="Q77" s="620"/>
      <c r="R77" s="620"/>
      <c r="S77" s="620"/>
      <c r="T77" s="620"/>
      <c r="U77" s="620"/>
    </row>
    <row r="78">
      <c r="A78" s="635">
        <v>76.0</v>
      </c>
      <c r="B78" s="331" t="s">
        <v>817</v>
      </c>
      <c r="C78" s="302" t="s">
        <v>5</v>
      </c>
      <c r="D78" s="636" t="s">
        <v>1515</v>
      </c>
      <c r="E78" s="442">
        <v>7.708365986E9</v>
      </c>
      <c r="F78" s="637">
        <f t="array" ref="F78">_xlfn.XLOOKUP(I78,startify3.0!I:I,startify3.0!A:A)</f>
        <v>39</v>
      </c>
      <c r="G78" s="331" t="s">
        <v>91</v>
      </c>
      <c r="H78" s="331" t="s">
        <v>68</v>
      </c>
      <c r="I78" s="646" t="s">
        <v>126</v>
      </c>
      <c r="J78" s="628" t="s">
        <v>1837</v>
      </c>
      <c r="K78" s="642" t="s">
        <v>127</v>
      </c>
      <c r="L78" s="640" t="s">
        <v>1838</v>
      </c>
      <c r="M78" s="620"/>
      <c r="N78" s="620"/>
      <c r="O78" s="620"/>
      <c r="P78" s="620"/>
      <c r="Q78" s="620"/>
      <c r="R78" s="620"/>
      <c r="S78" s="620"/>
      <c r="T78" s="620"/>
      <c r="U78" s="620"/>
    </row>
    <row r="79">
      <c r="A79" s="623">
        <v>77.0</v>
      </c>
      <c r="B79" s="623" t="s">
        <v>669</v>
      </c>
      <c r="C79" s="623" t="s">
        <v>5</v>
      </c>
      <c r="D79" s="625"/>
      <c r="E79" s="621">
        <v>9.363197584E9</v>
      </c>
      <c r="F79" s="631">
        <f t="array" ref="F79">_xlfn.XLOOKUP(I79,startify3.0!I:I,startify3.0!A:A)</f>
        <v>147</v>
      </c>
      <c r="G79" s="623"/>
      <c r="H79" s="623"/>
      <c r="I79" s="623" t="s">
        <v>670</v>
      </c>
      <c r="J79" s="628" t="s">
        <v>1840</v>
      </c>
      <c r="K79" s="629" t="s">
        <v>1841</v>
      </c>
      <c r="L79" s="623" t="s">
        <v>1842</v>
      </c>
      <c r="M79" s="620"/>
      <c r="N79" s="620"/>
      <c r="O79" s="620"/>
      <c r="P79" s="620"/>
      <c r="Q79" s="620"/>
      <c r="R79" s="620"/>
      <c r="S79" s="620"/>
      <c r="T79" s="620"/>
      <c r="U79" s="620"/>
    </row>
    <row r="80">
      <c r="A80" s="635">
        <v>78.0</v>
      </c>
      <c r="B80" s="331" t="s">
        <v>332</v>
      </c>
      <c r="C80" s="302" t="s">
        <v>5</v>
      </c>
      <c r="D80" s="636" t="s">
        <v>1481</v>
      </c>
      <c r="E80" s="442">
        <v>9.176435615E9</v>
      </c>
      <c r="F80" s="637">
        <f t="array" ref="F80">_xlfn.XLOOKUP(I80,startify3.0!I:I,startify3.0!A:A)</f>
        <v>119</v>
      </c>
      <c r="G80" s="331"/>
      <c r="H80" s="331" t="s">
        <v>68</v>
      </c>
      <c r="I80" s="396" t="s">
        <v>161</v>
      </c>
      <c r="J80" s="628" t="s">
        <v>1843</v>
      </c>
      <c r="K80" s="811" t="s">
        <v>162</v>
      </c>
      <c r="L80" s="640" t="s">
        <v>1845</v>
      </c>
      <c r="M80" s="620"/>
      <c r="N80" s="620"/>
      <c r="O80" s="620"/>
      <c r="P80" s="620"/>
      <c r="Q80" s="620"/>
      <c r="R80" s="620"/>
      <c r="S80" s="620"/>
      <c r="T80" s="620"/>
      <c r="U80" s="620"/>
    </row>
    <row r="81">
      <c r="A81" s="635">
        <v>79.0</v>
      </c>
      <c r="B81" s="635" t="s">
        <v>880</v>
      </c>
      <c r="C81" s="331" t="s">
        <v>5</v>
      </c>
      <c r="D81" s="636"/>
      <c r="E81" s="812">
        <v>9.790341644E9</v>
      </c>
      <c r="F81" s="637">
        <f t="array" ref="F81">_xlfn.XLOOKUP(I81,startify3.0!I:I,startify3.0!A:A)</f>
        <v>219</v>
      </c>
      <c r="G81" s="638"/>
      <c r="H81" s="396" t="s">
        <v>68</v>
      </c>
      <c r="I81" s="396" t="s">
        <v>896</v>
      </c>
      <c r="J81" s="628" t="s">
        <v>1846</v>
      </c>
      <c r="K81" s="642" t="s">
        <v>897</v>
      </c>
      <c r="L81" s="746" t="s">
        <v>1848</v>
      </c>
      <c r="M81" s="620"/>
      <c r="N81" s="620"/>
      <c r="O81" s="620"/>
      <c r="P81" s="620"/>
      <c r="Q81" s="620"/>
      <c r="R81" s="620"/>
      <c r="S81" s="620"/>
      <c r="T81" s="620"/>
      <c r="U81" s="620"/>
    </row>
    <row r="82">
      <c r="A82" s="331">
        <v>80.0</v>
      </c>
      <c r="B82" s="331" t="s">
        <v>1000</v>
      </c>
      <c r="C82" s="331" t="s">
        <v>5</v>
      </c>
      <c r="D82" s="636"/>
      <c r="E82" s="406">
        <v>7.305714848E9</v>
      </c>
      <c r="F82" s="637"/>
      <c r="G82" s="685"/>
      <c r="H82" s="813"/>
      <c r="I82" s="654" t="s">
        <v>1002</v>
      </c>
      <c r="J82" s="628" t="s">
        <v>1849</v>
      </c>
      <c r="K82" s="642" t="s">
        <v>1333</v>
      </c>
      <c r="L82" s="814" t="s">
        <v>1850</v>
      </c>
      <c r="M82" s="801"/>
      <c r="N82" s="801"/>
      <c r="O82" s="801"/>
      <c r="P82" s="801"/>
      <c r="Q82" s="801"/>
      <c r="R82" s="801"/>
      <c r="S82" s="620"/>
      <c r="T82" s="620"/>
      <c r="U82" s="620"/>
    </row>
    <row r="83">
      <c r="A83" s="635">
        <v>82.0</v>
      </c>
      <c r="B83" s="331" t="s">
        <v>1715</v>
      </c>
      <c r="C83" s="663" t="s">
        <v>1566</v>
      </c>
      <c r="D83" s="636"/>
      <c r="E83" s="406">
        <v>6.39810111E9</v>
      </c>
      <c r="F83" s="302" t="str">
        <f t="array" ref="F83">_xlfn.XLOOKUP(I83,startify3.0!I:I,startify3.0!A:A)</f>
        <v>#N/A</v>
      </c>
      <c r="G83" s="331" t="s">
        <v>91</v>
      </c>
      <c r="H83" s="331"/>
      <c r="I83" s="294" t="s">
        <v>1851</v>
      </c>
      <c r="J83" s="644"/>
      <c r="K83" s="331"/>
      <c r="L83" s="640"/>
      <c r="M83" s="620"/>
      <c r="N83" s="620"/>
      <c r="O83" s="620"/>
      <c r="P83" s="620"/>
      <c r="Q83" s="620"/>
      <c r="R83" s="620"/>
      <c r="S83" s="620"/>
      <c r="T83" s="620"/>
      <c r="U83" s="620"/>
    </row>
    <row r="84">
      <c r="A84" s="635">
        <v>81.0</v>
      </c>
      <c r="B84" s="331" t="s">
        <v>273</v>
      </c>
      <c r="C84" s="685" t="s">
        <v>5</v>
      </c>
      <c r="D84" s="636" t="s">
        <v>1852</v>
      </c>
      <c r="E84" s="442">
        <v>8.883035691E9</v>
      </c>
      <c r="F84" s="637">
        <f t="array" ref="F84">_xlfn.XLOOKUP(I84,startify3.0!I:I,startify3.0!A:A)</f>
        <v>1</v>
      </c>
      <c r="G84" s="685" t="s">
        <v>91</v>
      </c>
      <c r="H84" s="813"/>
      <c r="I84" s="669" t="s">
        <v>80</v>
      </c>
      <c r="J84" s="628" t="s">
        <v>1853</v>
      </c>
      <c r="K84" s="815" t="s">
        <v>275</v>
      </c>
      <c r="L84" s="775" t="s">
        <v>1854</v>
      </c>
      <c r="M84" s="801"/>
      <c r="N84" s="801"/>
      <c r="O84" s="801"/>
      <c r="P84" s="801"/>
      <c r="Q84" s="801"/>
      <c r="R84" s="801"/>
      <c r="S84" s="620"/>
      <c r="T84" s="620"/>
      <c r="U84" s="620"/>
    </row>
    <row r="85">
      <c r="A85" s="331">
        <v>83.0</v>
      </c>
      <c r="B85" s="331" t="s">
        <v>97</v>
      </c>
      <c r="C85" s="302" t="s">
        <v>5</v>
      </c>
      <c r="D85" s="636">
        <v>46357.0</v>
      </c>
      <c r="E85" s="442">
        <v>9.940432697E9</v>
      </c>
      <c r="F85" s="302" t="str">
        <f t="array" ref="F85">_xlfn.XLOOKUP(I85,startify3.0!I:I,startify3.0!A:A)</f>
        <v>#N/A</v>
      </c>
      <c r="G85" s="651"/>
      <c r="H85" s="331" t="s">
        <v>68</v>
      </c>
      <c r="I85" s="407" t="s">
        <v>40</v>
      </c>
      <c r="J85" s="628" t="s">
        <v>1532</v>
      </c>
      <c r="K85" s="744" t="s">
        <v>110</v>
      </c>
      <c r="L85" s="640" t="s">
        <v>1856</v>
      </c>
      <c r="M85" s="620"/>
      <c r="N85" s="620"/>
      <c r="O85" s="620"/>
      <c r="P85" s="620"/>
      <c r="Q85" s="620"/>
      <c r="R85" s="620"/>
      <c r="S85" s="620"/>
      <c r="T85" s="620"/>
      <c r="U85" s="620"/>
    </row>
    <row r="86">
      <c r="A86" s="635">
        <v>84.0</v>
      </c>
      <c r="B86" s="331" t="s">
        <v>989</v>
      </c>
      <c r="C86" s="331" t="s">
        <v>5</v>
      </c>
      <c r="D86" s="636"/>
      <c r="E86" s="406">
        <v>9.15062444E9</v>
      </c>
      <c r="F86" s="637">
        <f t="array" ref="F86">_xlfn.XLOOKUP(I86,startify3.0!I:I,startify3.0!A:A)</f>
        <v>62</v>
      </c>
      <c r="G86" s="651"/>
      <c r="H86" s="666" t="s">
        <v>68</v>
      </c>
      <c r="I86" s="655" t="s">
        <v>974</v>
      </c>
      <c r="J86" s="628" t="s">
        <v>1857</v>
      </c>
      <c r="K86" s="642" t="s">
        <v>1577</v>
      </c>
      <c r="L86" s="640" t="s">
        <v>1858</v>
      </c>
      <c r="M86" s="620"/>
      <c r="N86" s="620"/>
      <c r="O86" s="620"/>
      <c r="P86" s="620"/>
      <c r="Q86" s="620"/>
      <c r="R86" s="620"/>
      <c r="S86" s="620"/>
      <c r="T86" s="620"/>
      <c r="U86" s="620"/>
    </row>
    <row r="87">
      <c r="A87" s="635">
        <v>85.0</v>
      </c>
      <c r="B87" s="635" t="s">
        <v>1629</v>
      </c>
      <c r="C87" s="331" t="s">
        <v>5</v>
      </c>
      <c r="D87" s="636"/>
      <c r="E87" s="407">
        <v>8.754864334E9</v>
      </c>
      <c r="F87" s="637">
        <f t="array" ref="F87">_xlfn.XLOOKUP(I87,startify3.0!I:I,startify3.0!A:A)</f>
        <v>41</v>
      </c>
      <c r="G87" s="638"/>
      <c r="H87" s="396" t="s">
        <v>68</v>
      </c>
      <c r="I87" s="396" t="s">
        <v>603</v>
      </c>
      <c r="J87" s="628" t="s">
        <v>1860</v>
      </c>
      <c r="K87" s="642" t="s">
        <v>1637</v>
      </c>
      <c r="L87" s="640" t="s">
        <v>1862</v>
      </c>
      <c r="M87" s="620"/>
      <c r="N87" s="620"/>
      <c r="O87" s="620"/>
      <c r="P87" s="620"/>
      <c r="Q87" s="620"/>
      <c r="R87" s="620"/>
      <c r="S87" s="620"/>
      <c r="T87" s="620"/>
      <c r="U87" s="620"/>
    </row>
    <row r="88">
      <c r="A88" s="331">
        <v>86.0</v>
      </c>
      <c r="B88" s="331" t="s">
        <v>762</v>
      </c>
      <c r="C88" s="302" t="s">
        <v>5</v>
      </c>
      <c r="D88" s="636">
        <v>45968.0</v>
      </c>
      <c r="E88" s="442">
        <v>9.025314278E9</v>
      </c>
      <c r="F88" s="637">
        <f t="array" ref="F88">_xlfn.XLOOKUP(I88,startify3.0!I:I,startify3.0!A:A)</f>
        <v>50</v>
      </c>
      <c r="G88" s="302"/>
      <c r="H88" s="331" t="s">
        <v>68</v>
      </c>
      <c r="I88" s="646" t="s">
        <v>763</v>
      </c>
      <c r="J88" s="628" t="s">
        <v>1864</v>
      </c>
      <c r="K88" s="811" t="s">
        <v>1402</v>
      </c>
      <c r="L88" s="640" t="s">
        <v>1866</v>
      </c>
      <c r="M88" s="620"/>
      <c r="N88" s="620"/>
      <c r="O88" s="620"/>
      <c r="P88" s="620"/>
      <c r="Q88" s="620"/>
      <c r="R88" s="620"/>
      <c r="S88" s="620"/>
      <c r="T88" s="620"/>
      <c r="U88" s="620"/>
    </row>
    <row r="89">
      <c r="A89" s="635">
        <v>87.0</v>
      </c>
      <c r="B89" s="635" t="s">
        <v>1150</v>
      </c>
      <c r="C89" s="331" t="s">
        <v>5</v>
      </c>
      <c r="D89" s="636"/>
      <c r="E89" s="396">
        <v>8.220316694E9</v>
      </c>
      <c r="F89" s="302" t="str">
        <f t="array" ref="F89">_xlfn.XLOOKUP(I89,startify3.0!I:I,startify3.0!A:A)</f>
        <v>#N/A</v>
      </c>
      <c r="G89" s="638"/>
      <c r="H89" s="396" t="s">
        <v>68</v>
      </c>
      <c r="I89" s="396" t="s">
        <v>1157</v>
      </c>
      <c r="J89" s="628" t="s">
        <v>1657</v>
      </c>
      <c r="K89" s="642" t="s">
        <v>1163</v>
      </c>
      <c r="L89" s="640" t="s">
        <v>1869</v>
      </c>
      <c r="M89" s="620"/>
      <c r="N89" s="620"/>
      <c r="O89" s="620"/>
      <c r="P89" s="620"/>
      <c r="Q89" s="620"/>
      <c r="R89" s="620"/>
      <c r="S89" s="620"/>
      <c r="T89" s="620"/>
      <c r="U89" s="620"/>
    </row>
    <row r="90">
      <c r="A90" s="635">
        <v>88.0</v>
      </c>
      <c r="B90" s="331" t="s">
        <v>993</v>
      </c>
      <c r="C90" s="331" t="s">
        <v>5</v>
      </c>
      <c r="D90" s="636"/>
      <c r="E90" s="407">
        <v>9.75036657E9</v>
      </c>
      <c r="F90" s="302"/>
      <c r="G90" s="302"/>
      <c r="H90" s="331"/>
      <c r="I90" s="407" t="s">
        <v>1001</v>
      </c>
      <c r="J90" s="628" t="s">
        <v>1870</v>
      </c>
      <c r="K90" s="744" t="s">
        <v>1003</v>
      </c>
      <c r="L90" s="814" t="s">
        <v>1872</v>
      </c>
      <c r="M90" s="620"/>
      <c r="N90" s="620"/>
      <c r="O90" s="620"/>
      <c r="P90" s="620"/>
      <c r="Q90" s="620"/>
      <c r="R90" s="620"/>
      <c r="S90" s="620"/>
      <c r="T90" s="620"/>
      <c r="U90" s="620"/>
    </row>
    <row r="91">
      <c r="A91" s="623">
        <v>89.0</v>
      </c>
      <c r="B91" s="623" t="s">
        <v>440</v>
      </c>
      <c r="C91" s="626" t="s">
        <v>5</v>
      </c>
      <c r="D91" s="625" t="e">
        <v>#N/A</v>
      </c>
      <c r="E91" s="621">
        <v>9.952048318E9</v>
      </c>
      <c r="F91" s="631">
        <f t="array" ref="F91">_xlfn.XLOOKUP(I91,startify3.0!I:I,startify3.0!A:A)</f>
        <v>30</v>
      </c>
      <c r="G91" s="626"/>
      <c r="H91" s="623" t="s">
        <v>68</v>
      </c>
      <c r="I91" s="626" t="s">
        <v>144</v>
      </c>
      <c r="J91" s="628" t="s">
        <v>1873</v>
      </c>
      <c r="K91" s="816" t="s">
        <v>145</v>
      </c>
      <c r="L91" s="623" t="s">
        <v>1875</v>
      </c>
      <c r="M91" s="620"/>
      <c r="N91" s="620"/>
      <c r="O91" s="620"/>
      <c r="P91" s="620"/>
      <c r="Q91" s="620"/>
      <c r="R91" s="620"/>
      <c r="S91" s="620"/>
      <c r="T91" s="620"/>
      <c r="U91" s="620"/>
    </row>
    <row r="92">
      <c r="A92" s="635">
        <v>90.0</v>
      </c>
      <c r="B92" s="776" t="s">
        <v>1090</v>
      </c>
      <c r="C92" s="331" t="s">
        <v>5</v>
      </c>
      <c r="D92" s="636"/>
      <c r="E92" s="669">
        <v>9.176775477E9</v>
      </c>
      <c r="F92" s="637">
        <f t="array" ref="F92">_xlfn.XLOOKUP(I92,startify3.0!I:I,startify3.0!A:A)</f>
        <v>58</v>
      </c>
      <c r="G92" s="638"/>
      <c r="H92" s="396"/>
      <c r="I92" s="817" t="s">
        <v>929</v>
      </c>
      <c r="J92" s="628" t="s">
        <v>1876</v>
      </c>
      <c r="K92" s="642" t="s">
        <v>1479</v>
      </c>
      <c r="L92" s="678" t="s">
        <v>1878</v>
      </c>
      <c r="M92" s="620"/>
      <c r="N92" s="620"/>
      <c r="O92" s="620"/>
      <c r="P92" s="620"/>
      <c r="Q92" s="620"/>
      <c r="R92" s="620"/>
      <c r="S92" s="620"/>
      <c r="T92" s="620"/>
      <c r="U92" s="620"/>
    </row>
    <row r="93">
      <c r="A93" s="635">
        <v>91.0</v>
      </c>
      <c r="B93" s="442" t="s">
        <v>964</v>
      </c>
      <c r="C93" s="331" t="s">
        <v>5</v>
      </c>
      <c r="D93" s="636"/>
      <c r="E93" s="442">
        <v>9.488505516E9</v>
      </c>
      <c r="F93" s="302"/>
      <c r="G93" s="302"/>
      <c r="H93" s="331"/>
      <c r="I93" s="302" t="s">
        <v>973</v>
      </c>
      <c r="J93" s="628" t="s">
        <v>1879</v>
      </c>
      <c r="K93" s="642" t="s">
        <v>976</v>
      </c>
      <c r="L93" s="640" t="s">
        <v>1880</v>
      </c>
      <c r="M93" s="620"/>
      <c r="N93" s="620"/>
      <c r="O93" s="620"/>
      <c r="P93" s="620"/>
      <c r="Q93" s="620"/>
      <c r="R93" s="620"/>
      <c r="S93" s="620"/>
      <c r="T93" s="620"/>
      <c r="U93" s="620"/>
    </row>
    <row r="94">
      <c r="A94" s="331">
        <v>92.0</v>
      </c>
      <c r="B94" s="331" t="s">
        <v>615</v>
      </c>
      <c r="C94" s="302" t="s">
        <v>5</v>
      </c>
      <c r="D94" s="636">
        <v>45968.0</v>
      </c>
      <c r="E94" s="442">
        <v>6.385256271E9</v>
      </c>
      <c r="F94" s="637">
        <f t="array" ref="F94">_xlfn.XLOOKUP(I94,startify3.0!I:I,startify3.0!A:A)</f>
        <v>29</v>
      </c>
      <c r="G94" s="302"/>
      <c r="H94" s="331" t="s">
        <v>68</v>
      </c>
      <c r="I94" s="646" t="s">
        <v>455</v>
      </c>
      <c r="J94" s="628" t="s">
        <v>1881</v>
      </c>
      <c r="K94" s="642" t="s">
        <v>1524</v>
      </c>
      <c r="L94" s="640" t="s">
        <v>1882</v>
      </c>
      <c r="M94" s="620"/>
      <c r="N94" s="620"/>
      <c r="O94" s="620"/>
      <c r="P94" s="620"/>
      <c r="Q94" s="620"/>
      <c r="R94" s="620"/>
      <c r="S94" s="620"/>
      <c r="T94" s="620"/>
      <c r="U94" s="620"/>
    </row>
    <row r="95">
      <c r="A95" s="621">
        <v>93.0</v>
      </c>
      <c r="B95" s="623" t="s">
        <v>1387</v>
      </c>
      <c r="C95" s="623" t="s">
        <v>5</v>
      </c>
      <c r="D95" s="625"/>
      <c r="E95" s="630">
        <v>9.789095971E9</v>
      </c>
      <c r="F95" s="631">
        <f t="array" ref="F95">_xlfn.XLOOKUP(I95,startify3.0!I:I,startify3.0!A:A)</f>
        <v>151</v>
      </c>
      <c r="G95" s="626"/>
      <c r="H95" s="623" t="s">
        <v>68</v>
      </c>
      <c r="I95" s="626" t="s">
        <v>350</v>
      </c>
      <c r="J95" s="628" t="s">
        <v>1519</v>
      </c>
      <c r="K95" s="738" t="s">
        <v>1391</v>
      </c>
      <c r="L95" s="623" t="s">
        <v>1883</v>
      </c>
      <c r="M95" s="620"/>
      <c r="N95" s="620"/>
      <c r="O95" s="620"/>
      <c r="P95" s="620"/>
      <c r="Q95" s="620"/>
      <c r="R95" s="620"/>
      <c r="S95" s="620"/>
      <c r="T95" s="620"/>
      <c r="U95" s="620"/>
    </row>
    <row r="96">
      <c r="A96" s="621">
        <v>94.0</v>
      </c>
      <c r="B96" s="623" t="s">
        <v>186</v>
      </c>
      <c r="C96" s="623" t="s">
        <v>5</v>
      </c>
      <c r="D96" s="625"/>
      <c r="E96" s="621">
        <v>9.944085762E9</v>
      </c>
      <c r="F96" s="626"/>
      <c r="G96" s="626"/>
      <c r="H96" s="623"/>
      <c r="I96" s="623" t="s">
        <v>200</v>
      </c>
      <c r="J96" s="628" t="s">
        <v>1519</v>
      </c>
      <c r="K96" s="738" t="s">
        <v>201</v>
      </c>
      <c r="L96" s="623" t="s">
        <v>1885</v>
      </c>
      <c r="M96" s="620"/>
      <c r="N96" s="620"/>
      <c r="O96" s="620"/>
      <c r="P96" s="620"/>
      <c r="Q96" s="620"/>
      <c r="R96" s="620"/>
      <c r="S96" s="620"/>
      <c r="T96" s="620"/>
      <c r="U96" s="620"/>
    </row>
    <row r="97">
      <c r="A97" s="331"/>
      <c r="B97" s="331" t="s">
        <v>701</v>
      </c>
      <c r="C97" s="623" t="s">
        <v>5</v>
      </c>
      <c r="D97" s="636" t="s">
        <v>1515</v>
      </c>
      <c r="E97" s="442">
        <v>9.944039984E9</v>
      </c>
      <c r="F97" s="637">
        <f t="array" ref="F97">_xlfn.XLOOKUP(I97,startify3.0!I:I,startify3.0!A:A)</f>
        <v>169</v>
      </c>
      <c r="G97" s="302"/>
      <c r="H97" s="331" t="s">
        <v>68</v>
      </c>
      <c r="I97" s="646" t="s">
        <v>703</v>
      </c>
      <c r="J97" s="808"/>
      <c r="K97" s="331"/>
      <c r="L97" s="818"/>
      <c r="M97" s="620"/>
      <c r="N97" s="620"/>
      <c r="O97" s="620"/>
      <c r="P97" s="620"/>
      <c r="Q97" s="620"/>
      <c r="R97" s="620"/>
      <c r="S97" s="620"/>
      <c r="T97" s="620"/>
      <c r="U97" s="620"/>
    </row>
    <row r="98">
      <c r="A98" s="331">
        <v>95.0</v>
      </c>
      <c r="B98" s="331" t="s">
        <v>840</v>
      </c>
      <c r="C98" s="331" t="s">
        <v>5</v>
      </c>
      <c r="D98" s="636"/>
      <c r="E98" s="442">
        <v>8.825987128E9</v>
      </c>
      <c r="F98" s="637">
        <f t="array" ref="F98">_xlfn.XLOOKUP(I98,startify3.0!I:I,startify3.0!A:A)</f>
        <v>71</v>
      </c>
      <c r="G98" s="302"/>
      <c r="H98" s="331" t="s">
        <v>68</v>
      </c>
      <c r="I98" s="646" t="s">
        <v>568</v>
      </c>
      <c r="J98" s="628" t="s">
        <v>1886</v>
      </c>
      <c r="K98" s="642" t="s">
        <v>1562</v>
      </c>
      <c r="L98" s="640" t="s">
        <v>1887</v>
      </c>
      <c r="M98" s="620"/>
      <c r="N98" s="620"/>
      <c r="O98" s="620"/>
      <c r="P98" s="620"/>
      <c r="Q98" s="620"/>
      <c r="R98" s="620"/>
      <c r="S98" s="620"/>
      <c r="T98" s="620"/>
      <c r="U98" s="620"/>
    </row>
    <row r="99">
      <c r="A99" s="635">
        <v>96.0</v>
      </c>
      <c r="B99" s="331" t="s">
        <v>1889</v>
      </c>
      <c r="C99" s="331" t="s">
        <v>5</v>
      </c>
      <c r="D99" s="636"/>
      <c r="E99" s="669">
        <v>9.080861148E9</v>
      </c>
      <c r="F99" s="302"/>
      <c r="G99" s="302"/>
      <c r="H99" s="331"/>
      <c r="I99" s="669" t="s">
        <v>42</v>
      </c>
      <c r="J99" s="628" t="s">
        <v>1890</v>
      </c>
      <c r="K99" s="819" t="s">
        <v>44</v>
      </c>
      <c r="L99" s="640" t="s">
        <v>1891</v>
      </c>
      <c r="M99" s="620"/>
      <c r="N99" s="620"/>
      <c r="O99" s="620"/>
      <c r="P99" s="620"/>
      <c r="Q99" s="620"/>
      <c r="R99" s="620"/>
      <c r="S99" s="620"/>
      <c r="T99" s="620"/>
      <c r="U99" s="620"/>
    </row>
    <row r="100">
      <c r="A100" s="635">
        <v>97.0</v>
      </c>
      <c r="B100" s="331" t="s">
        <v>831</v>
      </c>
      <c r="C100" s="331" t="s">
        <v>5</v>
      </c>
      <c r="D100" s="636" t="s">
        <v>1760</v>
      </c>
      <c r="E100" s="442">
        <v>8.903672237E9</v>
      </c>
      <c r="F100" s="637">
        <f t="array" ref="F100">_xlfn.XLOOKUP(I100,startify3.0!I:I,startify3.0!A:A)</f>
        <v>172</v>
      </c>
      <c r="G100" s="302"/>
      <c r="H100" s="331" t="s">
        <v>68</v>
      </c>
      <c r="I100" s="646" t="s">
        <v>832</v>
      </c>
      <c r="J100" s="628" t="s">
        <v>1894</v>
      </c>
      <c r="K100" s="642" t="s">
        <v>1687</v>
      </c>
      <c r="L100" s="640" t="s">
        <v>1895</v>
      </c>
      <c r="M100" s="620"/>
      <c r="N100" s="620"/>
      <c r="O100" s="620"/>
      <c r="P100" s="620"/>
      <c r="Q100" s="620"/>
      <c r="R100" s="620"/>
      <c r="S100" s="620"/>
      <c r="T100" s="620"/>
      <c r="U100" s="620"/>
    </row>
    <row r="101">
      <c r="A101" s="331">
        <v>98.0</v>
      </c>
      <c r="B101" s="331" t="s">
        <v>1618</v>
      </c>
      <c r="C101" s="302" t="s">
        <v>5</v>
      </c>
      <c r="D101" s="636" t="s">
        <v>1555</v>
      </c>
      <c r="E101" s="442">
        <v>9.843930292E9</v>
      </c>
      <c r="F101" s="637">
        <f t="array" ref="F101">_xlfn.XLOOKUP(I101,startify3.0!I:I,startify3.0!A:A)</f>
        <v>110</v>
      </c>
      <c r="G101" s="331"/>
      <c r="H101" s="331" t="s">
        <v>68</v>
      </c>
      <c r="I101" s="396" t="s">
        <v>709</v>
      </c>
      <c r="J101" s="628" t="s">
        <v>1896</v>
      </c>
      <c r="K101" s="811" t="s">
        <v>1622</v>
      </c>
      <c r="L101" s="640" t="s">
        <v>1897</v>
      </c>
      <c r="M101" s="620"/>
      <c r="N101" s="620"/>
      <c r="O101" s="620"/>
      <c r="P101" s="620"/>
      <c r="Q101" s="620"/>
      <c r="R101" s="620"/>
      <c r="S101" s="620"/>
      <c r="T101" s="620"/>
      <c r="U101" s="620"/>
    </row>
    <row r="102">
      <c r="A102" s="621">
        <v>99.0</v>
      </c>
      <c r="B102" s="623" t="s">
        <v>647</v>
      </c>
      <c r="C102" s="626" t="s">
        <v>5</v>
      </c>
      <c r="D102" s="625">
        <v>45968.0</v>
      </c>
      <c r="E102" s="630">
        <v>9.791005395E9</v>
      </c>
      <c r="F102" s="626" t="str">
        <f t="array" ref="F102">_xlfn.XLOOKUP(I102,startify3.0!I:I,startify3.0!A:A)</f>
        <v>#N/A</v>
      </c>
      <c r="G102" s="623" t="s">
        <v>91</v>
      </c>
      <c r="H102" s="626"/>
      <c r="I102" s="626" t="s">
        <v>235</v>
      </c>
      <c r="J102" s="628" t="s">
        <v>1898</v>
      </c>
      <c r="K102" s="632" t="s">
        <v>236</v>
      </c>
      <c r="L102" s="623" t="s">
        <v>1899</v>
      </c>
      <c r="M102" s="620"/>
      <c r="N102" s="620"/>
      <c r="O102" s="620"/>
      <c r="P102" s="620"/>
      <c r="Q102" s="620"/>
      <c r="R102" s="620"/>
      <c r="S102" s="620"/>
      <c r="T102" s="620"/>
      <c r="U102" s="620"/>
    </row>
    <row r="103">
      <c r="A103" s="635">
        <v>100.0</v>
      </c>
      <c r="B103" s="331" t="s">
        <v>950</v>
      </c>
      <c r="C103" s="331" t="s">
        <v>5</v>
      </c>
      <c r="D103" s="636"/>
      <c r="E103" s="406">
        <v>9.884065356E9</v>
      </c>
      <c r="F103" s="302" t="str">
        <f t="array" ref="F103">_xlfn.XLOOKUP(I103,startify3.0!I:I,startify3.0!A:A)</f>
        <v>#N/A</v>
      </c>
      <c r="G103" s="331"/>
      <c r="H103" s="331"/>
      <c r="I103" s="396" t="s">
        <v>952</v>
      </c>
      <c r="J103" s="628" t="s">
        <v>1900</v>
      </c>
      <c r="K103" s="642" t="s">
        <v>1572</v>
      </c>
      <c r="L103" s="640" t="s">
        <v>1902</v>
      </c>
      <c r="M103" s="620"/>
      <c r="N103" s="620"/>
      <c r="O103" s="620"/>
      <c r="P103" s="620"/>
      <c r="Q103" s="620"/>
      <c r="R103" s="620"/>
      <c r="S103" s="620"/>
      <c r="T103" s="620"/>
      <c r="U103" s="620"/>
    </row>
    <row r="104">
      <c r="A104" s="331">
        <v>101.0</v>
      </c>
      <c r="B104" s="635" t="s">
        <v>978</v>
      </c>
      <c r="C104" s="331" t="s">
        <v>5</v>
      </c>
      <c r="D104" s="636"/>
      <c r="E104" s="396">
        <v>7.401252411E9</v>
      </c>
      <c r="F104" s="302" t="str">
        <f t="array" ref="F104">_xlfn.XLOOKUP(I104,startify3.0!I:I,startify3.0!A:A)</f>
        <v>#N/A</v>
      </c>
      <c r="G104" s="638"/>
      <c r="H104" s="396" t="s">
        <v>68</v>
      </c>
      <c r="I104" s="396" t="s">
        <v>986</v>
      </c>
      <c r="J104" s="628" t="s">
        <v>1903</v>
      </c>
      <c r="K104" s="642" t="s">
        <v>988</v>
      </c>
      <c r="L104" s="640" t="s">
        <v>1904</v>
      </c>
      <c r="M104" s="620"/>
      <c r="N104" s="620"/>
      <c r="O104" s="620"/>
      <c r="P104" s="620"/>
      <c r="Q104" s="620"/>
      <c r="R104" s="620"/>
      <c r="S104" s="620"/>
      <c r="T104" s="620"/>
      <c r="U104" s="620"/>
    </row>
    <row r="105">
      <c r="A105" s="621">
        <v>102.0</v>
      </c>
      <c r="B105" s="623" t="s">
        <v>329</v>
      </c>
      <c r="C105" s="626" t="s">
        <v>5</v>
      </c>
      <c r="D105" s="625" t="s">
        <v>1824</v>
      </c>
      <c r="E105" s="630">
        <v>9.176529116E9</v>
      </c>
      <c r="F105" s="626" t="str">
        <f t="array" ref="F105">_xlfn.XLOOKUP(I105,startify3.0!I:I,startify3.0!A:A)</f>
        <v>#N/A</v>
      </c>
      <c r="G105" s="623"/>
      <c r="H105" s="623" t="s">
        <v>68</v>
      </c>
      <c r="I105" s="623" t="s">
        <v>220</v>
      </c>
      <c r="J105" s="628" t="s">
        <v>1906</v>
      </c>
      <c r="K105" s="629" t="s">
        <v>1907</v>
      </c>
      <c r="L105" s="623" t="s">
        <v>1908</v>
      </c>
      <c r="M105" s="620"/>
      <c r="N105" s="620"/>
      <c r="O105" s="620"/>
      <c r="P105" s="620"/>
      <c r="Q105" s="620"/>
      <c r="R105" s="620"/>
      <c r="S105" s="620"/>
      <c r="T105" s="620"/>
      <c r="U105" s="620"/>
    </row>
    <row r="106">
      <c r="A106" s="635">
        <v>103.0</v>
      </c>
      <c r="B106" s="331" t="s">
        <v>157</v>
      </c>
      <c r="C106" s="331" t="s">
        <v>5</v>
      </c>
      <c r="D106" s="636" t="s">
        <v>1765</v>
      </c>
      <c r="E106" s="442">
        <v>6.382396276E9</v>
      </c>
      <c r="F106" s="637">
        <f t="array" ref="F106">_xlfn.XLOOKUP(I106,startify3.0!I:I,startify3.0!A:A)</f>
        <v>160</v>
      </c>
      <c r="G106" s="302"/>
      <c r="H106" s="331" t="s">
        <v>68</v>
      </c>
      <c r="I106" s="646" t="s">
        <v>168</v>
      </c>
      <c r="J106" s="628" t="s">
        <v>1894</v>
      </c>
      <c r="K106" s="642" t="s">
        <v>169</v>
      </c>
      <c r="L106" s="640" t="s">
        <v>1910</v>
      </c>
      <c r="M106" s="620"/>
      <c r="N106" s="620"/>
      <c r="O106" s="620"/>
      <c r="P106" s="620"/>
      <c r="Q106" s="620"/>
      <c r="R106" s="620"/>
      <c r="S106" s="620"/>
      <c r="T106" s="620"/>
      <c r="U106" s="620"/>
    </row>
    <row r="107">
      <c r="A107" s="331">
        <v>104.0</v>
      </c>
      <c r="B107" s="331" t="s">
        <v>769</v>
      </c>
      <c r="C107" s="302" t="s">
        <v>5</v>
      </c>
      <c r="D107" s="636"/>
      <c r="E107" s="442">
        <v>9.042934637E9</v>
      </c>
      <c r="F107" s="637">
        <f t="array" ref="F107">_xlfn.XLOOKUP(I107,startify3.0!I:I,startify3.0!A:A)</f>
        <v>115</v>
      </c>
      <c r="G107" s="302"/>
      <c r="H107" s="331" t="s">
        <v>68</v>
      </c>
      <c r="I107" s="646" t="s">
        <v>421</v>
      </c>
      <c r="J107" s="628" t="s">
        <v>1911</v>
      </c>
      <c r="K107" s="800" t="s">
        <v>1460</v>
      </c>
      <c r="L107" s="640" t="s">
        <v>1913</v>
      </c>
      <c r="M107" s="620"/>
      <c r="N107" s="620"/>
      <c r="O107" s="620"/>
      <c r="P107" s="620"/>
      <c r="Q107" s="620"/>
      <c r="R107" s="620"/>
      <c r="S107" s="620"/>
      <c r="T107" s="620"/>
      <c r="U107" s="620"/>
    </row>
    <row r="108">
      <c r="A108" s="621">
        <v>105.0</v>
      </c>
      <c r="B108" s="623" t="s">
        <v>58</v>
      </c>
      <c r="C108" s="623" t="s">
        <v>5</v>
      </c>
      <c r="D108" s="625" t="s">
        <v>1515</v>
      </c>
      <c r="E108" s="621">
        <v>7.358629515E9</v>
      </c>
      <c r="F108" s="626" t="str">
        <f t="array" ref="F108">_xlfn.XLOOKUP(I108,startify3.0!I:I,startify3.0!A:A)</f>
        <v>#N/A</v>
      </c>
      <c r="G108" s="644"/>
      <c r="H108" s="644" t="s">
        <v>68</v>
      </c>
      <c r="I108" s="644" t="s">
        <v>69</v>
      </c>
      <c r="J108" s="628" t="s">
        <v>1915</v>
      </c>
      <c r="K108" s="632" t="s">
        <v>70</v>
      </c>
      <c r="L108" s="623" t="s">
        <v>1917</v>
      </c>
      <c r="M108" s="620"/>
      <c r="N108" s="620"/>
      <c r="O108" s="620"/>
      <c r="P108" s="620"/>
      <c r="Q108" s="620"/>
      <c r="R108" s="620"/>
      <c r="S108" s="620"/>
      <c r="T108" s="620"/>
      <c r="U108" s="620"/>
    </row>
    <row r="109">
      <c r="A109" s="621">
        <v>106.0</v>
      </c>
      <c r="B109" s="623" t="s">
        <v>658</v>
      </c>
      <c r="C109" s="623" t="s">
        <v>5</v>
      </c>
      <c r="D109" s="625"/>
      <c r="E109" s="630">
        <v>8.438532004E9</v>
      </c>
      <c r="F109" s="631">
        <f t="array" ref="F109">_xlfn.XLOOKUP(I109,startify3.0!I:I,startify3.0!A:A)</f>
        <v>72</v>
      </c>
      <c r="G109" s="820"/>
      <c r="H109" s="644" t="s">
        <v>68</v>
      </c>
      <c r="I109" s="820" t="s">
        <v>659</v>
      </c>
      <c r="J109" s="628" t="s">
        <v>1840</v>
      </c>
      <c r="K109" s="632" t="s">
        <v>1398</v>
      </c>
      <c r="L109" s="623" t="s">
        <v>1919</v>
      </c>
      <c r="M109" s="620"/>
      <c r="N109" s="620"/>
      <c r="O109" s="620"/>
      <c r="P109" s="620"/>
      <c r="Q109" s="620"/>
      <c r="R109" s="620"/>
      <c r="S109" s="620"/>
      <c r="T109" s="620"/>
      <c r="U109" s="620"/>
    </row>
    <row r="110">
      <c r="A110" s="331">
        <v>107.0</v>
      </c>
      <c r="B110" s="635" t="s">
        <v>911</v>
      </c>
      <c r="C110" s="331" t="s">
        <v>5</v>
      </c>
      <c r="D110" s="636"/>
      <c r="E110" s="407">
        <v>6.36976699E9</v>
      </c>
      <c r="F110" s="302" t="str">
        <f t="array" ref="F110">_xlfn.XLOOKUP(I110,startify3.0!I:I,startify3.0!A:A)</f>
        <v>#N/A</v>
      </c>
      <c r="G110" s="638"/>
      <c r="H110" s="396" t="s">
        <v>68</v>
      </c>
      <c r="I110" s="669" t="s">
        <v>912</v>
      </c>
      <c r="J110" s="628" t="s">
        <v>1920</v>
      </c>
      <c r="K110" s="744" t="s">
        <v>1277</v>
      </c>
      <c r="L110" s="640" t="s">
        <v>1921</v>
      </c>
      <c r="M110" s="620"/>
      <c r="N110" s="620"/>
      <c r="O110" s="620"/>
      <c r="P110" s="620"/>
      <c r="Q110" s="620"/>
      <c r="R110" s="620"/>
      <c r="S110" s="620"/>
      <c r="T110" s="620"/>
      <c r="U110" s="620"/>
    </row>
    <row r="111">
      <c r="A111" s="621">
        <v>108.0</v>
      </c>
      <c r="B111" s="623" t="s">
        <v>620</v>
      </c>
      <c r="C111" s="626" t="s">
        <v>5</v>
      </c>
      <c r="D111" s="625">
        <v>46000.0</v>
      </c>
      <c r="E111" s="630">
        <v>8.939747045E9</v>
      </c>
      <c r="F111" s="631">
        <f t="array" ref="F111">_xlfn.XLOOKUP(I111,startify3.0!I:I,startify3.0!A:A)</f>
        <v>142</v>
      </c>
      <c r="G111" s="626"/>
      <c r="H111" s="623" t="s">
        <v>68</v>
      </c>
      <c r="I111" s="626" t="s">
        <v>622</v>
      </c>
      <c r="J111" s="628" t="s">
        <v>1923</v>
      </c>
      <c r="K111" s="623"/>
      <c r="L111" s="644" t="s">
        <v>1924</v>
      </c>
      <c r="M111" s="620"/>
      <c r="N111" s="620"/>
      <c r="O111" s="620"/>
      <c r="P111" s="620"/>
      <c r="Q111" s="620"/>
      <c r="R111" s="620"/>
      <c r="S111" s="620"/>
      <c r="T111" s="620"/>
      <c r="U111" s="620"/>
    </row>
    <row r="112">
      <c r="A112" s="621">
        <v>109.0</v>
      </c>
      <c r="B112" s="623" t="s">
        <v>899</v>
      </c>
      <c r="C112" s="623" t="s">
        <v>5</v>
      </c>
      <c r="D112" s="625"/>
      <c r="E112" s="630">
        <v>9.342242802E9</v>
      </c>
      <c r="F112" s="631">
        <f t="array" ref="F112">_xlfn.XLOOKUP(I112,startify3.0!I:I,startify3.0!A:A)</f>
        <v>197</v>
      </c>
      <c r="G112" s="820"/>
      <c r="H112" s="644" t="s">
        <v>68</v>
      </c>
      <c r="I112" s="820" t="s">
        <v>900</v>
      </c>
      <c r="J112" s="628" t="s">
        <v>780</v>
      </c>
      <c r="K112" s="632" t="s">
        <v>1594</v>
      </c>
      <c r="L112" s="623" t="s">
        <v>1926</v>
      </c>
      <c r="M112" s="620"/>
      <c r="N112" s="620"/>
      <c r="O112" s="620"/>
      <c r="P112" s="620"/>
      <c r="Q112" s="620"/>
      <c r="R112" s="620"/>
      <c r="S112" s="620"/>
      <c r="T112" s="620"/>
      <c r="U112" s="620"/>
    </row>
    <row r="113">
      <c r="A113" s="331">
        <v>110.0</v>
      </c>
      <c r="B113" s="331" t="s">
        <v>932</v>
      </c>
      <c r="C113" s="331" t="s">
        <v>5</v>
      </c>
      <c r="D113" s="636"/>
      <c r="E113" s="650">
        <v>6.364057474E9</v>
      </c>
      <c r="F113" s="637">
        <f t="array" ref="F113">_xlfn.XLOOKUP(I113,startify3.0!I:I,startify3.0!A:A)</f>
        <v>57</v>
      </c>
      <c r="G113" s="654"/>
      <c r="H113" s="651" t="s">
        <v>68</v>
      </c>
      <c r="I113" s="655" t="s">
        <v>905</v>
      </c>
      <c r="J113" s="628" t="s">
        <v>1927</v>
      </c>
      <c r="K113" s="331" t="s">
        <v>359</v>
      </c>
      <c r="L113" s="678" t="s">
        <v>1929</v>
      </c>
      <c r="M113" s="620"/>
      <c r="N113" s="620"/>
      <c r="O113" s="620"/>
      <c r="P113" s="620"/>
      <c r="Q113" s="620"/>
      <c r="R113" s="620"/>
      <c r="S113" s="620"/>
      <c r="T113" s="620"/>
      <c r="U113" s="620"/>
    </row>
    <row r="114">
      <c r="A114" s="331"/>
      <c r="B114" s="331" t="s">
        <v>1183</v>
      </c>
      <c r="C114" s="331" t="s">
        <v>5</v>
      </c>
      <c r="D114" s="636">
        <v>46000.0</v>
      </c>
      <c r="E114" s="442">
        <v>6.374960838E9</v>
      </c>
      <c r="F114" s="637">
        <f t="array" ref="F114">_xlfn.XLOOKUP(I114,startify3.0!I:I,startify3.0!A:A)</f>
        <v>134</v>
      </c>
      <c r="G114" s="302"/>
      <c r="H114" s="331" t="s">
        <v>125</v>
      </c>
      <c r="I114" s="302" t="s">
        <v>1193</v>
      </c>
      <c r="J114" s="808"/>
      <c r="K114" s="331" t="s">
        <v>359</v>
      </c>
      <c r="L114" s="331"/>
      <c r="M114" s="822"/>
      <c r="N114" s="822"/>
      <c r="O114" s="822"/>
      <c r="P114" s="822"/>
      <c r="Q114" s="822"/>
      <c r="R114" s="822"/>
      <c r="S114" s="823"/>
      <c r="T114" s="823"/>
      <c r="U114" s="823"/>
    </row>
    <row r="115">
      <c r="A115" s="635">
        <v>111.0</v>
      </c>
      <c r="B115" s="635" t="s">
        <v>1220</v>
      </c>
      <c r="C115" s="331" t="s">
        <v>5</v>
      </c>
      <c r="D115" s="636"/>
      <c r="E115" s="824">
        <v>8.056096632E9</v>
      </c>
      <c r="F115" s="302"/>
      <c r="G115" s="638"/>
      <c r="H115" s="396" t="s">
        <v>68</v>
      </c>
      <c r="I115" s="655" t="s">
        <v>1222</v>
      </c>
      <c r="J115" s="628" t="s">
        <v>1930</v>
      </c>
      <c r="K115" s="642" t="s">
        <v>1427</v>
      </c>
      <c r="L115" s="640" t="s">
        <v>1932</v>
      </c>
      <c r="M115" s="620"/>
      <c r="N115" s="620"/>
      <c r="O115" s="620"/>
      <c r="P115" s="620"/>
      <c r="Q115" s="620"/>
      <c r="R115" s="620"/>
      <c r="S115" s="620"/>
      <c r="T115" s="620"/>
      <c r="U115" s="620"/>
    </row>
    <row r="116">
      <c r="A116" s="621">
        <v>112.0</v>
      </c>
      <c r="B116" s="630" t="s">
        <v>269</v>
      </c>
      <c r="C116" s="623" t="s">
        <v>5</v>
      </c>
      <c r="D116" s="625"/>
      <c r="E116" s="809">
        <v>7.358011726E9</v>
      </c>
      <c r="F116" s="631">
        <f t="array" ref="F116">_xlfn.XLOOKUP(I116,startify3.0!I:I,startify3.0!A:A)</f>
        <v>192</v>
      </c>
      <c r="G116" s="627"/>
      <c r="H116" s="623" t="s">
        <v>68</v>
      </c>
      <c r="I116" s="809" t="s">
        <v>276</v>
      </c>
      <c r="J116" s="628" t="s">
        <v>1933</v>
      </c>
      <c r="K116" s="632" t="s">
        <v>277</v>
      </c>
      <c r="L116" s="623" t="s">
        <v>1936</v>
      </c>
      <c r="M116" s="620"/>
      <c r="N116" s="620"/>
      <c r="O116" s="620"/>
      <c r="P116" s="620"/>
      <c r="Q116" s="620"/>
      <c r="R116" s="620"/>
      <c r="S116" s="620"/>
      <c r="T116" s="620"/>
      <c r="U116" s="620"/>
    </row>
    <row r="117">
      <c r="A117" s="331">
        <v>113.0</v>
      </c>
      <c r="B117" s="331" t="s">
        <v>286</v>
      </c>
      <c r="C117" s="331" t="s">
        <v>5</v>
      </c>
      <c r="D117" s="636"/>
      <c r="E117" s="406">
        <v>7.395903061E9</v>
      </c>
      <c r="F117" s="302" t="str">
        <f t="array" ref="F117">_xlfn.XLOOKUP(I117,startify3.0!I:I,startify3.0!A:A)</f>
        <v>#N/A</v>
      </c>
      <c r="G117" s="651"/>
      <c r="H117" s="651"/>
      <c r="I117" s="407" t="s">
        <v>301</v>
      </c>
      <c r="J117" s="687"/>
      <c r="K117" s="331" t="s">
        <v>359</v>
      </c>
      <c r="L117" s="640"/>
      <c r="M117" s="620"/>
      <c r="N117" s="620"/>
      <c r="O117" s="620"/>
      <c r="P117" s="620"/>
      <c r="Q117" s="620"/>
      <c r="R117" s="620"/>
      <c r="S117" s="620"/>
      <c r="T117" s="620"/>
      <c r="U117" s="620"/>
    </row>
    <row r="118">
      <c r="A118" s="621">
        <v>114.0</v>
      </c>
      <c r="B118" s="623" t="s">
        <v>346</v>
      </c>
      <c r="C118" s="626" t="s">
        <v>5</v>
      </c>
      <c r="D118" s="625" t="s">
        <v>1824</v>
      </c>
      <c r="E118" s="630">
        <v>7.397252915E9</v>
      </c>
      <c r="F118" s="631">
        <f t="array" ref="F118">_xlfn.XLOOKUP(I118,startify3.0!I:I,startify3.0!A:A)</f>
        <v>16</v>
      </c>
      <c r="G118" s="623" t="s">
        <v>91</v>
      </c>
      <c r="H118" s="623" t="s">
        <v>68</v>
      </c>
      <c r="I118" s="626" t="s">
        <v>151</v>
      </c>
      <c r="J118" s="628" t="s">
        <v>1937</v>
      </c>
      <c r="K118" s="629" t="s">
        <v>204</v>
      </c>
      <c r="L118" s="623" t="s">
        <v>1938</v>
      </c>
      <c r="M118" s="620"/>
      <c r="N118" s="620"/>
      <c r="O118" s="620"/>
      <c r="P118" s="620"/>
      <c r="Q118" s="620"/>
      <c r="R118" s="620"/>
      <c r="S118" s="620"/>
      <c r="T118" s="620"/>
      <c r="U118" s="620"/>
    </row>
    <row r="119">
      <c r="A119" s="623">
        <v>116.0</v>
      </c>
      <c r="B119" s="623" t="s">
        <v>1722</v>
      </c>
      <c r="C119" s="663" t="s">
        <v>1566</v>
      </c>
      <c r="D119" s="828"/>
      <c r="E119" s="621"/>
      <c r="F119" s="626"/>
      <c r="G119" s="623"/>
      <c r="H119" s="623"/>
      <c r="I119" s="831" t="s">
        <v>1939</v>
      </c>
      <c r="J119" s="687"/>
      <c r="K119" s="623"/>
      <c r="L119" s="623"/>
      <c r="M119" s="620"/>
      <c r="N119" s="620"/>
      <c r="O119" s="620"/>
      <c r="P119" s="620"/>
      <c r="Q119" s="620"/>
      <c r="R119" s="620"/>
      <c r="S119" s="620"/>
      <c r="T119" s="620"/>
      <c r="U119" s="620"/>
    </row>
    <row r="120">
      <c r="A120" s="621">
        <v>115.0</v>
      </c>
      <c r="B120" s="621" t="s">
        <v>494</v>
      </c>
      <c r="C120" s="623" t="s">
        <v>5</v>
      </c>
      <c r="D120" s="625"/>
      <c r="E120" s="623" t="s">
        <v>497</v>
      </c>
      <c r="F120" s="626" t="str">
        <f t="array" ref="F120">_xlfn.XLOOKUP(I120,startify3.0!I:I,startify3.0!A:A)</f>
        <v>#N/A</v>
      </c>
      <c r="G120" s="627"/>
      <c r="H120" s="623" t="s">
        <v>68</v>
      </c>
      <c r="I120" s="623" t="s">
        <v>502</v>
      </c>
      <c r="J120" s="628" t="s">
        <v>1941</v>
      </c>
      <c r="K120" s="632" t="s">
        <v>504</v>
      </c>
      <c r="L120" s="623" t="s">
        <v>1942</v>
      </c>
      <c r="M120" s="620"/>
      <c r="N120" s="620"/>
      <c r="O120" s="620"/>
      <c r="P120" s="620"/>
      <c r="Q120" s="620"/>
      <c r="R120" s="620"/>
      <c r="S120" s="620"/>
      <c r="T120" s="620"/>
      <c r="U120" s="620"/>
    </row>
    <row r="121">
      <c r="A121" s="621">
        <v>117.0</v>
      </c>
      <c r="B121" s="623" t="s">
        <v>875</v>
      </c>
      <c r="C121" s="623" t="s">
        <v>5</v>
      </c>
      <c r="D121" s="625"/>
      <c r="E121" s="621">
        <v>8.10687252E9</v>
      </c>
      <c r="F121" s="631">
        <f t="array" ref="F121">_xlfn.XLOOKUP(I121,startify3.0!I:I,startify3.0!A:A)</f>
        <v>206</v>
      </c>
      <c r="G121" s="626"/>
      <c r="H121" s="623" t="s">
        <v>68</v>
      </c>
      <c r="I121" s="626" t="s">
        <v>877</v>
      </c>
      <c r="J121" s="628" t="s">
        <v>1657</v>
      </c>
      <c r="K121" s="632" t="s">
        <v>1598</v>
      </c>
      <c r="L121" s="623" t="s">
        <v>1943</v>
      </c>
      <c r="M121" s="620"/>
      <c r="N121" s="620"/>
      <c r="O121" s="620"/>
      <c r="P121" s="620"/>
      <c r="Q121" s="620"/>
      <c r="R121" s="620"/>
      <c r="S121" s="620"/>
      <c r="T121" s="620"/>
      <c r="U121" s="620"/>
    </row>
    <row r="122">
      <c r="A122" s="621">
        <v>118.0</v>
      </c>
      <c r="B122" s="623" t="s">
        <v>1944</v>
      </c>
      <c r="C122" s="626" t="s">
        <v>5</v>
      </c>
      <c r="D122" s="625">
        <v>46357.0</v>
      </c>
      <c r="E122" s="630">
        <v>9.380184164E9</v>
      </c>
      <c r="F122" s="631">
        <f t="array" ref="F122">_xlfn.XLOOKUP(I122,startify3.0!I:I,startify3.0!A:A)</f>
        <v>109</v>
      </c>
      <c r="G122" s="623"/>
      <c r="H122" s="623" t="s">
        <v>68</v>
      </c>
      <c r="I122" s="623" t="s">
        <v>299</v>
      </c>
      <c r="J122" s="628" t="s">
        <v>1945</v>
      </c>
      <c r="K122" s="632" t="s">
        <v>300</v>
      </c>
      <c r="L122" s="623" t="s">
        <v>1946</v>
      </c>
      <c r="M122" s="620"/>
      <c r="N122" s="620"/>
      <c r="O122" s="620"/>
      <c r="P122" s="620"/>
      <c r="Q122" s="620"/>
      <c r="R122" s="620"/>
      <c r="S122" s="620"/>
      <c r="T122" s="620"/>
      <c r="U122" s="620"/>
    </row>
    <row r="123">
      <c r="A123" s="623">
        <v>119.0</v>
      </c>
      <c r="B123" s="623" t="s">
        <v>653</v>
      </c>
      <c r="C123" s="626" t="s">
        <v>5</v>
      </c>
      <c r="D123" s="625" t="s">
        <v>1750</v>
      </c>
      <c r="E123" s="630">
        <v>9.361054415E9</v>
      </c>
      <c r="F123" s="631">
        <f t="array" ref="F123">_xlfn.XLOOKUP(I123,startify3.0!I:I,startify3.0!A:A)</f>
        <v>23</v>
      </c>
      <c r="G123" s="626"/>
      <c r="H123" s="623" t="s">
        <v>68</v>
      </c>
      <c r="I123" s="626" t="s">
        <v>405</v>
      </c>
      <c r="J123" s="628" t="s">
        <v>1947</v>
      </c>
      <c r="K123" s="632" t="s">
        <v>1236</v>
      </c>
      <c r="L123" s="623" t="s">
        <v>1948</v>
      </c>
      <c r="M123" s="620"/>
      <c r="N123" s="620"/>
      <c r="O123" s="620"/>
      <c r="P123" s="620"/>
      <c r="Q123" s="620"/>
      <c r="R123" s="620"/>
      <c r="S123" s="620"/>
      <c r="T123" s="620"/>
      <c r="U123" s="620"/>
    </row>
    <row r="124">
      <c r="A124" s="621">
        <v>120.0</v>
      </c>
      <c r="B124" s="623" t="s">
        <v>279</v>
      </c>
      <c r="C124" s="626" t="s">
        <v>5</v>
      </c>
      <c r="D124" s="625" t="s">
        <v>1515</v>
      </c>
      <c r="E124" s="630">
        <v>7.200939492E9</v>
      </c>
      <c r="F124" s="631">
        <f t="array" ref="F124">_xlfn.XLOOKUP(I124,startify3.0!I:I,startify3.0!A:A)</f>
        <v>5</v>
      </c>
      <c r="G124" s="623"/>
      <c r="H124" s="623" t="s">
        <v>68</v>
      </c>
      <c r="I124" s="623" t="s">
        <v>163</v>
      </c>
      <c r="J124" s="628" t="s">
        <v>1950</v>
      </c>
      <c r="K124" s="632" t="s">
        <v>1354</v>
      </c>
      <c r="L124" s="623" t="s">
        <v>1952</v>
      </c>
      <c r="M124" s="620"/>
      <c r="N124" s="620"/>
      <c r="O124" s="620"/>
      <c r="P124" s="620"/>
      <c r="Q124" s="620"/>
      <c r="R124" s="620"/>
      <c r="S124" s="620"/>
      <c r="T124" s="620"/>
      <c r="U124" s="620"/>
    </row>
    <row r="125">
      <c r="A125" s="621">
        <v>121.0</v>
      </c>
      <c r="B125" s="623" t="s">
        <v>205</v>
      </c>
      <c r="C125" s="623" t="s">
        <v>5</v>
      </c>
      <c r="D125" s="625"/>
      <c r="E125" s="630">
        <v>7.305184227E9</v>
      </c>
      <c r="F125" s="626" t="str">
        <f t="array" ref="F125">_xlfn.XLOOKUP(I125,startify3.0!I:I,startify3.0!A:A)</f>
        <v>#N/A</v>
      </c>
      <c r="G125" s="626"/>
      <c r="H125" s="623" t="s">
        <v>68</v>
      </c>
      <c r="I125" s="626" t="s">
        <v>215</v>
      </c>
      <c r="J125" s="628" t="s">
        <v>1954</v>
      </c>
      <c r="K125" s="632" t="s">
        <v>217</v>
      </c>
      <c r="L125" s="623" t="s">
        <v>1955</v>
      </c>
      <c r="M125" s="620"/>
      <c r="N125" s="620"/>
      <c r="O125" s="620"/>
      <c r="P125" s="620"/>
      <c r="Q125" s="620"/>
      <c r="R125" s="620"/>
      <c r="S125" s="620"/>
      <c r="T125" s="620"/>
      <c r="U125" s="620"/>
    </row>
    <row r="126">
      <c r="A126" s="623">
        <v>122.0</v>
      </c>
      <c r="B126" s="623" t="s">
        <v>1691</v>
      </c>
      <c r="C126" s="623" t="s">
        <v>5</v>
      </c>
      <c r="D126" s="625"/>
      <c r="E126" s="623">
        <v>9.994608057E9</v>
      </c>
      <c r="F126" s="626" t="str">
        <f t="array" ref="F126">_xlfn.XLOOKUP(I126,startify3.0!I:I,startify3.0!A:A)</f>
        <v>#N/A</v>
      </c>
      <c r="G126" s="627"/>
      <c r="H126" s="623"/>
      <c r="I126" s="623" t="s">
        <v>1190</v>
      </c>
      <c r="J126" s="628" t="s">
        <v>1957</v>
      </c>
      <c r="K126" s="632" t="s">
        <v>1697</v>
      </c>
      <c r="L126" s="623" t="s">
        <v>1958</v>
      </c>
      <c r="M126" s="620"/>
      <c r="N126" s="620"/>
      <c r="O126" s="620"/>
      <c r="P126" s="620"/>
      <c r="Q126" s="620"/>
      <c r="R126" s="620"/>
      <c r="S126" s="620"/>
      <c r="T126" s="620"/>
      <c r="U126" s="620"/>
    </row>
    <row r="127">
      <c r="A127" s="621">
        <v>123.0</v>
      </c>
      <c r="B127" s="621" t="s">
        <v>450</v>
      </c>
      <c r="C127" s="623" t="s">
        <v>5</v>
      </c>
      <c r="D127" s="625"/>
      <c r="E127" s="644">
        <v>9.884706822E9</v>
      </c>
      <c r="F127" s="626" t="str">
        <f t="array" ref="F127">_xlfn.XLOOKUP(I127,startify3.0!I:I,startify3.0!A:A)</f>
        <v>#N/A</v>
      </c>
      <c r="G127" s="627"/>
      <c r="H127" s="623" t="s">
        <v>68</v>
      </c>
      <c r="I127" s="623" t="s">
        <v>456</v>
      </c>
      <c r="J127" s="628" t="s">
        <v>1960</v>
      </c>
      <c r="K127" s="632" t="s">
        <v>457</v>
      </c>
      <c r="L127" s="644" t="s">
        <v>1962</v>
      </c>
      <c r="M127" s="620"/>
      <c r="N127" s="620"/>
      <c r="O127" s="620"/>
      <c r="P127" s="620"/>
      <c r="Q127" s="620"/>
      <c r="R127" s="620"/>
      <c r="S127" s="620"/>
      <c r="T127" s="620"/>
      <c r="U127" s="620"/>
    </row>
    <row r="128">
      <c r="A128" s="621">
        <v>124.0</v>
      </c>
      <c r="B128" s="809" t="s">
        <v>1012</v>
      </c>
      <c r="C128" s="623" t="s">
        <v>5</v>
      </c>
      <c r="D128" s="625"/>
      <c r="E128" s="630">
        <v>9.361579843E9</v>
      </c>
      <c r="F128" s="631">
        <f t="array" ref="F128">_xlfn.XLOOKUP(I128,startify3.0!I:I,startify3.0!A:A)</f>
        <v>66</v>
      </c>
      <c r="G128" s="623"/>
      <c r="H128" s="623" t="s">
        <v>68</v>
      </c>
      <c r="I128" s="623" t="s">
        <v>1014</v>
      </c>
      <c r="J128" s="628" t="s">
        <v>1964</v>
      </c>
      <c r="K128" s="738" t="s">
        <v>1603</v>
      </c>
      <c r="L128" s="623" t="s">
        <v>1965</v>
      </c>
      <c r="M128" s="620"/>
      <c r="N128" s="620"/>
      <c r="O128" s="620"/>
      <c r="P128" s="620"/>
      <c r="Q128" s="620"/>
      <c r="R128" s="620"/>
      <c r="S128" s="620"/>
      <c r="T128" s="620"/>
      <c r="U128" s="620"/>
    </row>
    <row r="129">
      <c r="A129" s="623">
        <v>125.0</v>
      </c>
      <c r="B129" s="623" t="s">
        <v>881</v>
      </c>
      <c r="C129" s="623" t="s">
        <v>5</v>
      </c>
      <c r="D129" s="625"/>
      <c r="E129" s="621">
        <v>8.667282961E9</v>
      </c>
      <c r="F129" s="631">
        <f t="array" ref="F129">_xlfn.XLOOKUP(I129,startify3.0!I:I,startify3.0!A:A)</f>
        <v>51</v>
      </c>
      <c r="G129" s="623"/>
      <c r="H129" s="623" t="s">
        <v>68</v>
      </c>
      <c r="I129" s="623" t="s">
        <v>885</v>
      </c>
      <c r="J129" s="628" t="s">
        <v>1966</v>
      </c>
      <c r="K129" s="738" t="s">
        <v>1439</v>
      </c>
      <c r="L129" s="866" t="s">
        <v>1968</v>
      </c>
      <c r="M129" s="620"/>
      <c r="N129" s="620"/>
      <c r="O129" s="620"/>
      <c r="P129" s="620"/>
      <c r="Q129" s="620"/>
      <c r="R129" s="620"/>
      <c r="S129" s="620"/>
      <c r="T129" s="620"/>
      <c r="U129" s="620"/>
    </row>
    <row r="130">
      <c r="A130" s="621">
        <v>126.0</v>
      </c>
      <c r="B130" s="623" t="s">
        <v>678</v>
      </c>
      <c r="C130" s="626" t="s">
        <v>5</v>
      </c>
      <c r="D130" s="625" t="s">
        <v>1523</v>
      </c>
      <c r="E130" s="630">
        <v>9.600407657E9</v>
      </c>
      <c r="F130" s="631">
        <f t="array" ref="F130">_xlfn.XLOOKUP(I130,startify3.0!I:I,startify3.0!A:A)</f>
        <v>114</v>
      </c>
      <c r="G130" s="626"/>
      <c r="H130" s="623" t="s">
        <v>68</v>
      </c>
      <c r="I130" s="626" t="s">
        <v>135</v>
      </c>
      <c r="J130" s="628" t="s">
        <v>1969</v>
      </c>
      <c r="K130" s="632" t="s">
        <v>1108</v>
      </c>
      <c r="L130" s="623" t="s">
        <v>1970</v>
      </c>
      <c r="M130" s="620"/>
      <c r="N130" s="620"/>
      <c r="O130" s="620"/>
      <c r="P130" s="620"/>
      <c r="Q130" s="620"/>
      <c r="R130" s="620"/>
      <c r="S130" s="620"/>
      <c r="T130" s="620"/>
      <c r="U130" s="620"/>
    </row>
    <row r="131">
      <c r="A131" s="623">
        <v>128.0</v>
      </c>
      <c r="B131" s="623" t="s">
        <v>814</v>
      </c>
      <c r="C131" s="626" t="s">
        <v>5</v>
      </c>
      <c r="D131" s="625" t="s">
        <v>1523</v>
      </c>
      <c r="E131" s="621">
        <v>7.358254947E9</v>
      </c>
      <c r="F131" s="631">
        <f t="array" ref="F131">_xlfn.XLOOKUP(I131,startify3.0!I:I,startify3.0!A:A)</f>
        <v>12</v>
      </c>
      <c r="G131" s="820"/>
      <c r="H131" s="623" t="s">
        <v>68</v>
      </c>
      <c r="I131" s="820" t="s">
        <v>287</v>
      </c>
      <c r="J131" s="628" t="s">
        <v>1972</v>
      </c>
      <c r="K131" s="632" t="s">
        <v>1627</v>
      </c>
      <c r="L131" s="623" t="s">
        <v>1973</v>
      </c>
      <c r="M131" s="620"/>
      <c r="N131" s="620"/>
      <c r="O131" s="620"/>
      <c r="P131" s="620"/>
      <c r="Q131" s="620"/>
      <c r="R131" s="620"/>
      <c r="S131" s="620"/>
      <c r="T131" s="620"/>
      <c r="U131" s="620"/>
    </row>
    <row r="132">
      <c r="A132" s="621">
        <v>129.0</v>
      </c>
      <c r="B132" s="623" t="s">
        <v>756</v>
      </c>
      <c r="C132" s="623" t="s">
        <v>5</v>
      </c>
      <c r="D132" s="625" t="s">
        <v>1760</v>
      </c>
      <c r="E132" s="630">
        <v>6.382725434E9</v>
      </c>
      <c r="F132" s="631">
        <f t="array" ref="F132">_xlfn.XLOOKUP(I132,startify3.0!I:I,startify3.0!A:A)</f>
        <v>56</v>
      </c>
      <c r="G132" s="623"/>
      <c r="H132" s="623" t="s">
        <v>68</v>
      </c>
      <c r="I132" s="623" t="s">
        <v>754</v>
      </c>
      <c r="J132" s="628" t="s">
        <v>1975</v>
      </c>
      <c r="K132" s="738" t="s">
        <v>1349</v>
      </c>
      <c r="L132" s="623" t="s">
        <v>1977</v>
      </c>
      <c r="M132" s="620"/>
      <c r="N132" s="620"/>
      <c r="O132" s="620"/>
      <c r="P132" s="620"/>
      <c r="Q132" s="620"/>
      <c r="R132" s="620"/>
      <c r="S132" s="620"/>
      <c r="T132" s="620"/>
      <c r="U132" s="620"/>
    </row>
    <row r="133">
      <c r="A133" s="621">
        <v>130.0</v>
      </c>
      <c r="B133" s="623" t="s">
        <v>1118</v>
      </c>
      <c r="C133" s="626" t="s">
        <v>5</v>
      </c>
      <c r="D133" s="625" t="s">
        <v>1750</v>
      </c>
      <c r="E133" s="630">
        <v>7.30549974E9</v>
      </c>
      <c r="F133" s="631">
        <f t="array" ref="F133">_xlfn.XLOOKUP(I133,startify3.0!I:I,startify3.0!A:A)</f>
        <v>148</v>
      </c>
      <c r="G133" s="623" t="s">
        <v>91</v>
      </c>
      <c r="H133" s="623" t="s">
        <v>68</v>
      </c>
      <c r="I133" s="626" t="s">
        <v>108</v>
      </c>
      <c r="J133" s="628" t="s">
        <v>1978</v>
      </c>
      <c r="K133" s="632" t="s">
        <v>111</v>
      </c>
      <c r="L133" s="623" t="s">
        <v>1980</v>
      </c>
      <c r="M133" s="620"/>
      <c r="N133" s="620"/>
      <c r="O133" s="620"/>
      <c r="P133" s="620"/>
      <c r="Q133" s="620"/>
      <c r="R133" s="620"/>
      <c r="S133" s="620"/>
      <c r="T133" s="620"/>
      <c r="U133" s="620"/>
    </row>
    <row r="134">
      <c r="A134" s="623">
        <v>131.0</v>
      </c>
      <c r="B134" s="623" t="s">
        <v>172</v>
      </c>
      <c r="C134" s="626" t="s">
        <v>5</v>
      </c>
      <c r="D134" s="625" t="s">
        <v>1765</v>
      </c>
      <c r="E134" s="630">
        <v>8.608487249E9</v>
      </c>
      <c r="F134" s="626" t="str">
        <f t="array" ref="F134">_xlfn.XLOOKUP(I134,startify3.0!I:I,startify3.0!A:A)</f>
        <v>#N/A</v>
      </c>
      <c r="G134" s="626"/>
      <c r="H134" s="623" t="s">
        <v>68</v>
      </c>
      <c r="I134" s="626" t="s">
        <v>73</v>
      </c>
      <c r="J134" s="628" t="s">
        <v>1982</v>
      </c>
      <c r="K134" s="738" t="s">
        <v>184</v>
      </c>
      <c r="L134" s="623" t="s">
        <v>1984</v>
      </c>
      <c r="M134" s="620"/>
      <c r="N134" s="620"/>
      <c r="O134" s="620"/>
      <c r="P134" s="620"/>
      <c r="Q134" s="620"/>
      <c r="R134" s="620"/>
      <c r="S134" s="620"/>
      <c r="T134" s="620"/>
      <c r="U134" s="620"/>
    </row>
    <row r="135">
      <c r="A135" s="621">
        <v>132.0</v>
      </c>
      <c r="B135" s="623" t="s">
        <v>728</v>
      </c>
      <c r="C135" s="623" t="s">
        <v>5</v>
      </c>
      <c r="D135" s="625" t="s">
        <v>1515</v>
      </c>
      <c r="E135" s="630">
        <v>9.789962388E9</v>
      </c>
      <c r="F135" s="631">
        <f t="array" ref="F135">_xlfn.XLOOKUP(I135,startify3.0!I:I,startify3.0!A:A)</f>
        <v>137</v>
      </c>
      <c r="G135" s="623" t="s">
        <v>91</v>
      </c>
      <c r="H135" s="623" t="s">
        <v>68</v>
      </c>
      <c r="I135" s="626" t="s">
        <v>729</v>
      </c>
      <c r="J135" s="628" t="s">
        <v>1986</v>
      </c>
      <c r="K135" s="871" t="s">
        <v>1250</v>
      </c>
      <c r="L135" s="623" t="s">
        <v>1987</v>
      </c>
      <c r="M135" s="620"/>
      <c r="N135" s="620"/>
      <c r="O135" s="620"/>
      <c r="P135" s="620"/>
      <c r="Q135" s="620"/>
      <c r="R135" s="620"/>
      <c r="S135" s="620"/>
      <c r="T135" s="620"/>
      <c r="U135" s="620"/>
    </row>
    <row r="136">
      <c r="A136" s="621">
        <v>133.0</v>
      </c>
      <c r="B136" s="621" t="s">
        <v>963</v>
      </c>
      <c r="C136" s="623" t="s">
        <v>5</v>
      </c>
      <c r="D136" s="625"/>
      <c r="E136" s="623">
        <v>9.840620303E9</v>
      </c>
      <c r="F136" s="626" t="str">
        <f t="array" ref="F136">_xlfn.XLOOKUP(I136,startify3.0!I:I,startify3.0!A:A)</f>
        <v>#N/A</v>
      </c>
      <c r="G136" s="627"/>
      <c r="H136" s="623" t="s">
        <v>68</v>
      </c>
      <c r="I136" s="623" t="s">
        <v>965</v>
      </c>
      <c r="J136" s="628" t="s">
        <v>1988</v>
      </c>
      <c r="K136" s="632" t="s">
        <v>1386</v>
      </c>
      <c r="L136" s="623" t="s">
        <v>1989</v>
      </c>
      <c r="M136" s="620"/>
      <c r="N136" s="620"/>
      <c r="O136" s="620"/>
      <c r="P136" s="620"/>
      <c r="Q136" s="620"/>
      <c r="R136" s="620"/>
      <c r="S136" s="620"/>
      <c r="T136" s="620"/>
      <c r="U136" s="620"/>
    </row>
    <row r="137">
      <c r="A137" s="623">
        <v>134.0</v>
      </c>
      <c r="B137" s="644" t="s">
        <v>552</v>
      </c>
      <c r="C137" s="623" t="s">
        <v>5</v>
      </c>
      <c r="D137" s="623"/>
      <c r="E137" s="623">
        <v>8.870169974E9</v>
      </c>
      <c r="F137" s="809"/>
      <c r="G137" s="873"/>
      <c r="H137" s="873"/>
      <c r="I137" s="623" t="s">
        <v>561</v>
      </c>
      <c r="J137" s="628" t="s">
        <v>1990</v>
      </c>
      <c r="K137" s="632" t="s">
        <v>562</v>
      </c>
      <c r="L137" s="623" t="s">
        <v>1993</v>
      </c>
      <c r="M137" s="520"/>
      <c r="N137" s="620"/>
      <c r="O137" s="620"/>
      <c r="P137" s="620"/>
      <c r="Q137" s="875"/>
      <c r="R137" s="876"/>
      <c r="S137" s="876"/>
      <c r="T137" s="876"/>
      <c r="U137" s="620"/>
    </row>
    <row r="138">
      <c r="A138" s="621">
        <v>135.0</v>
      </c>
      <c r="B138" s="644" t="s">
        <v>565</v>
      </c>
      <c r="C138" s="623" t="s">
        <v>5</v>
      </c>
      <c r="D138" s="623"/>
      <c r="E138" s="623">
        <v>9.380523384E9</v>
      </c>
      <c r="F138" s="809"/>
      <c r="G138" s="873"/>
      <c r="H138" s="873"/>
      <c r="I138" s="623" t="s">
        <v>573</v>
      </c>
      <c r="J138" s="628" t="s">
        <v>1995</v>
      </c>
      <c r="K138" s="632" t="s">
        <v>574</v>
      </c>
      <c r="L138" s="623" t="s">
        <v>1996</v>
      </c>
      <c r="M138" s="520"/>
      <c r="N138" s="620"/>
      <c r="O138" s="620"/>
      <c r="P138" s="620"/>
      <c r="Q138" s="875"/>
      <c r="R138" s="876"/>
      <c r="S138" s="876"/>
      <c r="T138" s="876"/>
      <c r="U138" s="620"/>
    </row>
    <row r="139">
      <c r="A139" s="621">
        <v>136.0</v>
      </c>
      <c r="B139" s="621" t="s">
        <v>682</v>
      </c>
      <c r="C139" s="623" t="s">
        <v>5</v>
      </c>
      <c r="D139" s="623"/>
      <c r="E139" s="623">
        <v>7.358088146E9</v>
      </c>
      <c r="F139" s="809"/>
      <c r="G139" s="809"/>
      <c r="H139" s="809"/>
      <c r="I139" s="623" t="s">
        <v>686</v>
      </c>
      <c r="J139" s="628" t="s">
        <v>1483</v>
      </c>
      <c r="K139" s="632" t="s">
        <v>687</v>
      </c>
      <c r="L139" s="623" t="s">
        <v>1997</v>
      </c>
      <c r="M139" s="520"/>
      <c r="N139" s="620"/>
      <c r="O139" s="620"/>
      <c r="P139" s="620"/>
      <c r="Q139" s="875"/>
      <c r="R139" s="876"/>
      <c r="S139" s="876"/>
      <c r="T139" s="876"/>
      <c r="U139" s="620"/>
    </row>
    <row r="140">
      <c r="A140" s="623">
        <v>137.0</v>
      </c>
      <c r="B140" s="621" t="s">
        <v>663</v>
      </c>
      <c r="C140" s="623" t="s">
        <v>5</v>
      </c>
      <c r="D140" s="623"/>
      <c r="E140" s="623">
        <v>7.012679913E9</v>
      </c>
      <c r="F140" s="809"/>
      <c r="G140" s="809"/>
      <c r="H140" s="809"/>
      <c r="I140" s="623" t="s">
        <v>673</v>
      </c>
      <c r="J140" s="628" t="s">
        <v>1998</v>
      </c>
      <c r="K140" s="632" t="s">
        <v>674</v>
      </c>
      <c r="L140" s="623" t="s">
        <v>2000</v>
      </c>
      <c r="M140" s="520"/>
      <c r="N140" s="620"/>
      <c r="O140" s="620"/>
      <c r="P140" s="620"/>
      <c r="Q140" s="875"/>
      <c r="R140" s="876"/>
      <c r="S140" s="876"/>
      <c r="T140" s="876"/>
      <c r="U140" s="620"/>
    </row>
    <row r="141">
      <c r="A141" s="621">
        <v>138.0</v>
      </c>
      <c r="B141" s="621" t="s">
        <v>641</v>
      </c>
      <c r="C141" s="623" t="s">
        <v>5</v>
      </c>
      <c r="D141" s="623"/>
      <c r="E141" s="623">
        <v>9.964800059E9</v>
      </c>
      <c r="F141" s="809"/>
      <c r="G141" s="809"/>
      <c r="H141" s="809"/>
      <c r="I141" s="623" t="s">
        <v>655</v>
      </c>
      <c r="J141" s="628" t="s">
        <v>2001</v>
      </c>
      <c r="K141" s="632" t="s">
        <v>656</v>
      </c>
      <c r="L141" s="623" t="s">
        <v>2002</v>
      </c>
      <c r="M141" s="520"/>
      <c r="N141" s="620"/>
      <c r="O141" s="620"/>
      <c r="P141" s="620"/>
      <c r="Q141" s="875"/>
      <c r="R141" s="876"/>
      <c r="S141" s="876"/>
      <c r="T141" s="876"/>
      <c r="U141" s="620"/>
    </row>
    <row r="142">
      <c r="A142" s="884">
        <v>139.0</v>
      </c>
      <c r="B142" s="621" t="s">
        <v>694</v>
      </c>
      <c r="C142" s="623" t="s">
        <v>5</v>
      </c>
      <c r="D142" s="623"/>
      <c r="E142" s="623">
        <v>9.843545796E9</v>
      </c>
      <c r="F142" s="809"/>
      <c r="G142" s="809"/>
      <c r="H142" s="809"/>
      <c r="I142" s="623" t="s">
        <v>705</v>
      </c>
      <c r="J142" s="628" t="s">
        <v>2004</v>
      </c>
      <c r="K142" s="632" t="s">
        <v>706</v>
      </c>
      <c r="L142" s="623" t="s">
        <v>2005</v>
      </c>
      <c r="M142" s="520"/>
      <c r="N142" s="620"/>
      <c r="O142" s="620"/>
      <c r="P142" s="620"/>
      <c r="Q142" s="875"/>
      <c r="R142" s="876"/>
      <c r="S142" s="876"/>
      <c r="T142" s="876"/>
      <c r="U142" s="620"/>
    </row>
    <row r="143">
      <c r="A143" s="520"/>
      <c r="B143" s="331" t="s">
        <v>320</v>
      </c>
      <c r="C143" s="331" t="s">
        <v>5</v>
      </c>
      <c r="D143" s="636" t="s">
        <v>1481</v>
      </c>
      <c r="E143" s="406">
        <v>6.36949251E9</v>
      </c>
      <c r="F143" s="302" t="str">
        <f t="array" ref="F143">_xlfn.XLOOKUP(I143,startify3.0!I:I,startify3.0!A:A)</f>
        <v>#N/A</v>
      </c>
      <c r="G143" s="651"/>
      <c r="H143" s="651"/>
      <c r="I143" s="407" t="s">
        <v>326</v>
      </c>
      <c r="J143" s="628" t="s">
        <v>2007</v>
      </c>
      <c r="K143" s="62" t="s">
        <v>328</v>
      </c>
      <c r="L143" s="888" t="s">
        <v>2008</v>
      </c>
      <c r="M143" s="620"/>
      <c r="N143" s="620"/>
      <c r="O143" s="620"/>
      <c r="P143" s="620"/>
      <c r="Q143" s="620"/>
      <c r="R143" s="620"/>
      <c r="S143" s="620"/>
      <c r="T143" s="620"/>
      <c r="U143" s="620"/>
    </row>
    <row r="144">
      <c r="A144" s="889"/>
      <c r="B144" s="13" t="s">
        <v>579</v>
      </c>
      <c r="C144" s="623" t="s">
        <v>5</v>
      </c>
      <c r="D144" s="625"/>
      <c r="E144" s="400">
        <v>6.379496755E9</v>
      </c>
      <c r="F144" s="626"/>
      <c r="G144" s="627"/>
      <c r="H144" s="623"/>
      <c r="I144" s="400" t="s">
        <v>589</v>
      </c>
      <c r="J144" s="628" t="s">
        <v>2009</v>
      </c>
      <c r="K144" s="642" t="s">
        <v>590</v>
      </c>
      <c r="L144" s="623" t="s">
        <v>2010</v>
      </c>
      <c r="M144" s="620"/>
      <c r="N144" s="620"/>
      <c r="O144" s="620"/>
      <c r="P144" s="620"/>
      <c r="Q144" s="620"/>
      <c r="R144" s="620"/>
      <c r="S144" s="620"/>
      <c r="T144" s="620"/>
      <c r="U144" s="620"/>
    </row>
    <row r="145">
      <c r="A145" s="889"/>
      <c r="B145" s="13" t="s">
        <v>599</v>
      </c>
      <c r="C145" s="623" t="s">
        <v>5</v>
      </c>
      <c r="D145" s="625"/>
      <c r="E145" s="400">
        <v>9.952351453E9</v>
      </c>
      <c r="F145" s="626"/>
      <c r="G145" s="627"/>
      <c r="H145" s="623"/>
      <c r="I145" s="400" t="s">
        <v>606</v>
      </c>
      <c r="J145" s="628" t="s">
        <v>2011</v>
      </c>
      <c r="K145" s="642" t="s">
        <v>607</v>
      </c>
      <c r="L145" s="623" t="s">
        <v>2012</v>
      </c>
      <c r="M145" s="620"/>
      <c r="N145" s="620"/>
      <c r="O145" s="620"/>
      <c r="P145" s="620"/>
      <c r="Q145" s="620"/>
      <c r="R145" s="620"/>
      <c r="S145" s="620"/>
      <c r="T145" s="620"/>
      <c r="U145" s="620"/>
    </row>
    <row r="146">
      <c r="A146" s="889"/>
      <c r="B146" s="331" t="s">
        <v>714</v>
      </c>
      <c r="C146" s="623" t="s">
        <v>5</v>
      </c>
      <c r="D146" s="625"/>
      <c r="E146" s="400">
        <v>8.778373517E9</v>
      </c>
      <c r="F146" s="626"/>
      <c r="G146" s="627"/>
      <c r="H146" s="623"/>
      <c r="I146" s="331" t="s">
        <v>722</v>
      </c>
      <c r="J146" s="628" t="s">
        <v>2013</v>
      </c>
      <c r="K146" s="642" t="s">
        <v>724</v>
      </c>
      <c r="L146" s="623" t="s">
        <v>2014</v>
      </c>
      <c r="M146" s="620"/>
      <c r="N146" s="620"/>
      <c r="O146" s="620"/>
      <c r="P146" s="620"/>
      <c r="Q146" s="620"/>
      <c r="R146" s="620"/>
      <c r="S146" s="620"/>
      <c r="T146" s="620"/>
      <c r="U146" s="620"/>
    </row>
    <row r="147">
      <c r="A147" s="889"/>
      <c r="B147" s="331" t="s">
        <v>771</v>
      </c>
      <c r="C147" s="623" t="s">
        <v>5</v>
      </c>
      <c r="D147" s="625"/>
      <c r="E147" s="406">
        <v>9.551075056E9</v>
      </c>
      <c r="F147" s="626"/>
      <c r="G147" s="627"/>
      <c r="H147" s="623"/>
      <c r="I147" s="331" t="s">
        <v>783</v>
      </c>
      <c r="J147" s="628" t="s">
        <v>2015</v>
      </c>
      <c r="K147" s="642" t="s">
        <v>784</v>
      </c>
      <c r="L147" s="623" t="s">
        <v>2016</v>
      </c>
      <c r="M147" s="620"/>
      <c r="N147" s="620"/>
      <c r="O147" s="620"/>
      <c r="P147" s="620"/>
      <c r="Q147" s="620"/>
      <c r="R147" s="620"/>
      <c r="S147" s="620"/>
      <c r="T147" s="620"/>
      <c r="U147" s="620"/>
    </row>
    <row r="148">
      <c r="A148" s="889"/>
      <c r="B148" s="173" t="s">
        <v>859</v>
      </c>
      <c r="C148" s="623" t="s">
        <v>5</v>
      </c>
      <c r="D148" s="625"/>
      <c r="E148" s="48">
        <v>9.943704677E9</v>
      </c>
      <c r="F148" s="626"/>
      <c r="G148" s="627"/>
      <c r="H148" s="623"/>
      <c r="I148" s="623" t="s">
        <v>868</v>
      </c>
      <c r="J148" s="628" t="s">
        <v>2017</v>
      </c>
      <c r="K148" s="341" t="s">
        <v>869</v>
      </c>
      <c r="L148" s="893" t="s">
        <v>2018</v>
      </c>
      <c r="M148" s="620"/>
      <c r="N148" s="620"/>
      <c r="O148" s="620"/>
      <c r="P148" s="620"/>
      <c r="Q148" s="620"/>
      <c r="R148" s="620"/>
      <c r="S148" s="620"/>
      <c r="T148" s="620"/>
      <c r="U148" s="620"/>
    </row>
    <row r="149">
      <c r="A149" s="889"/>
      <c r="B149" s="889"/>
      <c r="C149" s="894"/>
      <c r="D149" s="895"/>
      <c r="E149" s="896"/>
      <c r="F149" s="897"/>
      <c r="G149" s="898"/>
      <c r="H149" s="894"/>
      <c r="I149" s="896"/>
      <c r="J149" s="900"/>
      <c r="K149" s="898"/>
      <c r="L149" s="898"/>
      <c r="M149" s="620"/>
      <c r="N149" s="620"/>
      <c r="O149" s="620"/>
      <c r="P149" s="620"/>
      <c r="Q149" s="620"/>
      <c r="R149" s="620"/>
      <c r="S149" s="620"/>
      <c r="T149" s="620"/>
      <c r="U149" s="620"/>
    </row>
    <row r="150">
      <c r="A150" s="889"/>
      <c r="B150" s="889"/>
      <c r="C150" s="894"/>
      <c r="D150" s="895"/>
      <c r="E150" s="896"/>
      <c r="F150" s="897"/>
      <c r="G150" s="898"/>
      <c r="H150" s="894"/>
      <c r="I150" s="896"/>
      <c r="J150" s="900"/>
      <c r="K150" s="898"/>
      <c r="L150" s="898"/>
      <c r="M150" s="620"/>
      <c r="N150" s="620"/>
      <c r="O150" s="620"/>
      <c r="P150" s="620"/>
      <c r="Q150" s="620"/>
      <c r="R150" s="620"/>
      <c r="S150" s="620"/>
      <c r="T150" s="620"/>
      <c r="U150" s="620"/>
    </row>
    <row r="151">
      <c r="A151" s="889"/>
      <c r="B151" s="889"/>
      <c r="C151" s="894"/>
      <c r="D151" s="895"/>
      <c r="E151" s="896"/>
      <c r="F151" s="897"/>
      <c r="G151" s="898"/>
      <c r="H151" s="894"/>
      <c r="I151" s="896"/>
      <c r="J151" s="900"/>
      <c r="K151" s="898"/>
      <c r="L151" s="898"/>
      <c r="M151" s="620"/>
      <c r="N151" s="620"/>
      <c r="O151" s="620"/>
      <c r="P151" s="620"/>
      <c r="Q151" s="620"/>
      <c r="R151" s="620"/>
      <c r="S151" s="620"/>
      <c r="T151" s="620"/>
      <c r="U151" s="620"/>
    </row>
    <row r="152">
      <c r="A152" s="889"/>
      <c r="B152" s="889"/>
      <c r="C152" s="894"/>
      <c r="D152" s="895"/>
      <c r="E152" s="896"/>
      <c r="F152" s="897"/>
      <c r="G152" s="898"/>
      <c r="H152" s="894"/>
      <c r="I152" s="896"/>
      <c r="J152" s="900"/>
      <c r="K152" s="898"/>
      <c r="L152" s="898"/>
      <c r="M152" s="620"/>
      <c r="N152" s="620"/>
      <c r="O152" s="620"/>
      <c r="P152" s="620"/>
      <c r="Q152" s="620"/>
      <c r="R152" s="620"/>
      <c r="S152" s="620"/>
      <c r="T152" s="620"/>
      <c r="U152" s="620"/>
    </row>
    <row r="153">
      <c r="A153" s="889"/>
      <c r="B153" s="889"/>
      <c r="C153" s="894"/>
      <c r="D153" s="895"/>
      <c r="E153" s="896"/>
      <c r="F153" s="897"/>
      <c r="G153" s="898"/>
      <c r="H153" s="894"/>
      <c r="I153" s="896"/>
      <c r="J153" s="900"/>
      <c r="K153" s="898"/>
      <c r="L153" s="898"/>
      <c r="M153" s="620"/>
      <c r="N153" s="620"/>
      <c r="O153" s="620"/>
      <c r="P153" s="620"/>
      <c r="Q153" s="620"/>
      <c r="R153" s="620"/>
      <c r="S153" s="620"/>
      <c r="T153" s="620"/>
      <c r="U153" s="620"/>
    </row>
    <row r="154">
      <c r="A154" s="889"/>
      <c r="B154" s="889"/>
      <c r="C154" s="894"/>
      <c r="D154" s="895"/>
      <c r="E154" s="896"/>
      <c r="F154" s="897"/>
      <c r="G154" s="898"/>
      <c r="H154" s="894"/>
      <c r="I154" s="896"/>
      <c r="J154" s="900"/>
      <c r="K154" s="898"/>
      <c r="L154" s="898"/>
      <c r="M154" s="620"/>
      <c r="N154" s="620"/>
      <c r="O154" s="620"/>
      <c r="P154" s="620"/>
      <c r="Q154" s="620"/>
      <c r="R154" s="620"/>
      <c r="S154" s="620"/>
      <c r="T154" s="620"/>
      <c r="U154" s="620"/>
    </row>
    <row r="155">
      <c r="A155" s="889"/>
      <c r="B155" s="889"/>
      <c r="C155" s="894"/>
      <c r="D155" s="895"/>
      <c r="E155" s="896"/>
      <c r="F155" s="897"/>
      <c r="G155" s="898"/>
      <c r="H155" s="894"/>
      <c r="I155" s="896"/>
      <c r="J155" s="900"/>
      <c r="K155" s="898"/>
      <c r="L155" s="898"/>
      <c r="M155" s="620"/>
      <c r="N155" s="620"/>
      <c r="O155" s="620"/>
      <c r="P155" s="620"/>
      <c r="Q155" s="620"/>
      <c r="R155" s="620"/>
      <c r="S155" s="620"/>
      <c r="T155" s="620"/>
      <c r="U155" s="620"/>
    </row>
    <row r="156">
      <c r="A156" s="889"/>
      <c r="B156" s="889"/>
      <c r="C156" s="894"/>
      <c r="D156" s="895"/>
      <c r="E156" s="896"/>
      <c r="F156" s="897"/>
      <c r="G156" s="898"/>
      <c r="H156" s="894"/>
      <c r="I156" s="896"/>
      <c r="J156" s="900"/>
      <c r="K156" s="898"/>
      <c r="L156" s="898"/>
      <c r="M156" s="620"/>
      <c r="N156" s="620"/>
      <c r="O156" s="620"/>
      <c r="P156" s="620"/>
      <c r="Q156" s="620"/>
      <c r="R156" s="620"/>
      <c r="S156" s="620"/>
      <c r="T156" s="620"/>
      <c r="U156" s="620"/>
    </row>
    <row r="157">
      <c r="A157" s="889"/>
      <c r="B157" s="889"/>
      <c r="C157" s="894"/>
      <c r="D157" s="895"/>
      <c r="E157" s="896"/>
      <c r="F157" s="897"/>
      <c r="G157" s="898"/>
      <c r="H157" s="894"/>
      <c r="I157" s="896"/>
      <c r="J157" s="900"/>
      <c r="K157" s="898"/>
      <c r="L157" s="898"/>
      <c r="M157" s="620"/>
      <c r="N157" s="620"/>
      <c r="O157" s="620"/>
      <c r="P157" s="620"/>
      <c r="Q157" s="620"/>
      <c r="R157" s="620"/>
      <c r="S157" s="620"/>
      <c r="T157" s="620"/>
      <c r="U157" s="620"/>
    </row>
    <row r="158">
      <c r="A158" s="889"/>
      <c r="B158" s="889"/>
      <c r="C158" s="894"/>
      <c r="D158" s="895"/>
      <c r="E158" s="896"/>
      <c r="F158" s="897"/>
      <c r="G158" s="898"/>
      <c r="H158" s="894"/>
      <c r="I158" s="896"/>
      <c r="J158" s="900"/>
      <c r="K158" s="898"/>
      <c r="L158" s="898"/>
      <c r="M158" s="620"/>
      <c r="N158" s="620"/>
      <c r="O158" s="620"/>
      <c r="P158" s="620"/>
      <c r="Q158" s="620"/>
      <c r="R158" s="620"/>
      <c r="S158" s="620"/>
      <c r="T158" s="620"/>
      <c r="U158" s="620"/>
    </row>
    <row r="159">
      <c r="A159" s="889"/>
      <c r="B159" s="889"/>
      <c r="C159" s="894"/>
      <c r="D159" s="895"/>
      <c r="E159" s="896"/>
      <c r="F159" s="897"/>
      <c r="G159" s="898"/>
      <c r="H159" s="894"/>
      <c r="I159" s="896"/>
      <c r="J159" s="900"/>
      <c r="K159" s="898"/>
      <c r="L159" s="898"/>
      <c r="M159" s="620"/>
      <c r="N159" s="620"/>
      <c r="O159" s="620"/>
      <c r="P159" s="620"/>
      <c r="Q159" s="620"/>
      <c r="R159" s="620"/>
      <c r="S159" s="620"/>
      <c r="T159" s="620"/>
      <c r="U159" s="620"/>
    </row>
    <row r="160">
      <c r="A160" s="889"/>
      <c r="B160" s="889"/>
      <c r="C160" s="894"/>
      <c r="D160" s="895"/>
      <c r="E160" s="896"/>
      <c r="F160" s="897"/>
      <c r="G160" s="898"/>
      <c r="H160" s="894"/>
      <c r="I160" s="896"/>
      <c r="J160" s="900"/>
      <c r="K160" s="898"/>
      <c r="L160" s="898"/>
      <c r="M160" s="620"/>
      <c r="N160" s="620"/>
      <c r="O160" s="620"/>
      <c r="P160" s="620"/>
      <c r="Q160" s="620"/>
      <c r="R160" s="620"/>
      <c r="S160" s="620"/>
      <c r="T160" s="620"/>
      <c r="U160" s="620"/>
    </row>
    <row r="161">
      <c r="A161" s="905"/>
      <c r="B161" s="905"/>
      <c r="C161" s="520"/>
      <c r="D161" s="906"/>
      <c r="E161" s="907"/>
      <c r="F161" s="908"/>
      <c r="G161" s="909"/>
      <c r="H161" s="910"/>
      <c r="I161" s="907"/>
      <c r="J161" s="912"/>
      <c r="K161" s="909"/>
      <c r="L161" s="913"/>
      <c r="M161" s="620"/>
      <c r="N161" s="620"/>
      <c r="O161" s="620"/>
      <c r="P161" s="620"/>
      <c r="Q161" s="620"/>
      <c r="R161" s="620"/>
      <c r="S161" s="620"/>
      <c r="T161" s="620"/>
      <c r="U161" s="620"/>
    </row>
    <row r="162">
      <c r="A162" s="905"/>
      <c r="B162" s="905"/>
      <c r="C162" s="520"/>
      <c r="D162" s="906"/>
      <c r="E162" s="907"/>
      <c r="F162" s="908"/>
      <c r="G162" s="909"/>
      <c r="H162" s="910"/>
      <c r="I162" s="907"/>
      <c r="J162" s="912"/>
      <c r="K162" s="909"/>
      <c r="L162" s="913"/>
      <c r="M162" s="620"/>
      <c r="N162" s="620"/>
      <c r="O162" s="620"/>
      <c r="P162" s="620"/>
      <c r="Q162" s="620"/>
      <c r="R162" s="620"/>
      <c r="S162" s="620"/>
      <c r="T162" s="620"/>
      <c r="U162" s="620"/>
    </row>
    <row r="163">
      <c r="A163" s="905"/>
      <c r="B163" s="905"/>
      <c r="C163" s="520"/>
      <c r="D163" s="906"/>
      <c r="E163" s="907"/>
      <c r="F163" s="908"/>
      <c r="G163" s="909"/>
      <c r="H163" s="910"/>
      <c r="I163" s="907"/>
      <c r="J163" s="912"/>
      <c r="K163" s="909"/>
      <c r="L163" s="913"/>
      <c r="M163" s="620"/>
      <c r="N163" s="620"/>
      <c r="O163" s="620"/>
      <c r="P163" s="620"/>
      <c r="Q163" s="620"/>
      <c r="R163" s="620"/>
      <c r="S163" s="620"/>
      <c r="T163" s="620"/>
      <c r="U163" s="620"/>
    </row>
    <row r="164">
      <c r="A164" s="905"/>
      <c r="B164" s="905"/>
      <c r="C164" s="520"/>
      <c r="D164" s="906"/>
      <c r="E164" s="907"/>
      <c r="F164" s="908"/>
      <c r="G164" s="909"/>
      <c r="H164" s="910"/>
      <c r="I164" s="907"/>
      <c r="J164" s="912"/>
      <c r="K164" s="909"/>
      <c r="L164" s="913"/>
      <c r="M164" s="620"/>
      <c r="N164" s="620"/>
      <c r="O164" s="620"/>
      <c r="P164" s="620"/>
      <c r="Q164" s="620"/>
      <c r="R164" s="620"/>
      <c r="S164" s="620"/>
      <c r="T164" s="620"/>
      <c r="U164" s="620"/>
    </row>
    <row r="165">
      <c r="A165" s="905"/>
      <c r="B165" s="905"/>
      <c r="C165" s="520"/>
      <c r="D165" s="906"/>
      <c r="E165" s="907"/>
      <c r="F165" s="908"/>
      <c r="G165" s="909"/>
      <c r="H165" s="910"/>
      <c r="I165" s="907"/>
      <c r="J165" s="912"/>
      <c r="K165" s="909"/>
      <c r="L165" s="913"/>
      <c r="M165" s="620"/>
      <c r="N165" s="620"/>
      <c r="O165" s="620"/>
      <c r="P165" s="620"/>
      <c r="Q165" s="620"/>
      <c r="R165" s="620"/>
      <c r="S165" s="620"/>
      <c r="T165" s="620"/>
      <c r="U165" s="620"/>
    </row>
    <row r="166">
      <c r="A166" s="905"/>
      <c r="B166" s="905"/>
      <c r="C166" s="520"/>
      <c r="D166" s="906"/>
      <c r="E166" s="907"/>
      <c r="F166" s="908"/>
      <c r="G166" s="909"/>
      <c r="H166" s="910"/>
      <c r="I166" s="907"/>
      <c r="J166" s="912"/>
      <c r="K166" s="909"/>
      <c r="L166" s="913"/>
      <c r="M166" s="620"/>
      <c r="N166" s="620"/>
      <c r="O166" s="620"/>
      <c r="P166" s="620"/>
      <c r="Q166" s="620"/>
      <c r="R166" s="620"/>
      <c r="S166" s="620"/>
      <c r="T166" s="620"/>
      <c r="U166" s="620"/>
    </row>
    <row r="167">
      <c r="A167" s="905"/>
      <c r="B167" s="905"/>
      <c r="C167" s="520"/>
      <c r="D167" s="906"/>
      <c r="E167" s="907"/>
      <c r="F167" s="908"/>
      <c r="G167" s="909"/>
      <c r="H167" s="910"/>
      <c r="I167" s="907"/>
      <c r="J167" s="912"/>
      <c r="K167" s="909"/>
      <c r="L167" s="913"/>
      <c r="M167" s="620"/>
      <c r="N167" s="620"/>
      <c r="O167" s="620"/>
      <c r="P167" s="620"/>
      <c r="Q167" s="620"/>
      <c r="R167" s="620"/>
      <c r="S167" s="620"/>
      <c r="T167" s="620"/>
      <c r="U167" s="620"/>
    </row>
    <row r="168">
      <c r="A168" s="905"/>
      <c r="B168" s="905"/>
      <c r="C168" s="520"/>
      <c r="D168" s="906"/>
      <c r="E168" s="907"/>
      <c r="F168" s="908"/>
      <c r="G168" s="909"/>
      <c r="H168" s="910"/>
      <c r="I168" s="907"/>
      <c r="J168" s="912"/>
      <c r="K168" s="909"/>
      <c r="L168" s="913"/>
      <c r="M168" s="620"/>
      <c r="N168" s="620"/>
      <c r="O168" s="620"/>
      <c r="P168" s="620"/>
      <c r="Q168" s="620"/>
      <c r="R168" s="620"/>
      <c r="S168" s="620"/>
      <c r="T168" s="620"/>
      <c r="U168" s="620"/>
    </row>
    <row r="169">
      <c r="A169" s="905"/>
      <c r="B169" s="905"/>
      <c r="C169" s="520"/>
      <c r="D169" s="906"/>
      <c r="E169" s="907"/>
      <c r="F169" s="908"/>
      <c r="G169" s="909"/>
      <c r="H169" s="910"/>
      <c r="I169" s="907"/>
      <c r="J169" s="912"/>
      <c r="K169" s="909"/>
      <c r="L169" s="913"/>
      <c r="M169" s="620"/>
      <c r="N169" s="620"/>
      <c r="O169" s="620"/>
      <c r="P169" s="620"/>
      <c r="Q169" s="620"/>
      <c r="R169" s="620"/>
      <c r="S169" s="620"/>
      <c r="T169" s="620"/>
      <c r="U169" s="620"/>
    </row>
    <row r="170">
      <c r="A170" s="905"/>
      <c r="B170" s="905"/>
      <c r="C170" s="520"/>
      <c r="D170" s="906"/>
      <c r="E170" s="907"/>
      <c r="F170" s="908"/>
      <c r="G170" s="909"/>
      <c r="H170" s="910"/>
      <c r="I170" s="907"/>
      <c r="J170" s="912"/>
      <c r="K170" s="909"/>
      <c r="L170" s="913"/>
      <c r="M170" s="620"/>
      <c r="N170" s="620"/>
      <c r="O170" s="620"/>
      <c r="P170" s="620"/>
      <c r="Q170" s="620"/>
      <c r="R170" s="620"/>
      <c r="S170" s="620"/>
      <c r="T170" s="620"/>
      <c r="U170" s="620"/>
    </row>
    <row r="171">
      <c r="A171" s="905"/>
      <c r="B171" s="905"/>
      <c r="C171" s="520"/>
      <c r="D171" s="906"/>
      <c r="E171" s="907"/>
      <c r="F171" s="908"/>
      <c r="G171" s="909"/>
      <c r="H171" s="910"/>
      <c r="I171" s="907"/>
      <c r="J171" s="912"/>
      <c r="K171" s="909"/>
      <c r="L171" s="913"/>
      <c r="M171" s="620"/>
      <c r="N171" s="620"/>
      <c r="O171" s="620"/>
      <c r="P171" s="620"/>
      <c r="Q171" s="620"/>
      <c r="R171" s="620"/>
      <c r="S171" s="620"/>
      <c r="T171" s="620"/>
      <c r="U171" s="620"/>
    </row>
    <row r="172">
      <c r="A172" s="905"/>
      <c r="B172" s="905"/>
      <c r="C172" s="520"/>
      <c r="D172" s="906"/>
      <c r="E172" s="907"/>
      <c r="F172" s="908"/>
      <c r="G172" s="909"/>
      <c r="H172" s="910"/>
      <c r="I172" s="907"/>
      <c r="J172" s="912"/>
      <c r="K172" s="909"/>
      <c r="L172" s="913"/>
      <c r="M172" s="620"/>
      <c r="N172" s="620"/>
      <c r="O172" s="620"/>
      <c r="P172" s="620"/>
      <c r="Q172" s="620"/>
      <c r="R172" s="620"/>
      <c r="S172" s="620"/>
      <c r="T172" s="620"/>
      <c r="U172" s="620"/>
    </row>
    <row r="173">
      <c r="A173" s="905"/>
      <c r="B173" s="905"/>
      <c r="C173" s="520"/>
      <c r="D173" s="906"/>
      <c r="E173" s="907"/>
      <c r="F173" s="908"/>
      <c r="G173" s="909"/>
      <c r="H173" s="910"/>
      <c r="I173" s="907"/>
      <c r="J173" s="912"/>
      <c r="K173" s="909"/>
      <c r="L173" s="913"/>
      <c r="M173" s="620"/>
      <c r="N173" s="620"/>
      <c r="O173" s="620"/>
      <c r="P173" s="620"/>
      <c r="Q173" s="620"/>
      <c r="R173" s="620"/>
      <c r="S173" s="620"/>
      <c r="T173" s="620"/>
      <c r="U173" s="620"/>
    </row>
    <row r="174">
      <c r="A174" s="905"/>
      <c r="B174" s="905"/>
      <c r="C174" s="520"/>
      <c r="D174" s="906"/>
      <c r="E174" s="907"/>
      <c r="F174" s="908"/>
      <c r="G174" s="909"/>
      <c r="H174" s="910"/>
      <c r="I174" s="907"/>
      <c r="J174" s="912"/>
      <c r="K174" s="909"/>
      <c r="L174" s="913"/>
      <c r="M174" s="620"/>
      <c r="N174" s="620"/>
      <c r="O174" s="620"/>
      <c r="P174" s="620"/>
      <c r="Q174" s="620"/>
      <c r="R174" s="620"/>
      <c r="S174" s="620"/>
      <c r="T174" s="620"/>
      <c r="U174" s="620"/>
    </row>
    <row r="175">
      <c r="A175" s="905"/>
      <c r="B175" s="905"/>
      <c r="C175" s="520"/>
      <c r="D175" s="906"/>
      <c r="E175" s="907"/>
      <c r="F175" s="908"/>
      <c r="G175" s="909"/>
      <c r="H175" s="910"/>
      <c r="I175" s="907"/>
      <c r="J175" s="912"/>
      <c r="K175" s="909"/>
      <c r="L175" s="913"/>
      <c r="M175" s="620"/>
      <c r="N175" s="620"/>
      <c r="O175" s="620"/>
      <c r="P175" s="620"/>
      <c r="Q175" s="620"/>
      <c r="R175" s="620"/>
      <c r="S175" s="620"/>
      <c r="T175" s="620"/>
      <c r="U175" s="620"/>
    </row>
    <row r="176">
      <c r="A176" s="905"/>
      <c r="B176" s="905"/>
      <c r="C176" s="520"/>
      <c r="D176" s="906"/>
      <c r="E176" s="907"/>
      <c r="F176" s="908"/>
      <c r="G176" s="909"/>
      <c r="H176" s="910"/>
      <c r="I176" s="907"/>
      <c r="J176" s="912"/>
      <c r="K176" s="909"/>
      <c r="L176" s="913"/>
      <c r="M176" s="620"/>
      <c r="N176" s="620"/>
      <c r="O176" s="620"/>
      <c r="P176" s="620"/>
      <c r="Q176" s="620"/>
      <c r="R176" s="620"/>
      <c r="S176" s="620"/>
      <c r="T176" s="620"/>
      <c r="U176" s="620"/>
    </row>
    <row r="177">
      <c r="A177" s="905"/>
      <c r="B177" s="905"/>
      <c r="C177" s="520"/>
      <c r="D177" s="906"/>
      <c r="E177" s="907"/>
      <c r="F177" s="908"/>
      <c r="G177" s="909"/>
      <c r="H177" s="910"/>
      <c r="I177" s="907"/>
      <c r="J177" s="912"/>
      <c r="K177" s="909"/>
      <c r="L177" s="913"/>
      <c r="M177" s="620"/>
      <c r="N177" s="620"/>
      <c r="O177" s="620"/>
      <c r="P177" s="620"/>
      <c r="Q177" s="620"/>
      <c r="R177" s="620"/>
      <c r="S177" s="620"/>
      <c r="T177" s="620"/>
      <c r="U177" s="620"/>
    </row>
    <row r="178">
      <c r="A178" s="905"/>
      <c r="B178" s="905"/>
      <c r="C178" s="520"/>
      <c r="D178" s="906"/>
      <c r="E178" s="907"/>
      <c r="F178" s="908"/>
      <c r="G178" s="909"/>
      <c r="H178" s="910"/>
      <c r="I178" s="907"/>
      <c r="J178" s="912"/>
      <c r="K178" s="909"/>
      <c r="L178" s="913"/>
      <c r="M178" s="620"/>
      <c r="N178" s="620"/>
      <c r="O178" s="620"/>
      <c r="P178" s="620"/>
      <c r="Q178" s="620"/>
      <c r="R178" s="620"/>
      <c r="S178" s="620"/>
      <c r="T178" s="620"/>
      <c r="U178" s="620"/>
    </row>
    <row r="179">
      <c r="A179" s="905"/>
      <c r="B179" s="905"/>
      <c r="C179" s="520"/>
      <c r="D179" s="906"/>
      <c r="E179" s="907"/>
      <c r="F179" s="908"/>
      <c r="G179" s="909"/>
      <c r="H179" s="910"/>
      <c r="I179" s="907"/>
      <c r="J179" s="912"/>
      <c r="K179" s="909"/>
      <c r="L179" s="913"/>
      <c r="M179" s="620"/>
      <c r="N179" s="620"/>
      <c r="O179" s="620"/>
      <c r="P179" s="620"/>
      <c r="Q179" s="620"/>
      <c r="R179" s="620"/>
      <c r="S179" s="620"/>
      <c r="T179" s="620"/>
      <c r="U179" s="620"/>
    </row>
    <row r="180">
      <c r="A180" s="905"/>
      <c r="B180" s="905"/>
      <c r="C180" s="520"/>
      <c r="D180" s="906"/>
      <c r="E180" s="907"/>
      <c r="F180" s="908"/>
      <c r="G180" s="909"/>
      <c r="H180" s="910"/>
      <c r="I180" s="907"/>
      <c r="J180" s="912"/>
      <c r="K180" s="909"/>
      <c r="L180" s="913"/>
      <c r="M180" s="620"/>
      <c r="N180" s="620"/>
      <c r="O180" s="620"/>
      <c r="P180" s="620"/>
      <c r="Q180" s="620"/>
      <c r="R180" s="620"/>
      <c r="S180" s="620"/>
      <c r="T180" s="620"/>
      <c r="U180" s="620"/>
    </row>
    <row r="181">
      <c r="A181" s="905"/>
      <c r="B181" s="905"/>
      <c r="C181" s="520"/>
      <c r="D181" s="906"/>
      <c r="E181" s="907"/>
      <c r="F181" s="908"/>
      <c r="G181" s="909"/>
      <c r="H181" s="910"/>
      <c r="I181" s="907"/>
      <c r="J181" s="912"/>
      <c r="K181" s="909"/>
      <c r="L181" s="913"/>
      <c r="M181" s="620"/>
      <c r="N181" s="620"/>
      <c r="O181" s="620"/>
      <c r="P181" s="620"/>
      <c r="Q181" s="620"/>
      <c r="R181" s="620"/>
      <c r="S181" s="620"/>
      <c r="T181" s="620"/>
      <c r="U181" s="620"/>
    </row>
    <row r="182">
      <c r="A182" s="905"/>
      <c r="B182" s="905"/>
      <c r="C182" s="520"/>
      <c r="D182" s="906"/>
      <c r="E182" s="907"/>
      <c r="F182" s="908"/>
      <c r="G182" s="909"/>
      <c r="H182" s="910"/>
      <c r="I182" s="907"/>
      <c r="J182" s="912"/>
      <c r="K182" s="909"/>
      <c r="L182" s="913"/>
      <c r="M182" s="620"/>
      <c r="N182" s="620"/>
      <c r="O182" s="620"/>
      <c r="P182" s="620"/>
      <c r="Q182" s="620"/>
      <c r="R182" s="620"/>
      <c r="S182" s="620"/>
      <c r="T182" s="620"/>
      <c r="U182" s="620"/>
    </row>
    <row r="183">
      <c r="A183" s="905"/>
      <c r="B183" s="905"/>
      <c r="C183" s="520"/>
      <c r="D183" s="906"/>
      <c r="E183" s="907"/>
      <c r="F183" s="908"/>
      <c r="G183" s="909"/>
      <c r="H183" s="910"/>
      <c r="I183" s="907"/>
      <c r="J183" s="912"/>
      <c r="K183" s="909"/>
      <c r="L183" s="913"/>
      <c r="M183" s="620"/>
      <c r="N183" s="620"/>
      <c r="O183" s="620"/>
      <c r="P183" s="620"/>
      <c r="Q183" s="620"/>
      <c r="R183" s="620"/>
      <c r="S183" s="620"/>
      <c r="T183" s="620"/>
      <c r="U183" s="620"/>
    </row>
    <row r="184">
      <c r="A184" s="905"/>
      <c r="B184" s="905"/>
      <c r="C184" s="520"/>
      <c r="D184" s="906"/>
      <c r="E184" s="907"/>
      <c r="F184" s="908"/>
      <c r="G184" s="909"/>
      <c r="H184" s="910"/>
      <c r="I184" s="907"/>
      <c r="J184" s="912"/>
      <c r="K184" s="909"/>
      <c r="L184" s="913"/>
      <c r="M184" s="620"/>
      <c r="N184" s="620"/>
      <c r="O184" s="620"/>
      <c r="P184" s="620"/>
      <c r="Q184" s="620"/>
      <c r="R184" s="620"/>
      <c r="S184" s="620"/>
      <c r="T184" s="620"/>
      <c r="U184" s="620"/>
    </row>
    <row r="185">
      <c r="A185" s="905"/>
      <c r="B185" s="905"/>
      <c r="C185" s="520"/>
      <c r="D185" s="906"/>
      <c r="E185" s="907"/>
      <c r="F185" s="908"/>
      <c r="G185" s="909"/>
      <c r="H185" s="910"/>
      <c r="I185" s="907"/>
      <c r="J185" s="912"/>
      <c r="K185" s="909"/>
      <c r="L185" s="913"/>
      <c r="M185" s="620"/>
      <c r="N185" s="620"/>
      <c r="O185" s="620"/>
      <c r="P185" s="620"/>
      <c r="Q185" s="620"/>
      <c r="R185" s="620"/>
      <c r="S185" s="620"/>
      <c r="T185" s="620"/>
      <c r="U185" s="620"/>
    </row>
    <row r="186">
      <c r="A186" s="905"/>
      <c r="B186" s="905"/>
      <c r="C186" s="520"/>
      <c r="D186" s="906"/>
      <c r="E186" s="907"/>
      <c r="F186" s="908"/>
      <c r="G186" s="909"/>
      <c r="H186" s="910"/>
      <c r="I186" s="907"/>
      <c r="J186" s="912"/>
      <c r="K186" s="909"/>
      <c r="L186" s="913"/>
      <c r="M186" s="620"/>
      <c r="N186" s="620"/>
      <c r="O186" s="620"/>
      <c r="P186" s="620"/>
      <c r="Q186" s="620"/>
      <c r="R186" s="620"/>
      <c r="S186" s="620"/>
      <c r="T186" s="620"/>
      <c r="U186" s="620"/>
    </row>
    <row r="187">
      <c r="A187" s="905"/>
      <c r="B187" s="905"/>
      <c r="C187" s="520"/>
      <c r="D187" s="906"/>
      <c r="E187" s="907"/>
      <c r="F187" s="908"/>
      <c r="G187" s="909"/>
      <c r="H187" s="910"/>
      <c r="I187" s="907"/>
      <c r="J187" s="912"/>
      <c r="K187" s="909"/>
      <c r="L187" s="913"/>
      <c r="M187" s="620"/>
      <c r="N187" s="620"/>
      <c r="O187" s="620"/>
      <c r="P187" s="620"/>
      <c r="Q187" s="620"/>
      <c r="R187" s="620"/>
      <c r="S187" s="620"/>
      <c r="T187" s="620"/>
      <c r="U187" s="620"/>
    </row>
    <row r="188">
      <c r="A188" s="905"/>
      <c r="B188" s="905"/>
      <c r="C188" s="520"/>
      <c r="D188" s="906"/>
      <c r="E188" s="907"/>
      <c r="F188" s="908"/>
      <c r="G188" s="909"/>
      <c r="H188" s="910"/>
      <c r="I188" s="907"/>
      <c r="J188" s="912"/>
      <c r="K188" s="909"/>
      <c r="L188" s="913"/>
      <c r="M188" s="620"/>
      <c r="N188" s="620"/>
      <c r="O188" s="620"/>
      <c r="P188" s="620"/>
      <c r="Q188" s="620"/>
      <c r="R188" s="620"/>
      <c r="S188" s="620"/>
      <c r="T188" s="620"/>
      <c r="U188" s="620"/>
    </row>
    <row r="189">
      <c r="A189" s="905"/>
      <c r="B189" s="905"/>
      <c r="C189" s="520"/>
      <c r="D189" s="906"/>
      <c r="E189" s="907"/>
      <c r="F189" s="908"/>
      <c r="G189" s="909"/>
      <c r="H189" s="910"/>
      <c r="I189" s="907"/>
      <c r="J189" s="912"/>
      <c r="K189" s="909"/>
      <c r="L189" s="913"/>
      <c r="M189" s="620"/>
      <c r="N189" s="620"/>
      <c r="O189" s="620"/>
      <c r="P189" s="620"/>
      <c r="Q189" s="620"/>
      <c r="R189" s="620"/>
      <c r="S189" s="620"/>
      <c r="T189" s="620"/>
      <c r="U189" s="620"/>
    </row>
    <row r="190">
      <c r="A190" s="905"/>
      <c r="B190" s="905"/>
      <c r="C190" s="520"/>
      <c r="D190" s="906"/>
      <c r="E190" s="907"/>
      <c r="F190" s="908"/>
      <c r="G190" s="909"/>
      <c r="H190" s="910"/>
      <c r="I190" s="907"/>
      <c r="J190" s="912"/>
      <c r="K190" s="909"/>
      <c r="L190" s="913"/>
      <c r="M190" s="620"/>
      <c r="N190" s="620"/>
      <c r="O190" s="620"/>
      <c r="P190" s="620"/>
      <c r="Q190" s="620"/>
      <c r="R190" s="620"/>
      <c r="S190" s="620"/>
      <c r="T190" s="620"/>
      <c r="U190" s="620"/>
    </row>
    <row r="191">
      <c r="A191" s="905"/>
      <c r="B191" s="905"/>
      <c r="C191" s="520"/>
      <c r="D191" s="906"/>
      <c r="E191" s="907"/>
      <c r="F191" s="908"/>
      <c r="G191" s="909"/>
      <c r="H191" s="910"/>
      <c r="I191" s="907"/>
      <c r="J191" s="912"/>
      <c r="K191" s="909"/>
      <c r="L191" s="913"/>
      <c r="M191" s="620"/>
      <c r="N191" s="620"/>
      <c r="O191" s="620"/>
      <c r="P191" s="620"/>
      <c r="Q191" s="620"/>
      <c r="R191" s="620"/>
      <c r="S191" s="620"/>
      <c r="T191" s="620"/>
      <c r="U191" s="620"/>
    </row>
    <row r="192">
      <c r="A192" s="905"/>
      <c r="B192" s="905"/>
      <c r="C192" s="520"/>
      <c r="D192" s="906"/>
      <c r="E192" s="907"/>
      <c r="F192" s="908"/>
      <c r="G192" s="909"/>
      <c r="H192" s="910"/>
      <c r="I192" s="907"/>
      <c r="J192" s="912"/>
      <c r="K192" s="909"/>
      <c r="L192" s="913"/>
      <c r="M192" s="620"/>
      <c r="N192" s="620"/>
      <c r="O192" s="620"/>
      <c r="P192" s="620"/>
      <c r="Q192" s="620"/>
      <c r="R192" s="620"/>
      <c r="S192" s="620"/>
      <c r="T192" s="620"/>
      <c r="U192" s="620"/>
    </row>
    <row r="193">
      <c r="A193" s="905"/>
      <c r="B193" s="905"/>
      <c r="C193" s="520"/>
      <c r="D193" s="906"/>
      <c r="E193" s="907"/>
      <c r="F193" s="908"/>
      <c r="G193" s="909"/>
      <c r="H193" s="910"/>
      <c r="I193" s="907"/>
      <c r="J193" s="912"/>
      <c r="K193" s="909"/>
      <c r="L193" s="913"/>
      <c r="M193" s="620"/>
      <c r="N193" s="620"/>
      <c r="O193" s="620"/>
      <c r="P193" s="620"/>
      <c r="Q193" s="620"/>
      <c r="R193" s="620"/>
      <c r="S193" s="620"/>
      <c r="T193" s="620"/>
      <c r="U193" s="620"/>
    </row>
    <row r="194">
      <c r="A194" s="905"/>
      <c r="B194" s="905"/>
      <c r="C194" s="520"/>
      <c r="D194" s="906"/>
      <c r="E194" s="907"/>
      <c r="F194" s="908"/>
      <c r="G194" s="909"/>
      <c r="H194" s="910"/>
      <c r="I194" s="907"/>
      <c r="J194" s="912"/>
      <c r="K194" s="909"/>
      <c r="L194" s="913"/>
      <c r="M194" s="620"/>
      <c r="N194" s="620"/>
      <c r="O194" s="620"/>
      <c r="P194" s="620"/>
      <c r="Q194" s="620"/>
      <c r="R194" s="620"/>
      <c r="S194" s="620"/>
      <c r="T194" s="620"/>
      <c r="U194" s="620"/>
    </row>
    <row r="195">
      <c r="A195" s="905"/>
      <c r="B195" s="905"/>
      <c r="C195" s="520"/>
      <c r="D195" s="906"/>
      <c r="E195" s="907"/>
      <c r="F195" s="908"/>
      <c r="G195" s="909"/>
      <c r="H195" s="910"/>
      <c r="I195" s="907"/>
      <c r="J195" s="912"/>
      <c r="K195" s="909"/>
      <c r="L195" s="913"/>
      <c r="M195" s="620"/>
      <c r="N195" s="620"/>
      <c r="O195" s="620"/>
      <c r="P195" s="620"/>
      <c r="Q195" s="620"/>
      <c r="R195" s="620"/>
      <c r="S195" s="620"/>
      <c r="T195" s="620"/>
      <c r="U195" s="620"/>
    </row>
    <row r="196">
      <c r="A196" s="905"/>
      <c r="B196" s="905"/>
      <c r="C196" s="520"/>
      <c r="D196" s="906"/>
      <c r="E196" s="907"/>
      <c r="F196" s="908"/>
      <c r="G196" s="909"/>
      <c r="H196" s="910"/>
      <c r="I196" s="907"/>
      <c r="J196" s="912"/>
      <c r="K196" s="909"/>
      <c r="L196" s="913"/>
      <c r="M196" s="620"/>
      <c r="N196" s="620"/>
      <c r="O196" s="620"/>
      <c r="P196" s="620"/>
      <c r="Q196" s="620"/>
      <c r="R196" s="620"/>
      <c r="S196" s="620"/>
      <c r="T196" s="620"/>
      <c r="U196" s="620"/>
    </row>
    <row r="197">
      <c r="A197" s="905"/>
      <c r="B197" s="905"/>
      <c r="C197" s="520"/>
      <c r="D197" s="906"/>
      <c r="E197" s="907"/>
      <c r="F197" s="908"/>
      <c r="G197" s="909"/>
      <c r="H197" s="910"/>
      <c r="I197" s="907"/>
      <c r="J197" s="912"/>
      <c r="K197" s="909"/>
      <c r="L197" s="913"/>
      <c r="M197" s="620"/>
      <c r="N197" s="620"/>
      <c r="O197" s="620"/>
      <c r="P197" s="620"/>
      <c r="Q197" s="620"/>
      <c r="R197" s="620"/>
      <c r="S197" s="620"/>
      <c r="T197" s="620"/>
      <c r="U197" s="620"/>
    </row>
    <row r="198">
      <c r="A198" s="905"/>
      <c r="B198" s="905"/>
      <c r="C198" s="520"/>
      <c r="D198" s="906"/>
      <c r="E198" s="907"/>
      <c r="F198" s="908"/>
      <c r="G198" s="909"/>
      <c r="H198" s="910"/>
      <c r="I198" s="907"/>
      <c r="J198" s="912"/>
      <c r="K198" s="909"/>
      <c r="L198" s="913"/>
      <c r="M198" s="620"/>
      <c r="N198" s="620"/>
      <c r="O198" s="620"/>
      <c r="P198" s="620"/>
      <c r="Q198" s="620"/>
      <c r="R198" s="620"/>
      <c r="S198" s="620"/>
      <c r="T198" s="620"/>
      <c r="U198" s="620"/>
    </row>
    <row r="199">
      <c r="A199" s="905"/>
      <c r="B199" s="905"/>
      <c r="C199" s="520"/>
      <c r="D199" s="906"/>
      <c r="E199" s="907"/>
      <c r="F199" s="908"/>
      <c r="G199" s="909"/>
      <c r="H199" s="910"/>
      <c r="I199" s="907"/>
      <c r="J199" s="912"/>
      <c r="K199" s="909"/>
      <c r="L199" s="913"/>
      <c r="M199" s="620"/>
      <c r="N199" s="620"/>
      <c r="O199" s="620"/>
      <c r="P199" s="620"/>
      <c r="Q199" s="620"/>
      <c r="R199" s="620"/>
      <c r="S199" s="620"/>
      <c r="T199" s="620"/>
      <c r="U199" s="620"/>
    </row>
    <row r="200">
      <c r="A200" s="905"/>
      <c r="B200" s="905"/>
      <c r="C200" s="520"/>
      <c r="D200" s="906"/>
      <c r="E200" s="907"/>
      <c r="F200" s="908"/>
      <c r="G200" s="909"/>
      <c r="H200" s="910"/>
      <c r="I200" s="907"/>
      <c r="J200" s="912"/>
      <c r="K200" s="909"/>
      <c r="L200" s="913"/>
      <c r="M200" s="620"/>
      <c r="N200" s="620"/>
      <c r="O200" s="620"/>
      <c r="P200" s="620"/>
      <c r="Q200" s="620"/>
      <c r="R200" s="620"/>
      <c r="S200" s="620"/>
      <c r="T200" s="620"/>
      <c r="U200" s="620"/>
    </row>
    <row r="201">
      <c r="A201" s="905"/>
      <c r="B201" s="905"/>
      <c r="C201" s="520"/>
      <c r="D201" s="906"/>
      <c r="E201" s="907"/>
      <c r="F201" s="908"/>
      <c r="G201" s="909"/>
      <c r="H201" s="910"/>
      <c r="I201" s="907"/>
      <c r="J201" s="912"/>
      <c r="K201" s="909"/>
      <c r="L201" s="913"/>
      <c r="M201" s="620"/>
      <c r="N201" s="620"/>
      <c r="O201" s="620"/>
      <c r="P201" s="620"/>
      <c r="Q201" s="620"/>
      <c r="R201" s="620"/>
      <c r="S201" s="620"/>
      <c r="T201" s="620"/>
      <c r="U201" s="620"/>
    </row>
    <row r="202">
      <c r="A202" s="905"/>
      <c r="B202" s="905"/>
      <c r="C202" s="520"/>
      <c r="D202" s="906"/>
      <c r="E202" s="907"/>
      <c r="F202" s="908"/>
      <c r="G202" s="909"/>
      <c r="H202" s="910"/>
      <c r="I202" s="907"/>
      <c r="J202" s="912"/>
      <c r="K202" s="909"/>
      <c r="L202" s="913"/>
      <c r="M202" s="620"/>
      <c r="N202" s="620"/>
      <c r="O202" s="620"/>
      <c r="P202" s="620"/>
      <c r="Q202" s="620"/>
      <c r="R202" s="620"/>
      <c r="S202" s="620"/>
      <c r="T202" s="620"/>
      <c r="U202" s="620"/>
    </row>
    <row r="203">
      <c r="A203" s="905"/>
      <c r="B203" s="905"/>
      <c r="C203" s="520"/>
      <c r="D203" s="906"/>
      <c r="E203" s="907"/>
      <c r="F203" s="908"/>
      <c r="G203" s="909"/>
      <c r="H203" s="910"/>
      <c r="I203" s="907"/>
      <c r="J203" s="912"/>
      <c r="K203" s="909"/>
      <c r="L203" s="913"/>
      <c r="M203" s="620"/>
      <c r="N203" s="620"/>
      <c r="O203" s="620"/>
      <c r="P203" s="620"/>
      <c r="Q203" s="620"/>
      <c r="R203" s="620"/>
      <c r="S203" s="620"/>
      <c r="T203" s="620"/>
      <c r="U203" s="620"/>
    </row>
    <row r="204">
      <c r="A204" s="905"/>
      <c r="B204" s="905"/>
      <c r="C204" s="520"/>
      <c r="D204" s="906"/>
      <c r="E204" s="907"/>
      <c r="F204" s="908"/>
      <c r="G204" s="909"/>
      <c r="H204" s="910"/>
      <c r="I204" s="907"/>
      <c r="J204" s="912"/>
      <c r="K204" s="909"/>
      <c r="L204" s="913"/>
      <c r="M204" s="620"/>
      <c r="N204" s="620"/>
      <c r="O204" s="620"/>
      <c r="P204" s="620"/>
      <c r="Q204" s="620"/>
      <c r="R204" s="620"/>
      <c r="S204" s="620"/>
      <c r="T204" s="620"/>
      <c r="U204" s="620"/>
    </row>
    <row r="205">
      <c r="A205" s="905"/>
      <c r="B205" s="905"/>
      <c r="C205" s="520"/>
      <c r="D205" s="906"/>
      <c r="E205" s="907"/>
      <c r="F205" s="908"/>
      <c r="G205" s="909"/>
      <c r="H205" s="910"/>
      <c r="I205" s="907"/>
      <c r="J205" s="912"/>
      <c r="K205" s="909"/>
      <c r="L205" s="913"/>
      <c r="M205" s="620"/>
      <c r="N205" s="620"/>
      <c r="O205" s="620"/>
      <c r="P205" s="620"/>
      <c r="Q205" s="620"/>
      <c r="R205" s="620"/>
      <c r="S205" s="620"/>
      <c r="T205" s="620"/>
      <c r="U205" s="620"/>
    </row>
    <row r="206">
      <c r="A206" s="905"/>
      <c r="B206" s="905"/>
      <c r="C206" s="520"/>
      <c r="D206" s="906"/>
      <c r="E206" s="907"/>
      <c r="F206" s="908"/>
      <c r="G206" s="909"/>
      <c r="H206" s="910"/>
      <c r="I206" s="907"/>
      <c r="J206" s="912"/>
      <c r="K206" s="909"/>
      <c r="L206" s="913"/>
      <c r="M206" s="620"/>
      <c r="N206" s="620"/>
      <c r="O206" s="620"/>
      <c r="P206" s="620"/>
      <c r="Q206" s="620"/>
      <c r="R206" s="620"/>
      <c r="S206" s="620"/>
      <c r="T206" s="620"/>
      <c r="U206" s="620"/>
    </row>
    <row r="207">
      <c r="A207" s="905"/>
      <c r="B207" s="905"/>
      <c r="C207" s="520"/>
      <c r="D207" s="906"/>
      <c r="E207" s="907"/>
      <c r="F207" s="908"/>
      <c r="G207" s="909"/>
      <c r="H207" s="910"/>
      <c r="I207" s="907"/>
      <c r="J207" s="912"/>
      <c r="K207" s="909"/>
      <c r="L207" s="913"/>
      <c r="M207" s="620"/>
      <c r="N207" s="620"/>
      <c r="O207" s="620"/>
      <c r="P207" s="620"/>
      <c r="Q207" s="620"/>
      <c r="R207" s="620"/>
      <c r="S207" s="620"/>
      <c r="T207" s="620"/>
      <c r="U207" s="620"/>
    </row>
    <row r="208">
      <c r="A208" s="905"/>
      <c r="B208" s="905"/>
      <c r="C208" s="520"/>
      <c r="D208" s="906"/>
      <c r="E208" s="907"/>
      <c r="F208" s="908"/>
      <c r="G208" s="909"/>
      <c r="H208" s="910"/>
      <c r="I208" s="907"/>
      <c r="J208" s="912"/>
      <c r="K208" s="909"/>
      <c r="L208" s="913"/>
      <c r="M208" s="620"/>
      <c r="N208" s="620"/>
      <c r="O208" s="620"/>
      <c r="P208" s="620"/>
      <c r="Q208" s="620"/>
      <c r="R208" s="620"/>
      <c r="S208" s="620"/>
      <c r="T208" s="620"/>
      <c r="U208" s="620"/>
    </row>
    <row r="209">
      <c r="A209" s="905"/>
      <c r="B209" s="905"/>
      <c r="C209" s="520"/>
      <c r="D209" s="906"/>
      <c r="E209" s="907"/>
      <c r="F209" s="908"/>
      <c r="G209" s="909"/>
      <c r="H209" s="910"/>
      <c r="I209" s="907"/>
      <c r="J209" s="912"/>
      <c r="K209" s="909"/>
      <c r="L209" s="913"/>
      <c r="M209" s="620"/>
      <c r="N209" s="620"/>
      <c r="O209" s="620"/>
      <c r="P209" s="620"/>
      <c r="Q209" s="620"/>
      <c r="R209" s="620"/>
      <c r="S209" s="620"/>
      <c r="T209" s="620"/>
      <c r="U209" s="620"/>
    </row>
    <row r="210">
      <c r="A210" s="905"/>
      <c r="B210" s="905"/>
      <c r="C210" s="520"/>
      <c r="D210" s="906"/>
      <c r="E210" s="907"/>
      <c r="F210" s="908"/>
      <c r="G210" s="909"/>
      <c r="H210" s="910"/>
      <c r="I210" s="907"/>
      <c r="J210" s="912"/>
      <c r="K210" s="909"/>
      <c r="L210" s="913"/>
      <c r="M210" s="620"/>
      <c r="N210" s="620"/>
      <c r="O210" s="620"/>
      <c r="P210" s="620"/>
      <c r="Q210" s="620"/>
      <c r="R210" s="620"/>
      <c r="S210" s="620"/>
      <c r="T210" s="620"/>
      <c r="U210" s="620"/>
    </row>
    <row r="211">
      <c r="A211" s="905"/>
      <c r="B211" s="905"/>
      <c r="C211" s="520"/>
      <c r="D211" s="906"/>
      <c r="E211" s="907"/>
      <c r="F211" s="908"/>
      <c r="G211" s="909"/>
      <c r="H211" s="910"/>
      <c r="I211" s="907"/>
      <c r="J211" s="912"/>
      <c r="K211" s="909"/>
      <c r="L211" s="913"/>
      <c r="M211" s="620"/>
      <c r="N211" s="620"/>
      <c r="O211" s="620"/>
      <c r="P211" s="620"/>
      <c r="Q211" s="620"/>
      <c r="R211" s="620"/>
      <c r="S211" s="620"/>
      <c r="T211" s="620"/>
      <c r="U211" s="620"/>
    </row>
    <row r="212">
      <c r="A212" s="905"/>
      <c r="B212" s="905"/>
      <c r="C212" s="520"/>
      <c r="D212" s="906"/>
      <c r="E212" s="907"/>
      <c r="F212" s="908"/>
      <c r="G212" s="909"/>
      <c r="H212" s="910"/>
      <c r="I212" s="907"/>
      <c r="J212" s="912"/>
      <c r="K212" s="909"/>
      <c r="L212" s="913"/>
      <c r="M212" s="620"/>
      <c r="N212" s="620"/>
      <c r="O212" s="620"/>
      <c r="P212" s="620"/>
      <c r="Q212" s="620"/>
      <c r="R212" s="620"/>
      <c r="S212" s="620"/>
      <c r="T212" s="620"/>
      <c r="U212" s="620"/>
    </row>
    <row r="213">
      <c r="A213" s="905"/>
      <c r="B213" s="905"/>
      <c r="C213" s="520"/>
      <c r="D213" s="906"/>
      <c r="E213" s="907"/>
      <c r="F213" s="908"/>
      <c r="G213" s="909"/>
      <c r="H213" s="910"/>
      <c r="I213" s="907"/>
      <c r="J213" s="912"/>
      <c r="K213" s="909"/>
      <c r="L213" s="913"/>
      <c r="M213" s="620"/>
      <c r="N213" s="620"/>
      <c r="O213" s="620"/>
      <c r="P213" s="620"/>
      <c r="Q213" s="620"/>
      <c r="R213" s="620"/>
      <c r="S213" s="620"/>
      <c r="T213" s="620"/>
      <c r="U213" s="620"/>
    </row>
    <row r="214">
      <c r="A214" s="905"/>
      <c r="B214" s="905"/>
      <c r="C214" s="520"/>
      <c r="D214" s="906"/>
      <c r="E214" s="907"/>
      <c r="F214" s="908"/>
      <c r="G214" s="909"/>
      <c r="H214" s="910"/>
      <c r="I214" s="907"/>
      <c r="J214" s="912"/>
      <c r="K214" s="909"/>
      <c r="L214" s="913"/>
      <c r="M214" s="620"/>
      <c r="N214" s="620"/>
      <c r="O214" s="620"/>
      <c r="P214" s="620"/>
      <c r="Q214" s="620"/>
      <c r="R214" s="620"/>
      <c r="S214" s="620"/>
      <c r="T214" s="620"/>
      <c r="U214" s="620"/>
    </row>
    <row r="215">
      <c r="A215" s="905"/>
      <c r="B215" s="905"/>
      <c r="C215" s="520"/>
      <c r="D215" s="906"/>
      <c r="E215" s="907"/>
      <c r="F215" s="908"/>
      <c r="G215" s="909"/>
      <c r="H215" s="910"/>
      <c r="I215" s="907"/>
      <c r="J215" s="912"/>
      <c r="K215" s="909"/>
      <c r="L215" s="913"/>
      <c r="M215" s="620"/>
      <c r="N215" s="620"/>
      <c r="O215" s="620"/>
      <c r="P215" s="620"/>
      <c r="Q215" s="620"/>
      <c r="R215" s="620"/>
      <c r="S215" s="620"/>
      <c r="T215" s="620"/>
      <c r="U215" s="620"/>
    </row>
    <row r="216">
      <c r="A216" s="905"/>
      <c r="B216" s="905"/>
      <c r="C216" s="520"/>
      <c r="D216" s="906"/>
      <c r="E216" s="907"/>
      <c r="F216" s="908"/>
      <c r="G216" s="909"/>
      <c r="H216" s="910"/>
      <c r="I216" s="907"/>
      <c r="J216" s="912"/>
      <c r="K216" s="909"/>
      <c r="L216" s="913"/>
      <c r="M216" s="620"/>
      <c r="N216" s="620"/>
      <c r="O216" s="620"/>
      <c r="P216" s="620"/>
      <c r="Q216" s="620"/>
      <c r="R216" s="620"/>
      <c r="S216" s="620"/>
      <c r="T216" s="620"/>
      <c r="U216" s="620"/>
    </row>
    <row r="217">
      <c r="A217" s="905"/>
      <c r="B217" s="905"/>
      <c r="C217" s="520"/>
      <c r="D217" s="906"/>
      <c r="E217" s="907"/>
      <c r="F217" s="908"/>
      <c r="G217" s="909"/>
      <c r="H217" s="910"/>
      <c r="I217" s="907"/>
      <c r="J217" s="912"/>
      <c r="K217" s="909"/>
      <c r="L217" s="913"/>
      <c r="M217" s="620"/>
      <c r="N217" s="620"/>
      <c r="O217" s="620"/>
      <c r="P217" s="620"/>
      <c r="Q217" s="620"/>
      <c r="R217" s="620"/>
      <c r="S217" s="620"/>
      <c r="T217" s="620"/>
      <c r="U217" s="620"/>
    </row>
    <row r="218">
      <c r="A218" s="905"/>
      <c r="B218" s="905"/>
      <c r="C218" s="520"/>
      <c r="D218" s="906"/>
      <c r="E218" s="907"/>
      <c r="F218" s="908"/>
      <c r="G218" s="909"/>
      <c r="H218" s="910"/>
      <c r="I218" s="907"/>
      <c r="J218" s="912"/>
      <c r="K218" s="909"/>
      <c r="L218" s="913"/>
      <c r="M218" s="620"/>
      <c r="N218" s="620"/>
      <c r="O218" s="620"/>
      <c r="P218" s="620"/>
      <c r="Q218" s="620"/>
      <c r="R218" s="620"/>
      <c r="S218" s="620"/>
      <c r="T218" s="620"/>
      <c r="U218" s="620"/>
    </row>
    <row r="219">
      <c r="A219" s="905"/>
      <c r="B219" s="905"/>
      <c r="C219" s="520"/>
      <c r="D219" s="906"/>
      <c r="E219" s="907"/>
      <c r="F219" s="908"/>
      <c r="G219" s="909"/>
      <c r="H219" s="910"/>
      <c r="I219" s="907"/>
      <c r="J219" s="912"/>
      <c r="K219" s="909"/>
      <c r="L219" s="913"/>
      <c r="M219" s="620"/>
      <c r="N219" s="620"/>
      <c r="O219" s="620"/>
      <c r="P219" s="620"/>
      <c r="Q219" s="620"/>
      <c r="R219" s="620"/>
      <c r="S219" s="620"/>
      <c r="T219" s="620"/>
      <c r="U219" s="620"/>
    </row>
    <row r="220">
      <c r="A220" s="905"/>
      <c r="B220" s="905"/>
      <c r="C220" s="520"/>
      <c r="D220" s="906"/>
      <c r="E220" s="907"/>
      <c r="F220" s="908"/>
      <c r="G220" s="909"/>
      <c r="H220" s="910"/>
      <c r="I220" s="907"/>
      <c r="J220" s="912"/>
      <c r="K220" s="909"/>
      <c r="L220" s="913"/>
      <c r="M220" s="620"/>
      <c r="N220" s="620"/>
      <c r="O220" s="620"/>
      <c r="P220" s="620"/>
      <c r="Q220" s="620"/>
      <c r="R220" s="620"/>
      <c r="S220" s="620"/>
      <c r="T220" s="620"/>
      <c r="U220" s="620"/>
    </row>
    <row r="221">
      <c r="A221" s="905"/>
      <c r="B221" s="905"/>
      <c r="C221" s="520"/>
      <c r="D221" s="906"/>
      <c r="E221" s="907"/>
      <c r="F221" s="908"/>
      <c r="G221" s="909"/>
      <c r="H221" s="910"/>
      <c r="I221" s="907"/>
      <c r="J221" s="912"/>
      <c r="K221" s="909"/>
      <c r="L221" s="913"/>
      <c r="M221" s="620"/>
      <c r="N221" s="620"/>
      <c r="O221" s="620"/>
      <c r="P221" s="620"/>
      <c r="Q221" s="620"/>
      <c r="R221" s="620"/>
      <c r="S221" s="620"/>
      <c r="T221" s="620"/>
      <c r="U221" s="620"/>
    </row>
    <row r="222">
      <c r="A222" s="905"/>
      <c r="B222" s="905"/>
      <c r="C222" s="520"/>
      <c r="D222" s="906"/>
      <c r="E222" s="907"/>
      <c r="F222" s="908"/>
      <c r="G222" s="909"/>
      <c r="H222" s="910"/>
      <c r="I222" s="907"/>
      <c r="J222" s="912"/>
      <c r="K222" s="909"/>
      <c r="L222" s="913"/>
      <c r="M222" s="620"/>
      <c r="N222" s="620"/>
      <c r="O222" s="620"/>
      <c r="P222" s="620"/>
      <c r="Q222" s="620"/>
      <c r="R222" s="620"/>
      <c r="S222" s="620"/>
      <c r="T222" s="620"/>
      <c r="U222" s="620"/>
    </row>
    <row r="223">
      <c r="A223" s="905"/>
      <c r="B223" s="905"/>
      <c r="C223" s="520"/>
      <c r="D223" s="906"/>
      <c r="E223" s="907"/>
      <c r="F223" s="908"/>
      <c r="G223" s="909"/>
      <c r="H223" s="910"/>
      <c r="I223" s="907"/>
      <c r="J223" s="912"/>
      <c r="K223" s="909"/>
      <c r="L223" s="913"/>
      <c r="M223" s="620"/>
      <c r="N223" s="620"/>
      <c r="O223" s="620"/>
      <c r="P223" s="620"/>
      <c r="Q223" s="620"/>
      <c r="R223" s="620"/>
      <c r="S223" s="620"/>
      <c r="T223" s="620"/>
      <c r="U223" s="620"/>
    </row>
    <row r="224">
      <c r="A224" s="905"/>
      <c r="B224" s="905"/>
      <c r="C224" s="520"/>
      <c r="D224" s="906"/>
      <c r="E224" s="907"/>
      <c r="F224" s="908"/>
      <c r="G224" s="909"/>
      <c r="H224" s="910"/>
      <c r="I224" s="907"/>
      <c r="J224" s="912"/>
      <c r="K224" s="909"/>
      <c r="L224" s="913"/>
      <c r="M224" s="620"/>
      <c r="N224" s="620"/>
      <c r="O224" s="620"/>
      <c r="P224" s="620"/>
      <c r="Q224" s="620"/>
      <c r="R224" s="620"/>
      <c r="S224" s="620"/>
      <c r="T224" s="620"/>
      <c r="U224" s="620"/>
    </row>
    <row r="225">
      <c r="A225" s="905"/>
      <c r="B225" s="905"/>
      <c r="C225" s="520"/>
      <c r="D225" s="906"/>
      <c r="E225" s="907"/>
      <c r="F225" s="908"/>
      <c r="G225" s="909"/>
      <c r="H225" s="910"/>
      <c r="I225" s="907"/>
      <c r="J225" s="912"/>
      <c r="K225" s="909"/>
      <c r="L225" s="913"/>
      <c r="M225" s="620"/>
      <c r="N225" s="620"/>
      <c r="O225" s="620"/>
      <c r="P225" s="620"/>
      <c r="Q225" s="620"/>
      <c r="R225" s="620"/>
      <c r="S225" s="620"/>
      <c r="T225" s="620"/>
      <c r="U225" s="620"/>
    </row>
    <row r="226">
      <c r="A226" s="905"/>
      <c r="B226" s="905"/>
      <c r="C226" s="520"/>
      <c r="D226" s="906"/>
      <c r="E226" s="907"/>
      <c r="F226" s="908"/>
      <c r="G226" s="909"/>
      <c r="H226" s="910"/>
      <c r="I226" s="907"/>
      <c r="J226" s="912"/>
      <c r="K226" s="909"/>
      <c r="L226" s="913"/>
      <c r="M226" s="620"/>
      <c r="N226" s="620"/>
      <c r="O226" s="620"/>
      <c r="P226" s="620"/>
      <c r="Q226" s="620"/>
      <c r="R226" s="620"/>
      <c r="S226" s="620"/>
      <c r="T226" s="620"/>
      <c r="U226" s="620"/>
    </row>
    <row r="227">
      <c r="A227" s="905"/>
      <c r="B227" s="905"/>
      <c r="C227" s="520"/>
      <c r="D227" s="906"/>
      <c r="E227" s="907"/>
      <c r="F227" s="908"/>
      <c r="G227" s="909"/>
      <c r="H227" s="910"/>
      <c r="I227" s="907"/>
      <c r="J227" s="912"/>
      <c r="K227" s="909"/>
      <c r="L227" s="913"/>
      <c r="M227" s="620"/>
      <c r="N227" s="620"/>
      <c r="O227" s="620"/>
      <c r="P227" s="620"/>
      <c r="Q227" s="620"/>
      <c r="R227" s="620"/>
      <c r="S227" s="620"/>
      <c r="T227" s="620"/>
      <c r="U227" s="620"/>
    </row>
    <row r="228">
      <c r="A228" s="905"/>
      <c r="B228" s="905"/>
      <c r="C228" s="520"/>
      <c r="D228" s="906"/>
      <c r="E228" s="907"/>
      <c r="F228" s="908"/>
      <c r="G228" s="909"/>
      <c r="H228" s="910"/>
      <c r="I228" s="907"/>
      <c r="J228" s="912"/>
      <c r="K228" s="909"/>
      <c r="L228" s="913"/>
      <c r="M228" s="620"/>
      <c r="N228" s="620"/>
      <c r="O228" s="620"/>
      <c r="P228" s="620"/>
      <c r="Q228" s="620"/>
      <c r="R228" s="620"/>
      <c r="S228" s="620"/>
      <c r="T228" s="620"/>
      <c r="U228" s="620"/>
    </row>
    <row r="229">
      <c r="A229" s="905"/>
      <c r="B229" s="905"/>
      <c r="C229" s="520"/>
      <c r="D229" s="906"/>
      <c r="E229" s="907"/>
      <c r="F229" s="908"/>
      <c r="G229" s="909"/>
      <c r="H229" s="910"/>
      <c r="I229" s="907"/>
      <c r="J229" s="912"/>
      <c r="K229" s="909"/>
      <c r="L229" s="913"/>
      <c r="M229" s="620"/>
      <c r="N229" s="620"/>
      <c r="O229" s="620"/>
      <c r="P229" s="620"/>
      <c r="Q229" s="620"/>
      <c r="R229" s="620"/>
      <c r="S229" s="620"/>
      <c r="T229" s="620"/>
      <c r="U229" s="620"/>
    </row>
    <row r="230">
      <c r="A230" s="905"/>
      <c r="B230" s="905"/>
      <c r="C230" s="520"/>
      <c r="D230" s="906"/>
      <c r="E230" s="907"/>
      <c r="F230" s="908"/>
      <c r="G230" s="909"/>
      <c r="H230" s="910"/>
      <c r="I230" s="907"/>
      <c r="J230" s="912"/>
      <c r="K230" s="909"/>
      <c r="L230" s="913"/>
      <c r="M230" s="620"/>
      <c r="N230" s="620"/>
      <c r="O230" s="620"/>
      <c r="P230" s="620"/>
      <c r="Q230" s="620"/>
      <c r="R230" s="620"/>
      <c r="S230" s="620"/>
      <c r="T230" s="620"/>
      <c r="U230" s="620"/>
    </row>
    <row r="231">
      <c r="A231" s="905"/>
      <c r="B231" s="905"/>
      <c r="C231" s="520"/>
      <c r="D231" s="906"/>
      <c r="E231" s="907"/>
      <c r="F231" s="908"/>
      <c r="G231" s="909"/>
      <c r="H231" s="910"/>
      <c r="I231" s="907"/>
      <c r="J231" s="912"/>
      <c r="K231" s="909"/>
      <c r="L231" s="913"/>
      <c r="M231" s="620"/>
      <c r="N231" s="620"/>
      <c r="O231" s="620"/>
      <c r="P231" s="620"/>
      <c r="Q231" s="620"/>
      <c r="R231" s="620"/>
      <c r="S231" s="620"/>
      <c r="T231" s="620"/>
      <c r="U231" s="620"/>
    </row>
    <row r="232">
      <c r="A232" s="905"/>
      <c r="B232" s="905"/>
      <c r="C232" s="520"/>
      <c r="D232" s="906"/>
      <c r="E232" s="907"/>
      <c r="F232" s="908"/>
      <c r="G232" s="909"/>
      <c r="H232" s="910"/>
      <c r="I232" s="907"/>
      <c r="J232" s="912"/>
      <c r="K232" s="909"/>
      <c r="L232" s="913"/>
      <c r="M232" s="620"/>
      <c r="N232" s="620"/>
      <c r="O232" s="620"/>
      <c r="P232" s="620"/>
      <c r="Q232" s="620"/>
      <c r="R232" s="620"/>
      <c r="S232" s="620"/>
      <c r="T232" s="620"/>
      <c r="U232" s="620"/>
    </row>
    <row r="233">
      <c r="A233" s="905"/>
      <c r="B233" s="905"/>
      <c r="C233" s="520"/>
      <c r="D233" s="906"/>
      <c r="E233" s="907"/>
      <c r="F233" s="908"/>
      <c r="G233" s="909"/>
      <c r="H233" s="910"/>
      <c r="I233" s="907"/>
      <c r="J233" s="912"/>
      <c r="K233" s="909"/>
      <c r="L233" s="913"/>
      <c r="M233" s="620"/>
      <c r="N233" s="620"/>
      <c r="O233" s="620"/>
      <c r="P233" s="620"/>
      <c r="Q233" s="620"/>
      <c r="R233" s="620"/>
      <c r="S233" s="620"/>
      <c r="T233" s="620"/>
      <c r="U233" s="620"/>
    </row>
    <row r="234">
      <c r="A234" s="905"/>
      <c r="B234" s="905"/>
      <c r="C234" s="520"/>
      <c r="D234" s="906"/>
      <c r="E234" s="907"/>
      <c r="F234" s="908"/>
      <c r="G234" s="909"/>
      <c r="H234" s="910"/>
      <c r="I234" s="907"/>
      <c r="J234" s="912"/>
      <c r="K234" s="909"/>
      <c r="L234" s="913"/>
      <c r="M234" s="620"/>
      <c r="N234" s="620"/>
      <c r="O234" s="620"/>
      <c r="P234" s="620"/>
      <c r="Q234" s="620"/>
      <c r="R234" s="620"/>
      <c r="S234" s="620"/>
      <c r="T234" s="620"/>
      <c r="U234" s="620"/>
    </row>
    <row r="235">
      <c r="A235" s="905"/>
      <c r="B235" s="905"/>
      <c r="C235" s="520"/>
      <c r="D235" s="906"/>
      <c r="E235" s="907"/>
      <c r="F235" s="908"/>
      <c r="G235" s="909"/>
      <c r="H235" s="910"/>
      <c r="I235" s="907"/>
      <c r="J235" s="912"/>
      <c r="K235" s="909"/>
      <c r="L235" s="913"/>
      <c r="M235" s="620"/>
      <c r="N235" s="620"/>
      <c r="O235" s="620"/>
      <c r="P235" s="620"/>
      <c r="Q235" s="620"/>
      <c r="R235" s="620"/>
      <c r="S235" s="620"/>
      <c r="T235" s="620"/>
      <c r="U235" s="620"/>
    </row>
    <row r="236">
      <c r="A236" s="905"/>
      <c r="B236" s="905"/>
      <c r="C236" s="520"/>
      <c r="D236" s="906"/>
      <c r="E236" s="907"/>
      <c r="F236" s="908"/>
      <c r="G236" s="909"/>
      <c r="H236" s="910"/>
      <c r="I236" s="907"/>
      <c r="J236" s="912"/>
      <c r="K236" s="909"/>
      <c r="L236" s="913"/>
      <c r="M236" s="620"/>
      <c r="N236" s="620"/>
      <c r="O236" s="620"/>
      <c r="P236" s="620"/>
      <c r="Q236" s="620"/>
      <c r="R236" s="620"/>
      <c r="S236" s="620"/>
      <c r="T236" s="620"/>
      <c r="U236" s="620"/>
    </row>
    <row r="237">
      <c r="A237" s="905"/>
      <c r="B237" s="905"/>
      <c r="C237" s="520"/>
      <c r="D237" s="906"/>
      <c r="E237" s="907"/>
      <c r="F237" s="908"/>
      <c r="G237" s="909"/>
      <c r="H237" s="910"/>
      <c r="I237" s="907"/>
      <c r="J237" s="912"/>
      <c r="K237" s="909"/>
      <c r="L237" s="913"/>
      <c r="M237" s="620"/>
      <c r="N237" s="620"/>
      <c r="O237" s="620"/>
      <c r="P237" s="620"/>
      <c r="Q237" s="620"/>
      <c r="R237" s="620"/>
      <c r="S237" s="620"/>
      <c r="T237" s="620"/>
      <c r="U237" s="620"/>
    </row>
    <row r="238">
      <c r="A238" s="905"/>
      <c r="B238" s="905"/>
      <c r="C238" s="520"/>
      <c r="D238" s="906"/>
      <c r="E238" s="907"/>
      <c r="F238" s="908"/>
      <c r="G238" s="909"/>
      <c r="H238" s="910"/>
      <c r="I238" s="907"/>
      <c r="J238" s="912"/>
      <c r="K238" s="909"/>
      <c r="L238" s="913"/>
      <c r="M238" s="620"/>
      <c r="N238" s="620"/>
      <c r="O238" s="620"/>
      <c r="P238" s="620"/>
      <c r="Q238" s="620"/>
      <c r="R238" s="620"/>
      <c r="S238" s="620"/>
      <c r="T238" s="620"/>
      <c r="U238" s="620"/>
    </row>
    <row r="239">
      <c r="A239" s="905"/>
      <c r="B239" s="905"/>
      <c r="C239" s="520"/>
      <c r="D239" s="906"/>
      <c r="E239" s="907"/>
      <c r="F239" s="908"/>
      <c r="G239" s="909"/>
      <c r="H239" s="910"/>
      <c r="I239" s="907"/>
      <c r="J239" s="912"/>
      <c r="K239" s="909"/>
      <c r="L239" s="913"/>
      <c r="M239" s="620"/>
      <c r="N239" s="620"/>
      <c r="O239" s="620"/>
      <c r="P239" s="620"/>
      <c r="Q239" s="620"/>
      <c r="R239" s="620"/>
      <c r="S239" s="620"/>
      <c r="T239" s="620"/>
      <c r="U239" s="620"/>
    </row>
    <row r="240">
      <c r="A240" s="905"/>
      <c r="B240" s="905"/>
      <c r="C240" s="520"/>
      <c r="D240" s="906"/>
      <c r="E240" s="907"/>
      <c r="F240" s="908"/>
      <c r="G240" s="909"/>
      <c r="H240" s="910"/>
      <c r="I240" s="907"/>
      <c r="J240" s="912"/>
      <c r="K240" s="909"/>
      <c r="L240" s="913"/>
      <c r="M240" s="620"/>
      <c r="N240" s="620"/>
      <c r="O240" s="620"/>
      <c r="P240" s="620"/>
      <c r="Q240" s="620"/>
      <c r="R240" s="620"/>
      <c r="S240" s="620"/>
      <c r="T240" s="620"/>
      <c r="U240" s="620"/>
    </row>
    <row r="241">
      <c r="A241" s="905"/>
      <c r="B241" s="905"/>
      <c r="C241" s="520"/>
      <c r="D241" s="906"/>
      <c r="E241" s="907"/>
      <c r="F241" s="908"/>
      <c r="G241" s="909"/>
      <c r="H241" s="910"/>
      <c r="I241" s="907"/>
      <c r="J241" s="912"/>
      <c r="K241" s="909"/>
      <c r="L241" s="913"/>
      <c r="M241" s="620"/>
      <c r="N241" s="620"/>
      <c r="O241" s="620"/>
      <c r="P241" s="620"/>
      <c r="Q241" s="620"/>
      <c r="R241" s="620"/>
      <c r="S241" s="620"/>
      <c r="T241" s="620"/>
      <c r="U241" s="620"/>
    </row>
    <row r="242">
      <c r="A242" s="905"/>
      <c r="B242" s="905"/>
      <c r="C242" s="520"/>
      <c r="D242" s="906"/>
      <c r="E242" s="907"/>
      <c r="F242" s="908"/>
      <c r="G242" s="909"/>
      <c r="H242" s="910"/>
      <c r="I242" s="907"/>
      <c r="J242" s="912"/>
      <c r="K242" s="909"/>
      <c r="L242" s="913"/>
      <c r="M242" s="620"/>
      <c r="N242" s="620"/>
      <c r="O242" s="620"/>
      <c r="P242" s="620"/>
      <c r="Q242" s="620"/>
      <c r="R242" s="620"/>
      <c r="S242" s="620"/>
      <c r="T242" s="620"/>
      <c r="U242" s="620"/>
    </row>
    <row r="243">
      <c r="A243" s="905"/>
      <c r="B243" s="905"/>
      <c r="C243" s="520"/>
      <c r="D243" s="906"/>
      <c r="E243" s="907"/>
      <c r="F243" s="908"/>
      <c r="G243" s="909"/>
      <c r="H243" s="910"/>
      <c r="I243" s="907"/>
      <c r="J243" s="912"/>
      <c r="K243" s="909"/>
      <c r="L243" s="913"/>
      <c r="M243" s="620"/>
      <c r="N243" s="620"/>
      <c r="O243" s="620"/>
      <c r="P243" s="620"/>
      <c r="Q243" s="620"/>
      <c r="R243" s="620"/>
      <c r="S243" s="620"/>
      <c r="T243" s="620"/>
      <c r="U243" s="620"/>
    </row>
    <row r="244">
      <c r="A244" s="905"/>
      <c r="B244" s="905"/>
      <c r="C244" s="520"/>
      <c r="D244" s="906"/>
      <c r="E244" s="907"/>
      <c r="F244" s="908"/>
      <c r="G244" s="909"/>
      <c r="H244" s="910"/>
      <c r="I244" s="907"/>
      <c r="J244" s="912"/>
      <c r="K244" s="909"/>
      <c r="L244" s="913"/>
      <c r="M244" s="620"/>
      <c r="N244" s="620"/>
      <c r="O244" s="620"/>
      <c r="P244" s="620"/>
      <c r="Q244" s="620"/>
      <c r="R244" s="620"/>
      <c r="S244" s="620"/>
      <c r="T244" s="620"/>
      <c r="U244" s="620"/>
    </row>
    <row r="245">
      <c r="A245" s="905"/>
      <c r="B245" s="905"/>
      <c r="C245" s="520"/>
      <c r="D245" s="906"/>
      <c r="E245" s="907"/>
      <c r="F245" s="908"/>
      <c r="G245" s="909"/>
      <c r="H245" s="910"/>
      <c r="I245" s="907"/>
      <c r="J245" s="912"/>
      <c r="K245" s="909"/>
      <c r="L245" s="913"/>
      <c r="M245" s="620"/>
      <c r="N245" s="620"/>
      <c r="O245" s="620"/>
      <c r="P245" s="620"/>
      <c r="Q245" s="620"/>
      <c r="R245" s="620"/>
      <c r="S245" s="620"/>
      <c r="T245" s="620"/>
      <c r="U245" s="620"/>
    </row>
    <row r="246">
      <c r="A246" s="905"/>
      <c r="B246" s="905"/>
      <c r="C246" s="520"/>
      <c r="D246" s="906"/>
      <c r="E246" s="907"/>
      <c r="F246" s="908"/>
      <c r="G246" s="909"/>
      <c r="H246" s="910"/>
      <c r="I246" s="907"/>
      <c r="J246" s="912"/>
      <c r="K246" s="909"/>
      <c r="L246" s="913"/>
      <c r="M246" s="620"/>
      <c r="N246" s="620"/>
      <c r="O246" s="620"/>
      <c r="P246" s="620"/>
      <c r="Q246" s="620"/>
      <c r="R246" s="620"/>
      <c r="S246" s="620"/>
      <c r="T246" s="620"/>
      <c r="U246" s="620"/>
    </row>
    <row r="247">
      <c r="A247" s="905"/>
      <c r="B247" s="905"/>
      <c r="C247" s="520"/>
      <c r="D247" s="906"/>
      <c r="E247" s="907"/>
      <c r="F247" s="908"/>
      <c r="G247" s="909"/>
      <c r="H247" s="910"/>
      <c r="I247" s="907"/>
      <c r="J247" s="912"/>
      <c r="K247" s="909"/>
      <c r="L247" s="913"/>
      <c r="M247" s="620"/>
      <c r="N247" s="620"/>
      <c r="O247" s="620"/>
      <c r="P247" s="620"/>
      <c r="Q247" s="620"/>
      <c r="R247" s="620"/>
      <c r="S247" s="620"/>
      <c r="T247" s="620"/>
      <c r="U247" s="620"/>
    </row>
    <row r="248">
      <c r="A248" s="905"/>
      <c r="B248" s="905"/>
      <c r="C248" s="520"/>
      <c r="D248" s="906"/>
      <c r="E248" s="907"/>
      <c r="F248" s="908"/>
      <c r="G248" s="909"/>
      <c r="H248" s="910"/>
      <c r="I248" s="907"/>
      <c r="J248" s="912"/>
      <c r="K248" s="909"/>
      <c r="L248" s="913"/>
      <c r="M248" s="620"/>
      <c r="N248" s="620"/>
      <c r="O248" s="620"/>
      <c r="P248" s="620"/>
      <c r="Q248" s="620"/>
      <c r="R248" s="620"/>
      <c r="S248" s="620"/>
      <c r="T248" s="620"/>
      <c r="U248" s="620"/>
    </row>
    <row r="249">
      <c r="A249" s="905"/>
      <c r="B249" s="905"/>
      <c r="C249" s="520"/>
      <c r="D249" s="906"/>
      <c r="E249" s="907"/>
      <c r="F249" s="908"/>
      <c r="G249" s="909"/>
      <c r="H249" s="910"/>
      <c r="I249" s="907"/>
      <c r="J249" s="912"/>
      <c r="K249" s="909"/>
      <c r="L249" s="913"/>
      <c r="M249" s="620"/>
      <c r="N249" s="620"/>
      <c r="O249" s="620"/>
      <c r="P249" s="620"/>
      <c r="Q249" s="620"/>
      <c r="R249" s="620"/>
      <c r="S249" s="620"/>
      <c r="T249" s="620"/>
      <c r="U249" s="620"/>
    </row>
    <row r="250">
      <c r="A250" s="905"/>
      <c r="B250" s="905"/>
      <c r="C250" s="520"/>
      <c r="D250" s="906"/>
      <c r="E250" s="907"/>
      <c r="F250" s="908"/>
      <c r="G250" s="909"/>
      <c r="H250" s="910"/>
      <c r="I250" s="907"/>
      <c r="J250" s="912"/>
      <c r="K250" s="909"/>
      <c r="L250" s="913"/>
      <c r="M250" s="620"/>
      <c r="N250" s="620"/>
      <c r="O250" s="620"/>
      <c r="P250" s="620"/>
      <c r="Q250" s="620"/>
      <c r="R250" s="620"/>
      <c r="S250" s="620"/>
      <c r="T250" s="620"/>
      <c r="U250" s="620"/>
    </row>
    <row r="251">
      <c r="A251" s="905"/>
      <c r="B251" s="905"/>
      <c r="C251" s="520"/>
      <c r="D251" s="906"/>
      <c r="E251" s="907"/>
      <c r="F251" s="908"/>
      <c r="G251" s="909"/>
      <c r="H251" s="910"/>
      <c r="I251" s="907"/>
      <c r="J251" s="912"/>
      <c r="K251" s="909"/>
      <c r="L251" s="913"/>
      <c r="M251" s="620"/>
      <c r="N251" s="620"/>
      <c r="O251" s="620"/>
      <c r="P251" s="620"/>
      <c r="Q251" s="620"/>
      <c r="R251" s="620"/>
      <c r="S251" s="620"/>
      <c r="T251" s="620"/>
      <c r="U251" s="620"/>
    </row>
    <row r="252">
      <c r="A252" s="905"/>
      <c r="B252" s="905"/>
      <c r="C252" s="520"/>
      <c r="D252" s="906"/>
      <c r="E252" s="907"/>
      <c r="F252" s="908"/>
      <c r="G252" s="909"/>
      <c r="H252" s="910"/>
      <c r="I252" s="907"/>
      <c r="J252" s="912"/>
      <c r="K252" s="909"/>
      <c r="L252" s="913"/>
      <c r="M252" s="620"/>
      <c r="N252" s="620"/>
      <c r="O252" s="620"/>
      <c r="P252" s="620"/>
      <c r="Q252" s="620"/>
      <c r="R252" s="620"/>
      <c r="S252" s="620"/>
      <c r="T252" s="620"/>
      <c r="U252" s="620"/>
    </row>
    <row r="253">
      <c r="A253" s="905"/>
      <c r="B253" s="905"/>
      <c r="C253" s="520"/>
      <c r="D253" s="906"/>
      <c r="E253" s="907"/>
      <c r="F253" s="908"/>
      <c r="G253" s="909"/>
      <c r="H253" s="910"/>
      <c r="I253" s="907"/>
      <c r="J253" s="912"/>
      <c r="K253" s="909"/>
      <c r="L253" s="913"/>
      <c r="M253" s="620"/>
      <c r="N253" s="620"/>
      <c r="O253" s="620"/>
      <c r="P253" s="620"/>
      <c r="Q253" s="620"/>
      <c r="R253" s="620"/>
      <c r="S253" s="620"/>
      <c r="T253" s="620"/>
      <c r="U253" s="620"/>
    </row>
    <row r="254">
      <c r="A254" s="905"/>
      <c r="B254" s="905"/>
      <c r="C254" s="520"/>
      <c r="D254" s="906"/>
      <c r="E254" s="907"/>
      <c r="F254" s="908"/>
      <c r="G254" s="909"/>
      <c r="H254" s="910"/>
      <c r="I254" s="907"/>
      <c r="J254" s="912"/>
      <c r="K254" s="909"/>
      <c r="L254" s="913"/>
      <c r="M254" s="620"/>
      <c r="N254" s="620"/>
      <c r="O254" s="620"/>
      <c r="P254" s="620"/>
      <c r="Q254" s="620"/>
      <c r="R254" s="620"/>
      <c r="S254" s="620"/>
      <c r="T254" s="620"/>
      <c r="U254" s="620"/>
    </row>
    <row r="255">
      <c r="A255" s="905"/>
      <c r="B255" s="905"/>
      <c r="C255" s="520"/>
      <c r="D255" s="906"/>
      <c r="E255" s="907"/>
      <c r="F255" s="908"/>
      <c r="G255" s="909"/>
      <c r="H255" s="910"/>
      <c r="I255" s="907"/>
      <c r="J255" s="912"/>
      <c r="K255" s="909"/>
      <c r="L255" s="913"/>
      <c r="M255" s="620"/>
      <c r="N255" s="620"/>
      <c r="O255" s="620"/>
      <c r="P255" s="620"/>
      <c r="Q255" s="620"/>
      <c r="R255" s="620"/>
      <c r="S255" s="620"/>
      <c r="T255" s="620"/>
      <c r="U255" s="620"/>
    </row>
    <row r="256">
      <c r="A256" s="905"/>
      <c r="B256" s="905"/>
      <c r="C256" s="520"/>
      <c r="D256" s="906"/>
      <c r="E256" s="907"/>
      <c r="F256" s="908"/>
      <c r="G256" s="909"/>
      <c r="H256" s="910"/>
      <c r="I256" s="907"/>
      <c r="J256" s="912"/>
      <c r="K256" s="909"/>
      <c r="L256" s="913"/>
      <c r="M256" s="620"/>
      <c r="N256" s="620"/>
      <c r="O256" s="620"/>
      <c r="P256" s="620"/>
      <c r="Q256" s="620"/>
      <c r="R256" s="620"/>
      <c r="S256" s="620"/>
      <c r="T256" s="620"/>
      <c r="U256" s="620"/>
    </row>
    <row r="257">
      <c r="A257" s="905"/>
      <c r="B257" s="905"/>
      <c r="C257" s="520"/>
      <c r="D257" s="906"/>
      <c r="E257" s="907"/>
      <c r="F257" s="908"/>
      <c r="G257" s="909"/>
      <c r="H257" s="910"/>
      <c r="I257" s="907"/>
      <c r="J257" s="912"/>
      <c r="K257" s="909"/>
      <c r="L257" s="913"/>
      <c r="M257" s="620"/>
      <c r="N257" s="620"/>
      <c r="O257" s="620"/>
      <c r="P257" s="620"/>
      <c r="Q257" s="620"/>
      <c r="R257" s="620"/>
      <c r="S257" s="620"/>
      <c r="T257" s="620"/>
      <c r="U257" s="620"/>
    </row>
    <row r="258">
      <c r="A258" s="905"/>
      <c r="B258" s="905"/>
      <c r="C258" s="520"/>
      <c r="D258" s="906"/>
      <c r="E258" s="907"/>
      <c r="F258" s="908"/>
      <c r="G258" s="909"/>
      <c r="H258" s="910"/>
      <c r="I258" s="907"/>
      <c r="J258" s="912"/>
      <c r="K258" s="909"/>
      <c r="L258" s="913"/>
      <c r="M258" s="620"/>
      <c r="N258" s="620"/>
      <c r="O258" s="620"/>
      <c r="P258" s="620"/>
      <c r="Q258" s="620"/>
      <c r="R258" s="620"/>
      <c r="S258" s="620"/>
      <c r="T258" s="620"/>
      <c r="U258" s="620"/>
    </row>
    <row r="259">
      <c r="A259" s="905"/>
      <c r="B259" s="905"/>
      <c r="C259" s="520"/>
      <c r="D259" s="906"/>
      <c r="E259" s="907"/>
      <c r="F259" s="908"/>
      <c r="G259" s="909"/>
      <c r="H259" s="910"/>
      <c r="I259" s="907"/>
      <c r="J259" s="912"/>
      <c r="K259" s="909"/>
      <c r="L259" s="913"/>
      <c r="M259" s="620"/>
      <c r="N259" s="620"/>
      <c r="O259" s="620"/>
      <c r="P259" s="620"/>
      <c r="Q259" s="620"/>
      <c r="R259" s="620"/>
      <c r="S259" s="620"/>
      <c r="T259" s="620"/>
      <c r="U259" s="620"/>
    </row>
    <row r="260">
      <c r="A260" s="905"/>
      <c r="B260" s="905"/>
      <c r="C260" s="520"/>
      <c r="D260" s="906"/>
      <c r="E260" s="907"/>
      <c r="F260" s="908"/>
      <c r="G260" s="909"/>
      <c r="H260" s="910"/>
      <c r="I260" s="907"/>
      <c r="J260" s="912"/>
      <c r="K260" s="909"/>
      <c r="L260" s="913"/>
      <c r="M260" s="620"/>
      <c r="N260" s="620"/>
      <c r="O260" s="620"/>
      <c r="P260" s="620"/>
      <c r="Q260" s="620"/>
      <c r="R260" s="620"/>
      <c r="S260" s="620"/>
      <c r="T260" s="620"/>
      <c r="U260" s="620"/>
    </row>
    <row r="261">
      <c r="A261" s="905"/>
      <c r="B261" s="905"/>
      <c r="C261" s="520"/>
      <c r="D261" s="906"/>
      <c r="E261" s="907"/>
      <c r="F261" s="908"/>
      <c r="G261" s="909"/>
      <c r="H261" s="910"/>
      <c r="I261" s="907"/>
      <c r="J261" s="912"/>
      <c r="K261" s="909"/>
      <c r="L261" s="913"/>
      <c r="M261" s="620"/>
      <c r="N261" s="620"/>
      <c r="O261" s="620"/>
      <c r="P261" s="620"/>
      <c r="Q261" s="620"/>
      <c r="R261" s="620"/>
      <c r="S261" s="620"/>
      <c r="T261" s="620"/>
      <c r="U261" s="620"/>
    </row>
    <row r="262">
      <c r="A262" s="905"/>
      <c r="B262" s="905"/>
      <c r="C262" s="520"/>
      <c r="D262" s="906"/>
      <c r="E262" s="907"/>
      <c r="F262" s="908"/>
      <c r="G262" s="909"/>
      <c r="H262" s="910"/>
      <c r="I262" s="907"/>
      <c r="J262" s="912"/>
      <c r="K262" s="909"/>
      <c r="L262" s="913"/>
      <c r="M262" s="620"/>
      <c r="N262" s="620"/>
      <c r="O262" s="620"/>
      <c r="P262" s="620"/>
      <c r="Q262" s="620"/>
      <c r="R262" s="620"/>
      <c r="S262" s="620"/>
      <c r="T262" s="620"/>
      <c r="U262" s="620"/>
    </row>
    <row r="263">
      <c r="A263" s="905"/>
      <c r="B263" s="905"/>
      <c r="C263" s="520"/>
      <c r="D263" s="906"/>
      <c r="E263" s="907"/>
      <c r="F263" s="908"/>
      <c r="G263" s="909"/>
      <c r="H263" s="910"/>
      <c r="I263" s="907"/>
      <c r="J263" s="912"/>
      <c r="K263" s="909"/>
      <c r="L263" s="913"/>
      <c r="M263" s="620"/>
      <c r="N263" s="620"/>
      <c r="O263" s="620"/>
      <c r="P263" s="620"/>
      <c r="Q263" s="620"/>
      <c r="R263" s="620"/>
      <c r="S263" s="620"/>
      <c r="T263" s="620"/>
      <c r="U263" s="620"/>
    </row>
    <row r="264">
      <c r="A264" s="905"/>
      <c r="B264" s="905"/>
      <c r="C264" s="520"/>
      <c r="D264" s="906"/>
      <c r="E264" s="907"/>
      <c r="F264" s="908"/>
      <c r="G264" s="909"/>
      <c r="H264" s="910"/>
      <c r="I264" s="907"/>
      <c r="J264" s="912"/>
      <c r="K264" s="909"/>
      <c r="L264" s="913"/>
      <c r="M264" s="620"/>
      <c r="N264" s="620"/>
      <c r="O264" s="620"/>
      <c r="P264" s="620"/>
      <c r="Q264" s="620"/>
      <c r="R264" s="620"/>
      <c r="S264" s="620"/>
      <c r="T264" s="620"/>
      <c r="U264" s="620"/>
    </row>
    <row r="265">
      <c r="A265" s="905"/>
      <c r="B265" s="905"/>
      <c r="C265" s="520"/>
      <c r="D265" s="906"/>
      <c r="E265" s="907"/>
      <c r="F265" s="908"/>
      <c r="G265" s="909"/>
      <c r="H265" s="910"/>
      <c r="I265" s="907"/>
      <c r="J265" s="912"/>
      <c r="K265" s="909"/>
      <c r="L265" s="913"/>
      <c r="M265" s="620"/>
      <c r="N265" s="620"/>
      <c r="O265" s="620"/>
      <c r="P265" s="620"/>
      <c r="Q265" s="620"/>
      <c r="R265" s="620"/>
      <c r="S265" s="620"/>
      <c r="T265" s="620"/>
      <c r="U265" s="620"/>
    </row>
    <row r="266">
      <c r="A266" s="905"/>
      <c r="B266" s="905"/>
      <c r="C266" s="520"/>
      <c r="D266" s="906"/>
      <c r="E266" s="907"/>
      <c r="F266" s="908"/>
      <c r="G266" s="909"/>
      <c r="H266" s="910"/>
      <c r="I266" s="907"/>
      <c r="J266" s="912"/>
      <c r="K266" s="909"/>
      <c r="L266" s="913"/>
      <c r="M266" s="620"/>
      <c r="N266" s="620"/>
      <c r="O266" s="620"/>
      <c r="P266" s="620"/>
      <c r="Q266" s="620"/>
      <c r="R266" s="620"/>
      <c r="S266" s="620"/>
      <c r="T266" s="620"/>
      <c r="U266" s="620"/>
    </row>
    <row r="267">
      <c r="A267" s="905"/>
      <c r="B267" s="905"/>
      <c r="C267" s="520"/>
      <c r="D267" s="906"/>
      <c r="E267" s="907"/>
      <c r="F267" s="908"/>
      <c r="G267" s="909"/>
      <c r="H267" s="910"/>
      <c r="I267" s="907"/>
      <c r="J267" s="912"/>
      <c r="K267" s="909"/>
      <c r="L267" s="913"/>
      <c r="M267" s="620"/>
      <c r="N267" s="620"/>
      <c r="O267" s="620"/>
      <c r="P267" s="620"/>
      <c r="Q267" s="620"/>
      <c r="R267" s="620"/>
      <c r="S267" s="620"/>
      <c r="T267" s="620"/>
      <c r="U267" s="620"/>
    </row>
    <row r="268">
      <c r="A268" s="905"/>
      <c r="B268" s="905"/>
      <c r="C268" s="520"/>
      <c r="D268" s="906"/>
      <c r="E268" s="907"/>
      <c r="F268" s="908"/>
      <c r="G268" s="909"/>
      <c r="H268" s="910"/>
      <c r="I268" s="907"/>
      <c r="J268" s="912"/>
      <c r="K268" s="909"/>
      <c r="L268" s="913"/>
      <c r="M268" s="620"/>
      <c r="N268" s="620"/>
      <c r="O268" s="620"/>
      <c r="P268" s="620"/>
      <c r="Q268" s="620"/>
      <c r="R268" s="620"/>
      <c r="S268" s="620"/>
      <c r="T268" s="620"/>
      <c r="U268" s="620"/>
    </row>
    <row r="269">
      <c r="A269" s="905"/>
      <c r="B269" s="905"/>
      <c r="C269" s="520"/>
      <c r="D269" s="906"/>
      <c r="E269" s="907"/>
      <c r="F269" s="908"/>
      <c r="G269" s="909"/>
      <c r="H269" s="910"/>
      <c r="I269" s="907"/>
      <c r="J269" s="912"/>
      <c r="K269" s="909"/>
      <c r="L269" s="913"/>
      <c r="M269" s="620"/>
      <c r="N269" s="620"/>
      <c r="O269" s="620"/>
      <c r="P269" s="620"/>
      <c r="Q269" s="620"/>
      <c r="R269" s="620"/>
      <c r="S269" s="620"/>
      <c r="T269" s="620"/>
      <c r="U269" s="620"/>
    </row>
    <row r="270">
      <c r="A270" s="905"/>
      <c r="B270" s="905"/>
      <c r="C270" s="520"/>
      <c r="D270" s="906"/>
      <c r="E270" s="907"/>
      <c r="F270" s="908"/>
      <c r="G270" s="909"/>
      <c r="H270" s="910"/>
      <c r="I270" s="907"/>
      <c r="J270" s="912"/>
      <c r="K270" s="909"/>
      <c r="L270" s="913"/>
      <c r="M270" s="620"/>
      <c r="N270" s="620"/>
      <c r="O270" s="620"/>
      <c r="P270" s="620"/>
      <c r="Q270" s="620"/>
      <c r="R270" s="620"/>
      <c r="S270" s="620"/>
      <c r="T270" s="620"/>
      <c r="U270" s="620"/>
    </row>
    <row r="271">
      <c r="A271" s="905"/>
      <c r="B271" s="905"/>
      <c r="C271" s="520"/>
      <c r="D271" s="906"/>
      <c r="E271" s="907"/>
      <c r="F271" s="908"/>
      <c r="G271" s="909"/>
      <c r="H271" s="910"/>
      <c r="I271" s="907"/>
      <c r="J271" s="912"/>
      <c r="K271" s="909"/>
      <c r="L271" s="913"/>
      <c r="M271" s="620"/>
      <c r="N271" s="620"/>
      <c r="O271" s="620"/>
      <c r="P271" s="620"/>
      <c r="Q271" s="620"/>
      <c r="R271" s="620"/>
      <c r="S271" s="620"/>
      <c r="T271" s="620"/>
      <c r="U271" s="620"/>
    </row>
    <row r="272">
      <c r="A272" s="905"/>
      <c r="B272" s="905"/>
      <c r="C272" s="520"/>
      <c r="D272" s="906"/>
      <c r="E272" s="907"/>
      <c r="F272" s="908"/>
      <c r="G272" s="909"/>
      <c r="H272" s="910"/>
      <c r="I272" s="907"/>
      <c r="J272" s="912"/>
      <c r="K272" s="909"/>
      <c r="L272" s="913"/>
      <c r="M272" s="620"/>
      <c r="N272" s="620"/>
      <c r="O272" s="620"/>
      <c r="P272" s="620"/>
      <c r="Q272" s="620"/>
      <c r="R272" s="620"/>
      <c r="S272" s="620"/>
      <c r="T272" s="620"/>
      <c r="U272" s="620"/>
    </row>
    <row r="273">
      <c r="A273" s="905"/>
      <c r="B273" s="905"/>
      <c r="C273" s="520"/>
      <c r="D273" s="906"/>
      <c r="E273" s="907"/>
      <c r="F273" s="908"/>
      <c r="G273" s="909"/>
      <c r="H273" s="910"/>
      <c r="I273" s="907"/>
      <c r="J273" s="912"/>
      <c r="K273" s="909"/>
      <c r="L273" s="913"/>
      <c r="M273" s="620"/>
      <c r="N273" s="620"/>
      <c r="O273" s="620"/>
      <c r="P273" s="620"/>
      <c r="Q273" s="620"/>
      <c r="R273" s="620"/>
      <c r="S273" s="620"/>
      <c r="T273" s="620"/>
      <c r="U273" s="620"/>
    </row>
    <row r="274">
      <c r="A274" s="905"/>
      <c r="B274" s="905"/>
      <c r="C274" s="520"/>
      <c r="D274" s="906"/>
      <c r="E274" s="907"/>
      <c r="F274" s="908"/>
      <c r="G274" s="909"/>
      <c r="H274" s="910"/>
      <c r="I274" s="907"/>
      <c r="J274" s="912"/>
      <c r="K274" s="909"/>
      <c r="L274" s="913"/>
      <c r="M274" s="620"/>
      <c r="N274" s="620"/>
      <c r="O274" s="620"/>
      <c r="P274" s="620"/>
      <c r="Q274" s="620"/>
      <c r="R274" s="620"/>
      <c r="S274" s="620"/>
      <c r="T274" s="620"/>
      <c r="U274" s="620"/>
    </row>
    <row r="275">
      <c r="A275" s="905"/>
      <c r="B275" s="905"/>
      <c r="C275" s="520"/>
      <c r="D275" s="906"/>
      <c r="E275" s="907"/>
      <c r="F275" s="908"/>
      <c r="G275" s="909"/>
      <c r="H275" s="910"/>
      <c r="I275" s="907"/>
      <c r="J275" s="912"/>
      <c r="K275" s="909"/>
      <c r="L275" s="913"/>
      <c r="M275" s="620"/>
      <c r="N275" s="620"/>
      <c r="O275" s="620"/>
      <c r="P275" s="620"/>
      <c r="Q275" s="620"/>
      <c r="R275" s="620"/>
      <c r="S275" s="620"/>
      <c r="T275" s="620"/>
      <c r="U275" s="620"/>
    </row>
    <row r="276">
      <c r="A276" s="905"/>
      <c r="B276" s="905"/>
      <c r="C276" s="520"/>
      <c r="D276" s="906"/>
      <c r="E276" s="907"/>
      <c r="F276" s="908"/>
      <c r="G276" s="909"/>
      <c r="H276" s="910"/>
      <c r="I276" s="907"/>
      <c r="J276" s="912"/>
      <c r="K276" s="909"/>
      <c r="L276" s="913"/>
      <c r="M276" s="620"/>
      <c r="N276" s="620"/>
      <c r="O276" s="620"/>
      <c r="P276" s="620"/>
      <c r="Q276" s="620"/>
      <c r="R276" s="620"/>
      <c r="S276" s="620"/>
      <c r="T276" s="620"/>
      <c r="U276" s="620"/>
    </row>
    <row r="277">
      <c r="A277" s="905"/>
      <c r="B277" s="905"/>
      <c r="C277" s="520"/>
      <c r="D277" s="906"/>
      <c r="E277" s="907"/>
      <c r="F277" s="908"/>
      <c r="G277" s="909"/>
      <c r="H277" s="910"/>
      <c r="I277" s="907"/>
      <c r="J277" s="912"/>
      <c r="K277" s="909"/>
      <c r="L277" s="913"/>
      <c r="M277" s="620"/>
      <c r="N277" s="620"/>
      <c r="O277" s="620"/>
      <c r="P277" s="620"/>
      <c r="Q277" s="620"/>
      <c r="R277" s="620"/>
      <c r="S277" s="620"/>
      <c r="T277" s="620"/>
      <c r="U277" s="620"/>
    </row>
    <row r="278">
      <c r="A278" s="905"/>
      <c r="B278" s="905"/>
      <c r="C278" s="520"/>
      <c r="D278" s="906"/>
      <c r="E278" s="907"/>
      <c r="F278" s="908"/>
      <c r="G278" s="909"/>
      <c r="H278" s="910"/>
      <c r="I278" s="907"/>
      <c r="J278" s="912"/>
      <c r="K278" s="909"/>
      <c r="L278" s="913"/>
      <c r="M278" s="620"/>
      <c r="N278" s="620"/>
      <c r="O278" s="620"/>
      <c r="P278" s="620"/>
      <c r="Q278" s="620"/>
      <c r="R278" s="620"/>
      <c r="S278" s="620"/>
      <c r="T278" s="620"/>
      <c r="U278" s="620"/>
    </row>
    <row r="279">
      <c r="A279" s="905"/>
      <c r="B279" s="905"/>
      <c r="C279" s="520"/>
      <c r="D279" s="906"/>
      <c r="E279" s="907"/>
      <c r="F279" s="908"/>
      <c r="G279" s="909"/>
      <c r="H279" s="910"/>
      <c r="I279" s="907"/>
      <c r="J279" s="912"/>
      <c r="K279" s="909"/>
      <c r="L279" s="913"/>
      <c r="M279" s="620"/>
      <c r="N279" s="620"/>
      <c r="O279" s="620"/>
      <c r="P279" s="620"/>
      <c r="Q279" s="620"/>
      <c r="R279" s="620"/>
      <c r="S279" s="620"/>
      <c r="T279" s="620"/>
      <c r="U279" s="620"/>
    </row>
    <row r="280">
      <c r="A280" s="905"/>
      <c r="B280" s="905"/>
      <c r="C280" s="520"/>
      <c r="D280" s="906"/>
      <c r="E280" s="907"/>
      <c r="F280" s="908"/>
      <c r="G280" s="909"/>
      <c r="H280" s="910"/>
      <c r="I280" s="907"/>
      <c r="J280" s="912"/>
      <c r="K280" s="909"/>
      <c r="L280" s="913"/>
      <c r="M280" s="620"/>
      <c r="N280" s="620"/>
      <c r="O280" s="620"/>
      <c r="P280" s="620"/>
      <c r="Q280" s="620"/>
      <c r="R280" s="620"/>
      <c r="S280" s="620"/>
      <c r="T280" s="620"/>
      <c r="U280" s="620"/>
    </row>
    <row r="281">
      <c r="A281" s="905"/>
      <c r="B281" s="905"/>
      <c r="C281" s="520"/>
      <c r="D281" s="906"/>
      <c r="E281" s="907"/>
      <c r="F281" s="908"/>
      <c r="G281" s="909"/>
      <c r="H281" s="910"/>
      <c r="I281" s="907"/>
      <c r="J281" s="912"/>
      <c r="K281" s="909"/>
      <c r="L281" s="913"/>
      <c r="M281" s="620"/>
      <c r="N281" s="620"/>
      <c r="O281" s="620"/>
      <c r="P281" s="620"/>
      <c r="Q281" s="620"/>
      <c r="R281" s="620"/>
      <c r="S281" s="620"/>
      <c r="T281" s="620"/>
      <c r="U281" s="620"/>
    </row>
    <row r="282">
      <c r="A282" s="905"/>
      <c r="B282" s="905"/>
      <c r="C282" s="520"/>
      <c r="D282" s="906"/>
      <c r="E282" s="907"/>
      <c r="F282" s="908"/>
      <c r="G282" s="909"/>
      <c r="H282" s="910"/>
      <c r="I282" s="907"/>
      <c r="J282" s="912"/>
      <c r="K282" s="909"/>
      <c r="L282" s="913"/>
      <c r="M282" s="620"/>
      <c r="N282" s="620"/>
      <c r="O282" s="620"/>
      <c r="P282" s="620"/>
      <c r="Q282" s="620"/>
      <c r="R282" s="620"/>
      <c r="S282" s="620"/>
      <c r="T282" s="620"/>
      <c r="U282" s="620"/>
    </row>
    <row r="283">
      <c r="A283" s="905"/>
      <c r="B283" s="905"/>
      <c r="C283" s="520"/>
      <c r="D283" s="906"/>
      <c r="E283" s="907"/>
      <c r="F283" s="908"/>
      <c r="G283" s="909"/>
      <c r="H283" s="910"/>
      <c r="I283" s="907"/>
      <c r="J283" s="912"/>
      <c r="K283" s="909"/>
      <c r="L283" s="913"/>
      <c r="M283" s="620"/>
      <c r="N283" s="620"/>
      <c r="O283" s="620"/>
      <c r="P283" s="620"/>
      <c r="Q283" s="620"/>
      <c r="R283" s="620"/>
      <c r="S283" s="620"/>
      <c r="T283" s="620"/>
      <c r="U283" s="620"/>
    </row>
    <row r="284">
      <c r="A284" s="905"/>
      <c r="B284" s="905"/>
      <c r="C284" s="520"/>
      <c r="D284" s="906"/>
      <c r="E284" s="907"/>
      <c r="F284" s="908"/>
      <c r="G284" s="909"/>
      <c r="H284" s="910"/>
      <c r="I284" s="907"/>
      <c r="J284" s="912"/>
      <c r="K284" s="909"/>
      <c r="L284" s="913"/>
      <c r="M284" s="620"/>
      <c r="N284" s="620"/>
      <c r="O284" s="620"/>
      <c r="P284" s="620"/>
      <c r="Q284" s="620"/>
      <c r="R284" s="620"/>
      <c r="S284" s="620"/>
      <c r="T284" s="620"/>
      <c r="U284" s="620"/>
    </row>
    <row r="285">
      <c r="A285" s="905"/>
      <c r="B285" s="905"/>
      <c r="C285" s="520"/>
      <c r="D285" s="906"/>
      <c r="E285" s="907"/>
      <c r="F285" s="908"/>
      <c r="G285" s="909"/>
      <c r="H285" s="910"/>
      <c r="I285" s="907"/>
      <c r="J285" s="912"/>
      <c r="K285" s="909"/>
      <c r="L285" s="913"/>
      <c r="M285" s="620"/>
      <c r="N285" s="620"/>
      <c r="O285" s="620"/>
      <c r="P285" s="620"/>
      <c r="Q285" s="620"/>
      <c r="R285" s="620"/>
      <c r="S285" s="620"/>
      <c r="T285" s="620"/>
      <c r="U285" s="620"/>
    </row>
    <row r="286">
      <c r="A286" s="905"/>
      <c r="B286" s="905"/>
      <c r="C286" s="520"/>
      <c r="D286" s="906"/>
      <c r="E286" s="907"/>
      <c r="F286" s="908"/>
      <c r="G286" s="909"/>
      <c r="H286" s="910"/>
      <c r="I286" s="907"/>
      <c r="J286" s="912"/>
      <c r="K286" s="909"/>
      <c r="L286" s="913"/>
      <c r="M286" s="620"/>
      <c r="N286" s="620"/>
      <c r="O286" s="620"/>
      <c r="P286" s="620"/>
      <c r="Q286" s="620"/>
      <c r="R286" s="620"/>
      <c r="S286" s="620"/>
      <c r="T286" s="620"/>
      <c r="U286" s="620"/>
    </row>
    <row r="287">
      <c r="A287" s="905"/>
      <c r="B287" s="905"/>
      <c r="C287" s="520"/>
      <c r="D287" s="906"/>
      <c r="E287" s="907"/>
      <c r="F287" s="908"/>
      <c r="G287" s="909"/>
      <c r="H287" s="910"/>
      <c r="I287" s="907"/>
      <c r="J287" s="912"/>
      <c r="K287" s="909"/>
      <c r="L287" s="913"/>
      <c r="M287" s="620"/>
      <c r="N287" s="620"/>
      <c r="O287" s="620"/>
      <c r="P287" s="620"/>
      <c r="Q287" s="620"/>
      <c r="R287" s="620"/>
      <c r="S287" s="620"/>
      <c r="T287" s="620"/>
      <c r="U287" s="620"/>
    </row>
    <row r="288">
      <c r="A288" s="905"/>
      <c r="B288" s="905"/>
      <c r="C288" s="520"/>
      <c r="D288" s="906"/>
      <c r="E288" s="907"/>
      <c r="F288" s="908"/>
      <c r="G288" s="909"/>
      <c r="H288" s="910"/>
      <c r="I288" s="907"/>
      <c r="J288" s="912"/>
      <c r="K288" s="909"/>
      <c r="L288" s="913"/>
      <c r="M288" s="620"/>
      <c r="N288" s="620"/>
      <c r="O288" s="620"/>
      <c r="P288" s="620"/>
      <c r="Q288" s="620"/>
      <c r="R288" s="620"/>
      <c r="S288" s="620"/>
      <c r="T288" s="620"/>
      <c r="U288" s="620"/>
    </row>
    <row r="289">
      <c r="A289" s="905"/>
      <c r="B289" s="905"/>
      <c r="C289" s="520"/>
      <c r="D289" s="906"/>
      <c r="E289" s="907"/>
      <c r="F289" s="908"/>
      <c r="G289" s="909"/>
      <c r="H289" s="910"/>
      <c r="I289" s="907"/>
      <c r="J289" s="912"/>
      <c r="K289" s="909"/>
      <c r="L289" s="913"/>
      <c r="M289" s="620"/>
      <c r="N289" s="620"/>
      <c r="O289" s="620"/>
      <c r="P289" s="620"/>
      <c r="Q289" s="620"/>
      <c r="R289" s="620"/>
      <c r="S289" s="620"/>
      <c r="T289" s="620"/>
      <c r="U289" s="620"/>
    </row>
    <row r="290">
      <c r="A290" s="905"/>
      <c r="B290" s="905"/>
      <c r="C290" s="520"/>
      <c r="D290" s="906"/>
      <c r="E290" s="907"/>
      <c r="F290" s="908"/>
      <c r="G290" s="909"/>
      <c r="H290" s="910"/>
      <c r="I290" s="907"/>
      <c r="J290" s="912"/>
      <c r="K290" s="909"/>
      <c r="L290" s="913"/>
      <c r="M290" s="620"/>
      <c r="N290" s="620"/>
      <c r="O290" s="620"/>
      <c r="P290" s="620"/>
      <c r="Q290" s="620"/>
      <c r="R290" s="620"/>
      <c r="S290" s="620"/>
      <c r="T290" s="620"/>
      <c r="U290" s="620"/>
    </row>
    <row r="291">
      <c r="A291" s="905"/>
      <c r="B291" s="905"/>
      <c r="C291" s="520"/>
      <c r="D291" s="906"/>
      <c r="E291" s="907"/>
      <c r="F291" s="908"/>
      <c r="G291" s="909"/>
      <c r="H291" s="910"/>
      <c r="I291" s="907"/>
      <c r="J291" s="912"/>
      <c r="K291" s="909"/>
      <c r="L291" s="913"/>
      <c r="M291" s="620"/>
      <c r="N291" s="620"/>
      <c r="O291" s="620"/>
      <c r="P291" s="620"/>
      <c r="Q291" s="620"/>
      <c r="R291" s="620"/>
      <c r="S291" s="620"/>
      <c r="T291" s="620"/>
      <c r="U291" s="620"/>
    </row>
    <row r="292">
      <c r="A292" s="905"/>
      <c r="B292" s="905"/>
      <c r="C292" s="520"/>
      <c r="D292" s="906"/>
      <c r="E292" s="907"/>
      <c r="F292" s="908"/>
      <c r="G292" s="909"/>
      <c r="H292" s="910"/>
      <c r="I292" s="907"/>
      <c r="J292" s="912"/>
      <c r="K292" s="909"/>
      <c r="L292" s="913"/>
      <c r="M292" s="620"/>
      <c r="N292" s="620"/>
      <c r="O292" s="620"/>
      <c r="P292" s="620"/>
      <c r="Q292" s="620"/>
      <c r="R292" s="620"/>
      <c r="S292" s="620"/>
      <c r="T292" s="620"/>
      <c r="U292" s="620"/>
    </row>
    <row r="293">
      <c r="A293" s="905"/>
      <c r="B293" s="905"/>
      <c r="C293" s="520"/>
      <c r="D293" s="906"/>
      <c r="E293" s="907"/>
      <c r="F293" s="908"/>
      <c r="G293" s="909"/>
      <c r="H293" s="910"/>
      <c r="I293" s="907"/>
      <c r="J293" s="912"/>
      <c r="K293" s="909"/>
      <c r="L293" s="913"/>
      <c r="M293" s="620"/>
      <c r="N293" s="620"/>
      <c r="O293" s="620"/>
      <c r="P293" s="620"/>
      <c r="Q293" s="620"/>
      <c r="R293" s="620"/>
      <c r="S293" s="620"/>
      <c r="T293" s="620"/>
      <c r="U293" s="620"/>
    </row>
    <row r="294">
      <c r="A294" s="905"/>
      <c r="B294" s="905"/>
      <c r="C294" s="520"/>
      <c r="D294" s="906"/>
      <c r="E294" s="907"/>
      <c r="F294" s="908"/>
      <c r="G294" s="909"/>
      <c r="H294" s="910"/>
      <c r="I294" s="907"/>
      <c r="J294" s="912"/>
      <c r="K294" s="909"/>
      <c r="L294" s="913"/>
      <c r="M294" s="620"/>
      <c r="N294" s="620"/>
      <c r="O294" s="620"/>
      <c r="P294" s="620"/>
      <c r="Q294" s="620"/>
      <c r="R294" s="620"/>
      <c r="S294" s="620"/>
      <c r="T294" s="620"/>
      <c r="U294" s="620"/>
    </row>
    <row r="295">
      <c r="A295" s="905"/>
      <c r="B295" s="905"/>
      <c r="C295" s="520"/>
      <c r="D295" s="906"/>
      <c r="E295" s="907"/>
      <c r="F295" s="908"/>
      <c r="G295" s="909"/>
      <c r="H295" s="910"/>
      <c r="I295" s="907"/>
      <c r="J295" s="912"/>
      <c r="K295" s="909"/>
      <c r="L295" s="913"/>
      <c r="M295" s="620"/>
      <c r="N295" s="620"/>
      <c r="O295" s="620"/>
      <c r="P295" s="620"/>
      <c r="Q295" s="620"/>
      <c r="R295" s="620"/>
      <c r="S295" s="620"/>
      <c r="T295" s="620"/>
      <c r="U295" s="620"/>
    </row>
    <row r="296">
      <c r="A296" s="905"/>
      <c r="B296" s="905"/>
      <c r="C296" s="520"/>
      <c r="D296" s="906"/>
      <c r="E296" s="907"/>
      <c r="F296" s="908"/>
      <c r="G296" s="909"/>
      <c r="H296" s="910"/>
      <c r="I296" s="907"/>
      <c r="J296" s="912"/>
      <c r="K296" s="909"/>
      <c r="L296" s="913"/>
      <c r="M296" s="620"/>
      <c r="N296" s="620"/>
      <c r="O296" s="620"/>
      <c r="P296" s="620"/>
      <c r="Q296" s="620"/>
      <c r="R296" s="620"/>
      <c r="S296" s="620"/>
      <c r="T296" s="620"/>
      <c r="U296" s="620"/>
    </row>
    <row r="297">
      <c r="A297" s="905"/>
      <c r="B297" s="905"/>
      <c r="C297" s="520"/>
      <c r="D297" s="906"/>
      <c r="E297" s="907"/>
      <c r="F297" s="908"/>
      <c r="G297" s="909"/>
      <c r="H297" s="910"/>
      <c r="I297" s="907"/>
      <c r="J297" s="912"/>
      <c r="K297" s="909"/>
      <c r="L297" s="913"/>
      <c r="M297" s="620"/>
      <c r="N297" s="620"/>
      <c r="O297" s="620"/>
      <c r="P297" s="620"/>
      <c r="Q297" s="620"/>
      <c r="R297" s="620"/>
      <c r="S297" s="620"/>
      <c r="T297" s="620"/>
      <c r="U297" s="620"/>
    </row>
    <row r="298">
      <c r="A298" s="905"/>
      <c r="B298" s="905"/>
      <c r="C298" s="520"/>
      <c r="D298" s="906"/>
      <c r="E298" s="907"/>
      <c r="F298" s="908"/>
      <c r="G298" s="909"/>
      <c r="H298" s="910"/>
      <c r="I298" s="907"/>
      <c r="J298" s="912"/>
      <c r="K298" s="909"/>
      <c r="L298" s="913"/>
      <c r="M298" s="620"/>
      <c r="N298" s="620"/>
      <c r="O298" s="620"/>
      <c r="P298" s="620"/>
      <c r="Q298" s="620"/>
      <c r="R298" s="620"/>
      <c r="S298" s="620"/>
      <c r="T298" s="620"/>
      <c r="U298" s="620"/>
    </row>
    <row r="299">
      <c r="A299" s="905"/>
      <c r="B299" s="905"/>
      <c r="C299" s="520"/>
      <c r="D299" s="906"/>
      <c r="E299" s="907"/>
      <c r="F299" s="908"/>
      <c r="G299" s="909"/>
      <c r="H299" s="910"/>
      <c r="I299" s="907"/>
      <c r="J299" s="912"/>
      <c r="K299" s="909"/>
      <c r="L299" s="913"/>
      <c r="M299" s="620"/>
      <c r="N299" s="620"/>
      <c r="O299" s="620"/>
      <c r="P299" s="620"/>
      <c r="Q299" s="620"/>
      <c r="R299" s="620"/>
      <c r="S299" s="620"/>
      <c r="T299" s="620"/>
      <c r="U299" s="620"/>
    </row>
    <row r="300">
      <c r="A300" s="905"/>
      <c r="B300" s="905"/>
      <c r="C300" s="520"/>
      <c r="D300" s="906"/>
      <c r="E300" s="907"/>
      <c r="F300" s="908"/>
      <c r="G300" s="909"/>
      <c r="H300" s="910"/>
      <c r="I300" s="907"/>
      <c r="J300" s="912"/>
      <c r="K300" s="909"/>
      <c r="L300" s="913"/>
      <c r="M300" s="620"/>
      <c r="N300" s="620"/>
      <c r="O300" s="620"/>
      <c r="P300" s="620"/>
      <c r="Q300" s="620"/>
      <c r="R300" s="620"/>
      <c r="S300" s="620"/>
      <c r="T300" s="620"/>
      <c r="U300" s="620"/>
    </row>
    <row r="301">
      <c r="A301" s="905"/>
      <c r="B301" s="905"/>
      <c r="C301" s="520"/>
      <c r="D301" s="906"/>
      <c r="E301" s="907"/>
      <c r="F301" s="908"/>
      <c r="G301" s="909"/>
      <c r="H301" s="910"/>
      <c r="I301" s="907"/>
      <c r="J301" s="912"/>
      <c r="K301" s="909"/>
      <c r="L301" s="913"/>
      <c r="M301" s="620"/>
      <c r="N301" s="620"/>
      <c r="O301" s="620"/>
      <c r="P301" s="620"/>
      <c r="Q301" s="620"/>
      <c r="R301" s="620"/>
      <c r="S301" s="620"/>
      <c r="T301" s="620"/>
      <c r="U301" s="620"/>
    </row>
    <row r="302">
      <c r="A302" s="905"/>
      <c r="B302" s="905"/>
      <c r="C302" s="520"/>
      <c r="D302" s="906"/>
      <c r="E302" s="907"/>
      <c r="F302" s="908"/>
      <c r="G302" s="909"/>
      <c r="H302" s="910"/>
      <c r="I302" s="907"/>
      <c r="J302" s="912"/>
      <c r="K302" s="909"/>
      <c r="L302" s="913"/>
      <c r="M302" s="620"/>
      <c r="N302" s="620"/>
      <c r="O302" s="620"/>
      <c r="P302" s="620"/>
      <c r="Q302" s="620"/>
      <c r="R302" s="620"/>
      <c r="S302" s="620"/>
      <c r="T302" s="620"/>
      <c r="U302" s="620"/>
    </row>
    <row r="303">
      <c r="A303" s="905"/>
      <c r="B303" s="905"/>
      <c r="C303" s="520"/>
      <c r="D303" s="906"/>
      <c r="E303" s="907"/>
      <c r="F303" s="908"/>
      <c r="G303" s="909"/>
      <c r="H303" s="910"/>
      <c r="I303" s="907"/>
      <c r="J303" s="912"/>
      <c r="K303" s="909"/>
      <c r="L303" s="913"/>
      <c r="M303" s="620"/>
      <c r="N303" s="620"/>
      <c r="O303" s="620"/>
      <c r="P303" s="620"/>
      <c r="Q303" s="620"/>
      <c r="R303" s="620"/>
      <c r="S303" s="620"/>
      <c r="T303" s="620"/>
      <c r="U303" s="620"/>
    </row>
    <row r="304">
      <c r="A304" s="905"/>
      <c r="B304" s="905"/>
      <c r="C304" s="520"/>
      <c r="D304" s="906"/>
      <c r="E304" s="907"/>
      <c r="F304" s="908"/>
      <c r="G304" s="909"/>
      <c r="H304" s="910"/>
      <c r="I304" s="907"/>
      <c r="J304" s="912"/>
      <c r="K304" s="909"/>
      <c r="L304" s="913"/>
      <c r="M304" s="620"/>
      <c r="N304" s="620"/>
      <c r="O304" s="620"/>
      <c r="P304" s="620"/>
      <c r="Q304" s="620"/>
      <c r="R304" s="620"/>
      <c r="S304" s="620"/>
      <c r="T304" s="620"/>
      <c r="U304" s="620"/>
    </row>
    <row r="305">
      <c r="A305" s="905"/>
      <c r="B305" s="905"/>
      <c r="C305" s="520"/>
      <c r="D305" s="906"/>
      <c r="E305" s="907"/>
      <c r="F305" s="908"/>
      <c r="G305" s="909"/>
      <c r="H305" s="910"/>
      <c r="I305" s="907"/>
      <c r="J305" s="912"/>
      <c r="K305" s="909"/>
      <c r="L305" s="913"/>
      <c r="M305" s="620"/>
      <c r="N305" s="620"/>
      <c r="O305" s="620"/>
      <c r="P305" s="620"/>
      <c r="Q305" s="620"/>
      <c r="R305" s="620"/>
      <c r="S305" s="620"/>
      <c r="T305" s="620"/>
      <c r="U305" s="620"/>
    </row>
    <row r="306">
      <c r="A306" s="905"/>
      <c r="B306" s="905"/>
      <c r="C306" s="520"/>
      <c r="D306" s="906"/>
      <c r="E306" s="907"/>
      <c r="F306" s="908"/>
      <c r="G306" s="909"/>
      <c r="H306" s="910"/>
      <c r="I306" s="907"/>
      <c r="J306" s="912"/>
      <c r="K306" s="909"/>
      <c r="L306" s="913"/>
      <c r="M306" s="620"/>
      <c r="N306" s="620"/>
      <c r="O306" s="620"/>
      <c r="P306" s="620"/>
      <c r="Q306" s="620"/>
      <c r="R306" s="620"/>
      <c r="S306" s="620"/>
      <c r="T306" s="620"/>
      <c r="U306" s="620"/>
    </row>
    <row r="307">
      <c r="A307" s="905"/>
      <c r="B307" s="905"/>
      <c r="C307" s="520"/>
      <c r="D307" s="906"/>
      <c r="E307" s="907"/>
      <c r="F307" s="908"/>
      <c r="G307" s="909"/>
      <c r="H307" s="910"/>
      <c r="I307" s="907"/>
      <c r="J307" s="912"/>
      <c r="K307" s="909"/>
      <c r="L307" s="913"/>
      <c r="M307" s="620"/>
      <c r="N307" s="620"/>
      <c r="O307" s="620"/>
      <c r="P307" s="620"/>
      <c r="Q307" s="620"/>
      <c r="R307" s="620"/>
      <c r="S307" s="620"/>
      <c r="T307" s="620"/>
      <c r="U307" s="620"/>
    </row>
    <row r="308">
      <c r="A308" s="905"/>
      <c r="B308" s="905"/>
      <c r="C308" s="520"/>
      <c r="D308" s="906"/>
      <c r="E308" s="907"/>
      <c r="F308" s="908"/>
      <c r="G308" s="909"/>
      <c r="H308" s="910"/>
      <c r="I308" s="907"/>
      <c r="J308" s="912"/>
      <c r="K308" s="909"/>
      <c r="L308" s="913"/>
      <c r="M308" s="620"/>
      <c r="N308" s="620"/>
      <c r="O308" s="620"/>
      <c r="P308" s="620"/>
      <c r="Q308" s="620"/>
      <c r="R308" s="620"/>
      <c r="S308" s="620"/>
      <c r="T308" s="620"/>
      <c r="U308" s="620"/>
    </row>
    <row r="309">
      <c r="A309" s="905"/>
      <c r="B309" s="905"/>
      <c r="C309" s="520"/>
      <c r="D309" s="906"/>
      <c r="E309" s="907"/>
      <c r="F309" s="908"/>
      <c r="G309" s="909"/>
      <c r="H309" s="910"/>
      <c r="I309" s="907"/>
      <c r="J309" s="912"/>
      <c r="K309" s="909"/>
      <c r="L309" s="913"/>
      <c r="M309" s="620"/>
      <c r="N309" s="620"/>
      <c r="O309" s="620"/>
      <c r="P309" s="620"/>
      <c r="Q309" s="620"/>
      <c r="R309" s="620"/>
      <c r="S309" s="620"/>
      <c r="T309" s="620"/>
      <c r="U309" s="620"/>
    </row>
    <row r="310">
      <c r="A310" s="905"/>
      <c r="B310" s="905"/>
      <c r="C310" s="520"/>
      <c r="D310" s="906"/>
      <c r="E310" s="907"/>
      <c r="F310" s="908"/>
      <c r="G310" s="909"/>
      <c r="H310" s="910"/>
      <c r="I310" s="907"/>
      <c r="J310" s="912"/>
      <c r="K310" s="909"/>
      <c r="L310" s="913"/>
      <c r="M310" s="620"/>
      <c r="N310" s="620"/>
      <c r="O310" s="620"/>
      <c r="P310" s="620"/>
      <c r="Q310" s="620"/>
      <c r="R310" s="620"/>
      <c r="S310" s="620"/>
      <c r="T310" s="620"/>
      <c r="U310" s="620"/>
    </row>
    <row r="311">
      <c r="A311" s="905"/>
      <c r="B311" s="905"/>
      <c r="C311" s="520"/>
      <c r="D311" s="906"/>
      <c r="E311" s="907"/>
      <c r="F311" s="908"/>
      <c r="G311" s="909"/>
      <c r="H311" s="910"/>
      <c r="I311" s="907"/>
      <c r="J311" s="912"/>
      <c r="K311" s="909"/>
      <c r="L311" s="913"/>
      <c r="M311" s="620"/>
      <c r="N311" s="620"/>
      <c r="O311" s="620"/>
      <c r="P311" s="620"/>
      <c r="Q311" s="620"/>
      <c r="R311" s="620"/>
      <c r="S311" s="620"/>
      <c r="T311" s="620"/>
      <c r="U311" s="620"/>
    </row>
    <row r="312">
      <c r="A312" s="905"/>
      <c r="B312" s="905"/>
      <c r="C312" s="520"/>
      <c r="D312" s="906"/>
      <c r="E312" s="907"/>
      <c r="F312" s="908"/>
      <c r="G312" s="909"/>
      <c r="H312" s="910"/>
      <c r="I312" s="907"/>
      <c r="J312" s="912"/>
      <c r="K312" s="909"/>
      <c r="L312" s="913"/>
      <c r="M312" s="620"/>
      <c r="N312" s="620"/>
      <c r="O312" s="620"/>
      <c r="P312" s="620"/>
      <c r="Q312" s="620"/>
      <c r="R312" s="620"/>
      <c r="S312" s="620"/>
      <c r="T312" s="620"/>
      <c r="U312" s="620"/>
    </row>
    <row r="313">
      <c r="A313" s="905"/>
      <c r="B313" s="905"/>
      <c r="C313" s="520"/>
      <c r="D313" s="906"/>
      <c r="E313" s="907"/>
      <c r="F313" s="908"/>
      <c r="G313" s="909"/>
      <c r="H313" s="910"/>
      <c r="I313" s="907"/>
      <c r="J313" s="912"/>
      <c r="K313" s="909"/>
      <c r="L313" s="913"/>
      <c r="M313" s="620"/>
      <c r="N313" s="620"/>
      <c r="O313" s="620"/>
      <c r="P313" s="620"/>
      <c r="Q313" s="620"/>
      <c r="R313" s="620"/>
      <c r="S313" s="620"/>
      <c r="T313" s="620"/>
      <c r="U313" s="620"/>
    </row>
    <row r="314">
      <c r="A314" s="905"/>
      <c r="B314" s="905"/>
      <c r="C314" s="520"/>
      <c r="D314" s="906"/>
      <c r="E314" s="907"/>
      <c r="F314" s="908"/>
      <c r="G314" s="909"/>
      <c r="H314" s="910"/>
      <c r="I314" s="907"/>
      <c r="J314" s="912"/>
      <c r="K314" s="909"/>
      <c r="L314" s="913"/>
      <c r="M314" s="620"/>
      <c r="N314" s="620"/>
      <c r="O314" s="620"/>
      <c r="P314" s="620"/>
      <c r="Q314" s="620"/>
      <c r="R314" s="620"/>
      <c r="S314" s="620"/>
      <c r="T314" s="620"/>
      <c r="U314" s="620"/>
    </row>
    <row r="315">
      <c r="A315" s="905"/>
      <c r="B315" s="905"/>
      <c r="C315" s="520"/>
      <c r="D315" s="906"/>
      <c r="E315" s="907"/>
      <c r="F315" s="908"/>
      <c r="G315" s="909"/>
      <c r="H315" s="910"/>
      <c r="I315" s="907"/>
      <c r="J315" s="912"/>
      <c r="K315" s="909"/>
      <c r="L315" s="913"/>
      <c r="M315" s="620"/>
      <c r="N315" s="620"/>
      <c r="O315" s="620"/>
      <c r="P315" s="620"/>
      <c r="Q315" s="620"/>
      <c r="R315" s="620"/>
      <c r="S315" s="620"/>
      <c r="T315" s="620"/>
      <c r="U315" s="620"/>
    </row>
    <row r="316">
      <c r="A316" s="905"/>
      <c r="B316" s="905"/>
      <c r="C316" s="520"/>
      <c r="D316" s="906"/>
      <c r="E316" s="907"/>
      <c r="F316" s="908"/>
      <c r="G316" s="909"/>
      <c r="H316" s="910"/>
      <c r="I316" s="907"/>
      <c r="J316" s="912"/>
      <c r="K316" s="909"/>
      <c r="L316" s="913"/>
      <c r="M316" s="620"/>
      <c r="N316" s="620"/>
      <c r="O316" s="620"/>
      <c r="P316" s="620"/>
      <c r="Q316" s="620"/>
      <c r="R316" s="620"/>
      <c r="S316" s="620"/>
      <c r="T316" s="620"/>
      <c r="U316" s="620"/>
    </row>
    <row r="317">
      <c r="A317" s="905"/>
      <c r="B317" s="905"/>
      <c r="C317" s="520"/>
      <c r="D317" s="906"/>
      <c r="E317" s="907"/>
      <c r="F317" s="908"/>
      <c r="G317" s="909"/>
      <c r="H317" s="910"/>
      <c r="I317" s="907"/>
      <c r="J317" s="912"/>
      <c r="K317" s="909"/>
      <c r="L317" s="913"/>
      <c r="M317" s="620"/>
      <c r="N317" s="620"/>
      <c r="O317" s="620"/>
      <c r="P317" s="620"/>
      <c r="Q317" s="620"/>
      <c r="R317" s="620"/>
      <c r="S317" s="620"/>
      <c r="T317" s="620"/>
      <c r="U317" s="620"/>
    </row>
    <row r="318">
      <c r="A318" s="905"/>
      <c r="B318" s="905"/>
      <c r="C318" s="520"/>
      <c r="D318" s="906"/>
      <c r="E318" s="907"/>
      <c r="F318" s="908"/>
      <c r="G318" s="909"/>
      <c r="H318" s="910"/>
      <c r="I318" s="907"/>
      <c r="J318" s="912"/>
      <c r="K318" s="909"/>
      <c r="L318" s="913"/>
      <c r="M318" s="620"/>
      <c r="N318" s="620"/>
      <c r="O318" s="620"/>
      <c r="P318" s="620"/>
      <c r="Q318" s="620"/>
      <c r="R318" s="620"/>
      <c r="S318" s="620"/>
      <c r="T318" s="620"/>
      <c r="U318" s="620"/>
    </row>
    <row r="319">
      <c r="A319" s="905"/>
      <c r="B319" s="905"/>
      <c r="C319" s="520"/>
      <c r="D319" s="906"/>
      <c r="E319" s="907"/>
      <c r="F319" s="908"/>
      <c r="G319" s="909"/>
      <c r="H319" s="910"/>
      <c r="I319" s="907"/>
      <c r="J319" s="912"/>
      <c r="K319" s="909"/>
      <c r="L319" s="913"/>
      <c r="M319" s="620"/>
      <c r="N319" s="620"/>
      <c r="O319" s="620"/>
      <c r="P319" s="620"/>
      <c r="Q319" s="620"/>
      <c r="R319" s="620"/>
      <c r="S319" s="620"/>
      <c r="T319" s="620"/>
      <c r="U319" s="620"/>
    </row>
    <row r="320">
      <c r="A320" s="905"/>
      <c r="B320" s="905"/>
      <c r="C320" s="520"/>
      <c r="D320" s="906"/>
      <c r="E320" s="907"/>
      <c r="F320" s="908"/>
      <c r="G320" s="909"/>
      <c r="H320" s="910"/>
      <c r="I320" s="907"/>
      <c r="J320" s="912"/>
      <c r="K320" s="909"/>
      <c r="L320" s="913"/>
      <c r="M320" s="620"/>
      <c r="N320" s="620"/>
      <c r="O320" s="620"/>
      <c r="P320" s="620"/>
      <c r="Q320" s="620"/>
      <c r="R320" s="620"/>
      <c r="S320" s="620"/>
      <c r="T320" s="620"/>
      <c r="U320" s="620"/>
    </row>
    <row r="321">
      <c r="A321" s="905"/>
      <c r="B321" s="905"/>
      <c r="C321" s="520"/>
      <c r="D321" s="906"/>
      <c r="E321" s="907"/>
      <c r="F321" s="908"/>
      <c r="G321" s="909"/>
      <c r="H321" s="910"/>
      <c r="I321" s="907"/>
      <c r="J321" s="912"/>
      <c r="K321" s="909"/>
      <c r="L321" s="913"/>
      <c r="M321" s="620"/>
      <c r="N321" s="620"/>
      <c r="O321" s="620"/>
      <c r="P321" s="620"/>
      <c r="Q321" s="620"/>
      <c r="R321" s="620"/>
      <c r="S321" s="620"/>
      <c r="T321" s="620"/>
      <c r="U321" s="620"/>
    </row>
    <row r="322">
      <c r="A322" s="905"/>
      <c r="B322" s="905"/>
      <c r="C322" s="520"/>
      <c r="D322" s="906"/>
      <c r="E322" s="907"/>
      <c r="F322" s="908"/>
      <c r="G322" s="909"/>
      <c r="H322" s="910"/>
      <c r="I322" s="907"/>
      <c r="J322" s="912"/>
      <c r="K322" s="909"/>
      <c r="L322" s="913"/>
      <c r="M322" s="620"/>
      <c r="N322" s="620"/>
      <c r="O322" s="620"/>
      <c r="P322" s="620"/>
      <c r="Q322" s="620"/>
      <c r="R322" s="620"/>
      <c r="S322" s="620"/>
      <c r="T322" s="620"/>
      <c r="U322" s="620"/>
    </row>
    <row r="323">
      <c r="A323" s="905"/>
      <c r="B323" s="905"/>
      <c r="C323" s="520"/>
      <c r="D323" s="906"/>
      <c r="E323" s="907"/>
      <c r="F323" s="908"/>
      <c r="G323" s="909"/>
      <c r="H323" s="910"/>
      <c r="I323" s="907"/>
      <c r="J323" s="912"/>
      <c r="K323" s="909"/>
      <c r="L323" s="913"/>
      <c r="M323" s="620"/>
      <c r="N323" s="620"/>
      <c r="O323" s="620"/>
      <c r="P323" s="620"/>
      <c r="Q323" s="620"/>
      <c r="R323" s="620"/>
      <c r="S323" s="620"/>
      <c r="T323" s="620"/>
      <c r="U323" s="620"/>
    </row>
    <row r="324">
      <c r="A324" s="905"/>
      <c r="B324" s="905"/>
      <c r="C324" s="520"/>
      <c r="D324" s="906"/>
      <c r="E324" s="907"/>
      <c r="F324" s="908"/>
      <c r="G324" s="909"/>
      <c r="H324" s="910"/>
      <c r="I324" s="907"/>
      <c r="J324" s="912"/>
      <c r="K324" s="909"/>
      <c r="L324" s="913"/>
      <c r="M324" s="620"/>
      <c r="N324" s="620"/>
      <c r="O324" s="620"/>
      <c r="P324" s="620"/>
      <c r="Q324" s="620"/>
      <c r="R324" s="620"/>
      <c r="S324" s="620"/>
      <c r="T324" s="620"/>
      <c r="U324" s="620"/>
    </row>
    <row r="325">
      <c r="A325" s="905"/>
      <c r="B325" s="905"/>
      <c r="C325" s="520"/>
      <c r="D325" s="906"/>
      <c r="E325" s="907"/>
      <c r="F325" s="908"/>
      <c r="G325" s="909"/>
      <c r="H325" s="910"/>
      <c r="I325" s="907"/>
      <c r="J325" s="912"/>
      <c r="K325" s="909"/>
      <c r="L325" s="913"/>
      <c r="M325" s="620"/>
      <c r="N325" s="620"/>
      <c r="O325" s="620"/>
      <c r="P325" s="620"/>
      <c r="Q325" s="620"/>
      <c r="R325" s="620"/>
      <c r="S325" s="620"/>
      <c r="T325" s="620"/>
      <c r="U325" s="620"/>
    </row>
    <row r="326">
      <c r="A326" s="905"/>
      <c r="B326" s="905"/>
      <c r="C326" s="520"/>
      <c r="D326" s="906"/>
      <c r="E326" s="907"/>
      <c r="F326" s="908"/>
      <c r="G326" s="909"/>
      <c r="H326" s="910"/>
      <c r="I326" s="907"/>
      <c r="J326" s="912"/>
      <c r="K326" s="909"/>
      <c r="L326" s="913"/>
      <c r="M326" s="620"/>
      <c r="N326" s="620"/>
      <c r="O326" s="620"/>
      <c r="P326" s="620"/>
      <c r="Q326" s="620"/>
      <c r="R326" s="620"/>
      <c r="S326" s="620"/>
      <c r="T326" s="620"/>
      <c r="U326" s="620"/>
    </row>
    <row r="327">
      <c r="A327" s="905"/>
      <c r="B327" s="905"/>
      <c r="C327" s="520"/>
      <c r="D327" s="906"/>
      <c r="E327" s="907"/>
      <c r="F327" s="908"/>
      <c r="G327" s="909"/>
      <c r="H327" s="910"/>
      <c r="I327" s="907"/>
      <c r="J327" s="912"/>
      <c r="K327" s="909"/>
      <c r="L327" s="913"/>
      <c r="M327" s="620"/>
      <c r="N327" s="620"/>
      <c r="O327" s="620"/>
      <c r="P327" s="620"/>
      <c r="Q327" s="620"/>
      <c r="R327" s="620"/>
      <c r="S327" s="620"/>
      <c r="T327" s="620"/>
      <c r="U327" s="620"/>
    </row>
    <row r="328">
      <c r="A328" s="905"/>
      <c r="B328" s="905"/>
      <c r="C328" s="520"/>
      <c r="D328" s="906"/>
      <c r="E328" s="907"/>
      <c r="F328" s="908"/>
      <c r="G328" s="909"/>
      <c r="H328" s="910"/>
      <c r="I328" s="907"/>
      <c r="J328" s="912"/>
      <c r="K328" s="909"/>
      <c r="L328" s="913"/>
      <c r="M328" s="620"/>
      <c r="N328" s="620"/>
      <c r="O328" s="620"/>
      <c r="P328" s="620"/>
      <c r="Q328" s="620"/>
      <c r="R328" s="620"/>
      <c r="S328" s="620"/>
      <c r="T328" s="620"/>
      <c r="U328" s="620"/>
    </row>
    <row r="329">
      <c r="A329" s="905"/>
      <c r="B329" s="905"/>
      <c r="C329" s="520"/>
      <c r="D329" s="906"/>
      <c r="E329" s="907"/>
      <c r="F329" s="908"/>
      <c r="G329" s="909"/>
      <c r="H329" s="910"/>
      <c r="I329" s="907"/>
      <c r="J329" s="912"/>
      <c r="K329" s="909"/>
      <c r="L329" s="913"/>
      <c r="M329" s="620"/>
      <c r="N329" s="620"/>
      <c r="O329" s="620"/>
      <c r="P329" s="620"/>
      <c r="Q329" s="620"/>
      <c r="R329" s="620"/>
      <c r="S329" s="620"/>
      <c r="T329" s="620"/>
      <c r="U329" s="620"/>
    </row>
    <row r="330">
      <c r="A330" s="905"/>
      <c r="B330" s="905"/>
      <c r="C330" s="520"/>
      <c r="D330" s="906"/>
      <c r="E330" s="907"/>
      <c r="F330" s="908"/>
      <c r="G330" s="909"/>
      <c r="H330" s="910"/>
      <c r="I330" s="907"/>
      <c r="J330" s="912"/>
      <c r="K330" s="909"/>
      <c r="L330" s="913"/>
      <c r="M330" s="620"/>
      <c r="N330" s="620"/>
      <c r="O330" s="620"/>
      <c r="P330" s="620"/>
      <c r="Q330" s="620"/>
      <c r="R330" s="620"/>
      <c r="S330" s="620"/>
      <c r="T330" s="620"/>
      <c r="U330" s="620"/>
    </row>
    <row r="331">
      <c r="A331" s="905"/>
      <c r="B331" s="905"/>
      <c r="C331" s="520"/>
      <c r="D331" s="906"/>
      <c r="E331" s="907"/>
      <c r="F331" s="908"/>
      <c r="G331" s="909"/>
      <c r="H331" s="910"/>
      <c r="I331" s="907"/>
      <c r="J331" s="912"/>
      <c r="K331" s="909"/>
      <c r="L331" s="913"/>
      <c r="M331" s="620"/>
      <c r="N331" s="620"/>
      <c r="O331" s="620"/>
      <c r="P331" s="620"/>
      <c r="Q331" s="620"/>
      <c r="R331" s="620"/>
      <c r="S331" s="620"/>
      <c r="T331" s="620"/>
      <c r="U331" s="620"/>
    </row>
    <row r="332">
      <c r="A332" s="905"/>
      <c r="B332" s="905"/>
      <c r="C332" s="520"/>
      <c r="D332" s="906"/>
      <c r="E332" s="907"/>
      <c r="F332" s="908"/>
      <c r="G332" s="909"/>
      <c r="H332" s="910"/>
      <c r="I332" s="907"/>
      <c r="J332" s="912"/>
      <c r="K332" s="909"/>
      <c r="L332" s="913"/>
      <c r="M332" s="620"/>
      <c r="N332" s="620"/>
      <c r="O332" s="620"/>
      <c r="P332" s="620"/>
      <c r="Q332" s="620"/>
      <c r="R332" s="620"/>
      <c r="S332" s="620"/>
      <c r="T332" s="620"/>
      <c r="U332" s="620"/>
    </row>
    <row r="333">
      <c r="A333" s="905"/>
      <c r="B333" s="905"/>
      <c r="C333" s="520"/>
      <c r="D333" s="906"/>
      <c r="E333" s="907"/>
      <c r="F333" s="908"/>
      <c r="G333" s="909"/>
      <c r="H333" s="910"/>
      <c r="I333" s="907"/>
      <c r="J333" s="912"/>
      <c r="K333" s="909"/>
      <c r="L333" s="913"/>
      <c r="M333" s="620"/>
      <c r="N333" s="620"/>
      <c r="O333" s="620"/>
      <c r="P333" s="620"/>
      <c r="Q333" s="620"/>
      <c r="R333" s="620"/>
      <c r="S333" s="620"/>
      <c r="T333" s="620"/>
      <c r="U333" s="620"/>
    </row>
    <row r="334">
      <c r="A334" s="905"/>
      <c r="B334" s="905"/>
      <c r="C334" s="520"/>
      <c r="D334" s="906"/>
      <c r="E334" s="907"/>
      <c r="F334" s="908"/>
      <c r="G334" s="909"/>
      <c r="H334" s="910"/>
      <c r="I334" s="907"/>
      <c r="J334" s="912"/>
      <c r="K334" s="909"/>
      <c r="L334" s="913"/>
      <c r="M334" s="620"/>
      <c r="N334" s="620"/>
      <c r="O334" s="620"/>
      <c r="P334" s="620"/>
      <c r="Q334" s="620"/>
      <c r="R334" s="620"/>
      <c r="S334" s="620"/>
      <c r="T334" s="620"/>
      <c r="U334" s="620"/>
    </row>
    <row r="335">
      <c r="A335" s="905"/>
      <c r="B335" s="905"/>
      <c r="C335" s="520"/>
      <c r="D335" s="906"/>
      <c r="E335" s="907"/>
      <c r="F335" s="908"/>
      <c r="G335" s="909"/>
      <c r="H335" s="910"/>
      <c r="I335" s="907"/>
      <c r="J335" s="912"/>
      <c r="K335" s="909"/>
      <c r="L335" s="913"/>
      <c r="M335" s="620"/>
      <c r="N335" s="620"/>
      <c r="O335" s="620"/>
      <c r="P335" s="620"/>
      <c r="Q335" s="620"/>
      <c r="R335" s="620"/>
      <c r="S335" s="620"/>
      <c r="T335" s="620"/>
      <c r="U335" s="620"/>
    </row>
    <row r="336">
      <c r="A336" s="905"/>
      <c r="B336" s="905"/>
      <c r="C336" s="520"/>
      <c r="D336" s="906"/>
      <c r="E336" s="907"/>
      <c r="F336" s="908"/>
      <c r="G336" s="909"/>
      <c r="H336" s="910"/>
      <c r="I336" s="907"/>
      <c r="J336" s="912"/>
      <c r="K336" s="909"/>
      <c r="L336" s="913"/>
      <c r="M336" s="620"/>
      <c r="N336" s="620"/>
      <c r="O336" s="620"/>
      <c r="P336" s="620"/>
      <c r="Q336" s="620"/>
      <c r="R336" s="620"/>
      <c r="S336" s="620"/>
      <c r="T336" s="620"/>
      <c r="U336" s="620"/>
    </row>
    <row r="337">
      <c r="A337" s="905"/>
      <c r="B337" s="905"/>
      <c r="C337" s="520"/>
      <c r="D337" s="906"/>
      <c r="E337" s="907"/>
      <c r="F337" s="908"/>
      <c r="G337" s="909"/>
      <c r="H337" s="910"/>
      <c r="I337" s="907"/>
      <c r="J337" s="912"/>
      <c r="K337" s="909"/>
      <c r="L337" s="913"/>
      <c r="M337" s="620"/>
      <c r="N337" s="620"/>
      <c r="O337" s="620"/>
      <c r="P337" s="620"/>
      <c r="Q337" s="620"/>
      <c r="R337" s="620"/>
      <c r="S337" s="620"/>
      <c r="T337" s="620"/>
      <c r="U337" s="620"/>
    </row>
    <row r="338">
      <c r="A338" s="905"/>
      <c r="B338" s="905"/>
      <c r="C338" s="520"/>
      <c r="D338" s="906"/>
      <c r="E338" s="907"/>
      <c r="F338" s="908"/>
      <c r="G338" s="909"/>
      <c r="H338" s="910"/>
      <c r="I338" s="907"/>
      <c r="J338" s="912"/>
      <c r="K338" s="909"/>
      <c r="L338" s="913"/>
      <c r="M338" s="620"/>
      <c r="N338" s="620"/>
      <c r="O338" s="620"/>
      <c r="P338" s="620"/>
      <c r="Q338" s="620"/>
      <c r="R338" s="620"/>
      <c r="S338" s="620"/>
      <c r="T338" s="620"/>
      <c r="U338" s="620"/>
    </row>
    <row r="339">
      <c r="A339" s="905"/>
      <c r="B339" s="905"/>
      <c r="C339" s="520"/>
      <c r="D339" s="906"/>
      <c r="E339" s="907"/>
      <c r="F339" s="908"/>
      <c r="G339" s="909"/>
      <c r="H339" s="910"/>
      <c r="I339" s="907"/>
      <c r="J339" s="912"/>
      <c r="K339" s="909"/>
      <c r="L339" s="913"/>
      <c r="M339" s="620"/>
      <c r="N339" s="620"/>
      <c r="O339" s="620"/>
      <c r="P339" s="620"/>
      <c r="Q339" s="620"/>
      <c r="R339" s="620"/>
      <c r="S339" s="620"/>
      <c r="T339" s="620"/>
      <c r="U339" s="620"/>
    </row>
    <row r="340">
      <c r="A340" s="905"/>
      <c r="B340" s="905"/>
      <c r="C340" s="520"/>
      <c r="D340" s="906"/>
      <c r="E340" s="907"/>
      <c r="F340" s="908"/>
      <c r="G340" s="909"/>
      <c r="H340" s="910"/>
      <c r="I340" s="907"/>
      <c r="J340" s="912"/>
      <c r="K340" s="909"/>
      <c r="L340" s="913"/>
      <c r="M340" s="620"/>
      <c r="N340" s="620"/>
      <c r="O340" s="620"/>
      <c r="P340" s="620"/>
      <c r="Q340" s="620"/>
      <c r="R340" s="620"/>
      <c r="S340" s="620"/>
      <c r="T340" s="620"/>
      <c r="U340" s="620"/>
    </row>
    <row r="341">
      <c r="A341" s="905"/>
      <c r="B341" s="905"/>
      <c r="C341" s="520"/>
      <c r="D341" s="906"/>
      <c r="E341" s="907"/>
      <c r="F341" s="908"/>
      <c r="G341" s="909"/>
      <c r="H341" s="910"/>
      <c r="I341" s="907"/>
      <c r="J341" s="912"/>
      <c r="K341" s="909"/>
      <c r="L341" s="913"/>
      <c r="M341" s="620"/>
      <c r="N341" s="620"/>
      <c r="O341" s="620"/>
      <c r="P341" s="620"/>
      <c r="Q341" s="620"/>
      <c r="R341" s="620"/>
      <c r="S341" s="620"/>
      <c r="T341" s="620"/>
      <c r="U341" s="620"/>
    </row>
    <row r="342">
      <c r="A342" s="905"/>
      <c r="B342" s="905"/>
      <c r="C342" s="520"/>
      <c r="D342" s="906"/>
      <c r="E342" s="907"/>
      <c r="F342" s="908"/>
      <c r="G342" s="909"/>
      <c r="H342" s="910"/>
      <c r="I342" s="907"/>
      <c r="J342" s="912"/>
      <c r="K342" s="909"/>
      <c r="L342" s="913"/>
      <c r="M342" s="620"/>
      <c r="N342" s="620"/>
      <c r="O342" s="620"/>
      <c r="P342" s="620"/>
      <c r="Q342" s="620"/>
      <c r="R342" s="620"/>
      <c r="S342" s="620"/>
      <c r="T342" s="620"/>
      <c r="U342" s="620"/>
    </row>
    <row r="343">
      <c r="A343" s="905"/>
      <c r="B343" s="905"/>
      <c r="C343" s="520"/>
      <c r="D343" s="906"/>
      <c r="E343" s="907"/>
      <c r="F343" s="908"/>
      <c r="G343" s="909"/>
      <c r="H343" s="910"/>
      <c r="I343" s="907"/>
      <c r="J343" s="912"/>
      <c r="K343" s="909"/>
      <c r="L343" s="913"/>
      <c r="M343" s="620"/>
      <c r="N343" s="620"/>
      <c r="O343" s="620"/>
      <c r="P343" s="620"/>
      <c r="Q343" s="620"/>
      <c r="R343" s="620"/>
      <c r="S343" s="620"/>
      <c r="T343" s="620"/>
      <c r="U343" s="620"/>
    </row>
    <row r="344">
      <c r="A344" s="905"/>
      <c r="B344" s="905"/>
      <c r="C344" s="520"/>
      <c r="D344" s="906"/>
      <c r="E344" s="907"/>
      <c r="F344" s="908"/>
      <c r="G344" s="909"/>
      <c r="H344" s="910"/>
      <c r="I344" s="907"/>
      <c r="J344" s="912"/>
      <c r="K344" s="909"/>
      <c r="L344" s="913"/>
      <c r="M344" s="620"/>
      <c r="N344" s="620"/>
      <c r="O344" s="620"/>
      <c r="P344" s="620"/>
      <c r="Q344" s="620"/>
      <c r="R344" s="620"/>
      <c r="S344" s="620"/>
      <c r="T344" s="620"/>
      <c r="U344" s="620"/>
    </row>
    <row r="345">
      <c r="A345" s="905"/>
      <c r="B345" s="905"/>
      <c r="C345" s="520"/>
      <c r="D345" s="906"/>
      <c r="E345" s="907"/>
      <c r="F345" s="908"/>
      <c r="G345" s="909"/>
      <c r="H345" s="910"/>
      <c r="I345" s="907"/>
      <c r="J345" s="912"/>
      <c r="K345" s="909"/>
      <c r="L345" s="913"/>
      <c r="M345" s="620"/>
      <c r="N345" s="620"/>
      <c r="O345" s="620"/>
      <c r="P345" s="620"/>
      <c r="Q345" s="620"/>
      <c r="R345" s="620"/>
      <c r="S345" s="620"/>
      <c r="T345" s="620"/>
      <c r="U345" s="620"/>
    </row>
    <row r="346">
      <c r="A346" s="905"/>
      <c r="B346" s="905"/>
      <c r="C346" s="520"/>
      <c r="D346" s="906"/>
      <c r="E346" s="907"/>
      <c r="F346" s="908"/>
      <c r="G346" s="909"/>
      <c r="H346" s="910"/>
      <c r="I346" s="907"/>
      <c r="J346" s="912"/>
      <c r="K346" s="909"/>
      <c r="L346" s="913"/>
      <c r="M346" s="620"/>
      <c r="N346" s="620"/>
      <c r="O346" s="620"/>
      <c r="P346" s="620"/>
      <c r="Q346" s="620"/>
      <c r="R346" s="620"/>
      <c r="S346" s="620"/>
      <c r="T346" s="620"/>
      <c r="U346" s="620"/>
    </row>
    <row r="347">
      <c r="A347" s="905"/>
      <c r="B347" s="905"/>
      <c r="C347" s="520"/>
      <c r="D347" s="906"/>
      <c r="E347" s="907"/>
      <c r="F347" s="908"/>
      <c r="G347" s="909"/>
      <c r="H347" s="910"/>
      <c r="I347" s="907"/>
      <c r="J347" s="912"/>
      <c r="K347" s="909"/>
      <c r="L347" s="913"/>
      <c r="M347" s="620"/>
      <c r="N347" s="620"/>
      <c r="O347" s="620"/>
      <c r="P347" s="620"/>
      <c r="Q347" s="620"/>
      <c r="R347" s="620"/>
      <c r="S347" s="620"/>
      <c r="T347" s="620"/>
      <c r="U347" s="620"/>
    </row>
    <row r="348">
      <c r="A348" s="905"/>
      <c r="B348" s="905"/>
      <c r="C348" s="520"/>
      <c r="D348" s="906"/>
      <c r="E348" s="907"/>
      <c r="F348" s="908"/>
      <c r="G348" s="909"/>
      <c r="H348" s="910"/>
      <c r="I348" s="907"/>
      <c r="J348" s="912"/>
      <c r="K348" s="909"/>
      <c r="L348" s="913"/>
      <c r="M348" s="620"/>
      <c r="N348" s="620"/>
      <c r="O348" s="620"/>
      <c r="P348" s="620"/>
      <c r="Q348" s="620"/>
      <c r="R348" s="620"/>
      <c r="S348" s="620"/>
      <c r="T348" s="620"/>
      <c r="U348" s="620"/>
    </row>
    <row r="349">
      <c r="A349" s="905"/>
      <c r="B349" s="905"/>
      <c r="C349" s="520"/>
      <c r="D349" s="906"/>
      <c r="E349" s="907"/>
      <c r="F349" s="908"/>
      <c r="G349" s="909"/>
      <c r="H349" s="910"/>
      <c r="I349" s="907"/>
      <c r="J349" s="912"/>
      <c r="K349" s="909"/>
      <c r="L349" s="913"/>
      <c r="M349" s="620"/>
      <c r="N349" s="620"/>
      <c r="O349" s="620"/>
      <c r="P349" s="620"/>
      <c r="Q349" s="620"/>
      <c r="R349" s="620"/>
      <c r="S349" s="620"/>
      <c r="T349" s="620"/>
      <c r="U349" s="620"/>
    </row>
    <row r="350">
      <c r="A350" s="905"/>
      <c r="B350" s="905"/>
      <c r="C350" s="520"/>
      <c r="D350" s="906"/>
      <c r="E350" s="907"/>
      <c r="F350" s="908"/>
      <c r="G350" s="909"/>
      <c r="H350" s="910"/>
      <c r="I350" s="907"/>
      <c r="J350" s="912"/>
      <c r="K350" s="909"/>
      <c r="L350" s="913"/>
      <c r="M350" s="620"/>
      <c r="N350" s="620"/>
      <c r="O350" s="620"/>
      <c r="P350" s="620"/>
      <c r="Q350" s="620"/>
      <c r="R350" s="620"/>
      <c r="S350" s="620"/>
      <c r="T350" s="620"/>
      <c r="U350" s="620"/>
    </row>
    <row r="351">
      <c r="A351" s="905"/>
      <c r="B351" s="905"/>
      <c r="C351" s="520"/>
      <c r="D351" s="906"/>
      <c r="E351" s="907"/>
      <c r="F351" s="908"/>
      <c r="G351" s="909"/>
      <c r="H351" s="910"/>
      <c r="I351" s="907"/>
      <c r="J351" s="912"/>
      <c r="K351" s="909"/>
      <c r="L351" s="913"/>
      <c r="M351" s="620"/>
      <c r="N351" s="620"/>
      <c r="O351" s="620"/>
      <c r="P351" s="620"/>
      <c r="Q351" s="620"/>
      <c r="R351" s="620"/>
      <c r="S351" s="620"/>
      <c r="T351" s="620"/>
      <c r="U351" s="620"/>
    </row>
    <row r="352">
      <c r="A352" s="905"/>
      <c r="B352" s="905"/>
      <c r="C352" s="520"/>
      <c r="D352" s="906"/>
      <c r="E352" s="907"/>
      <c r="F352" s="908"/>
      <c r="G352" s="909"/>
      <c r="H352" s="910"/>
      <c r="I352" s="907"/>
      <c r="J352" s="912"/>
      <c r="K352" s="909"/>
      <c r="L352" s="913"/>
      <c r="M352" s="620"/>
      <c r="N352" s="620"/>
      <c r="O352" s="620"/>
      <c r="P352" s="620"/>
      <c r="Q352" s="620"/>
      <c r="R352" s="620"/>
      <c r="S352" s="620"/>
      <c r="T352" s="620"/>
      <c r="U352" s="620"/>
    </row>
    <row r="353">
      <c r="A353" s="905"/>
      <c r="B353" s="905"/>
      <c r="C353" s="520"/>
      <c r="D353" s="906"/>
      <c r="E353" s="907"/>
      <c r="F353" s="908"/>
      <c r="G353" s="909"/>
      <c r="H353" s="910"/>
      <c r="I353" s="907"/>
      <c r="J353" s="912"/>
      <c r="K353" s="909"/>
      <c r="L353" s="913"/>
      <c r="M353" s="620"/>
      <c r="N353" s="620"/>
      <c r="O353" s="620"/>
      <c r="P353" s="620"/>
      <c r="Q353" s="620"/>
      <c r="R353" s="620"/>
      <c r="S353" s="620"/>
      <c r="T353" s="620"/>
      <c r="U353" s="620"/>
    </row>
    <row r="354">
      <c r="A354" s="905"/>
      <c r="B354" s="905"/>
      <c r="C354" s="520"/>
      <c r="D354" s="906"/>
      <c r="E354" s="907"/>
      <c r="F354" s="908"/>
      <c r="G354" s="909"/>
      <c r="H354" s="910"/>
      <c r="I354" s="907"/>
      <c r="J354" s="912"/>
      <c r="K354" s="909"/>
      <c r="L354" s="913"/>
      <c r="M354" s="620"/>
      <c r="N354" s="620"/>
      <c r="O354" s="620"/>
      <c r="P354" s="620"/>
      <c r="Q354" s="620"/>
      <c r="R354" s="620"/>
      <c r="S354" s="620"/>
      <c r="T354" s="620"/>
      <c r="U354" s="620"/>
    </row>
    <row r="355">
      <c r="A355" s="905"/>
      <c r="B355" s="905"/>
      <c r="C355" s="520"/>
      <c r="D355" s="906"/>
      <c r="E355" s="907"/>
      <c r="F355" s="908"/>
      <c r="G355" s="909"/>
      <c r="H355" s="910"/>
      <c r="I355" s="907"/>
      <c r="J355" s="912"/>
      <c r="K355" s="909"/>
      <c r="L355" s="913"/>
      <c r="M355" s="620"/>
      <c r="N355" s="620"/>
      <c r="O355" s="620"/>
      <c r="P355" s="620"/>
      <c r="Q355" s="620"/>
      <c r="R355" s="620"/>
      <c r="S355" s="620"/>
      <c r="T355" s="620"/>
      <c r="U355" s="620"/>
    </row>
    <row r="356">
      <c r="A356" s="905"/>
      <c r="B356" s="905"/>
      <c r="C356" s="520"/>
      <c r="D356" s="906"/>
      <c r="E356" s="907"/>
      <c r="F356" s="908"/>
      <c r="G356" s="909"/>
      <c r="H356" s="910"/>
      <c r="I356" s="907"/>
      <c r="J356" s="912"/>
      <c r="K356" s="909"/>
      <c r="L356" s="913"/>
      <c r="M356" s="620"/>
      <c r="N356" s="620"/>
      <c r="O356" s="620"/>
      <c r="P356" s="620"/>
      <c r="Q356" s="620"/>
      <c r="R356" s="620"/>
      <c r="S356" s="620"/>
      <c r="T356" s="620"/>
      <c r="U356" s="620"/>
    </row>
    <row r="357">
      <c r="A357" s="905"/>
      <c r="B357" s="905"/>
      <c r="C357" s="520"/>
      <c r="D357" s="906"/>
      <c r="E357" s="907"/>
      <c r="F357" s="908"/>
      <c r="G357" s="909"/>
      <c r="H357" s="910"/>
      <c r="I357" s="907"/>
      <c r="J357" s="912"/>
      <c r="K357" s="909"/>
      <c r="L357" s="913"/>
      <c r="M357" s="620"/>
      <c r="N357" s="620"/>
      <c r="O357" s="620"/>
      <c r="P357" s="620"/>
      <c r="Q357" s="620"/>
      <c r="R357" s="620"/>
      <c r="S357" s="620"/>
      <c r="T357" s="620"/>
      <c r="U357" s="620"/>
    </row>
    <row r="358">
      <c r="A358" s="905"/>
      <c r="B358" s="905"/>
      <c r="C358" s="520"/>
      <c r="D358" s="906"/>
      <c r="E358" s="907"/>
      <c r="F358" s="908"/>
      <c r="G358" s="909"/>
      <c r="H358" s="910"/>
      <c r="I358" s="907"/>
      <c r="J358" s="912"/>
      <c r="K358" s="909"/>
      <c r="L358" s="913"/>
      <c r="M358" s="620"/>
      <c r="N358" s="620"/>
      <c r="O358" s="620"/>
      <c r="P358" s="620"/>
      <c r="Q358" s="620"/>
      <c r="R358" s="620"/>
      <c r="S358" s="620"/>
      <c r="T358" s="620"/>
      <c r="U358" s="620"/>
    </row>
    <row r="359">
      <c r="A359" s="905"/>
      <c r="B359" s="905"/>
      <c r="C359" s="520"/>
      <c r="D359" s="906"/>
      <c r="E359" s="907"/>
      <c r="F359" s="908"/>
      <c r="G359" s="909"/>
      <c r="H359" s="910"/>
      <c r="I359" s="907"/>
      <c r="J359" s="912"/>
      <c r="K359" s="909"/>
      <c r="L359" s="913"/>
      <c r="M359" s="620"/>
      <c r="N359" s="620"/>
      <c r="O359" s="620"/>
      <c r="P359" s="620"/>
      <c r="Q359" s="620"/>
      <c r="R359" s="620"/>
      <c r="S359" s="620"/>
      <c r="T359" s="620"/>
      <c r="U359" s="620"/>
    </row>
    <row r="360">
      <c r="A360" s="905"/>
      <c r="B360" s="905"/>
      <c r="C360" s="520"/>
      <c r="D360" s="906"/>
      <c r="E360" s="907"/>
      <c r="F360" s="908"/>
      <c r="G360" s="909"/>
      <c r="H360" s="910"/>
      <c r="I360" s="907"/>
      <c r="J360" s="912"/>
      <c r="K360" s="909"/>
      <c r="L360" s="913"/>
      <c r="M360" s="620"/>
      <c r="N360" s="620"/>
      <c r="O360" s="620"/>
      <c r="P360" s="620"/>
      <c r="Q360" s="620"/>
      <c r="R360" s="620"/>
      <c r="S360" s="620"/>
      <c r="T360" s="620"/>
      <c r="U360" s="620"/>
    </row>
    <row r="361">
      <c r="A361" s="905"/>
      <c r="B361" s="905"/>
      <c r="C361" s="520"/>
      <c r="D361" s="906"/>
      <c r="E361" s="907"/>
      <c r="F361" s="908"/>
      <c r="G361" s="909"/>
      <c r="H361" s="910"/>
      <c r="I361" s="907"/>
      <c r="J361" s="912"/>
      <c r="K361" s="909"/>
      <c r="L361" s="913"/>
      <c r="M361" s="620"/>
      <c r="N361" s="620"/>
      <c r="O361" s="620"/>
      <c r="P361" s="620"/>
      <c r="Q361" s="620"/>
      <c r="R361" s="620"/>
      <c r="S361" s="620"/>
      <c r="T361" s="620"/>
      <c r="U361" s="620"/>
    </row>
    <row r="362">
      <c r="A362" s="905"/>
      <c r="B362" s="905"/>
      <c r="C362" s="520"/>
      <c r="D362" s="906"/>
      <c r="E362" s="907"/>
      <c r="F362" s="908"/>
      <c r="G362" s="909"/>
      <c r="H362" s="910"/>
      <c r="I362" s="907"/>
      <c r="J362" s="912"/>
      <c r="K362" s="909"/>
      <c r="L362" s="913"/>
      <c r="M362" s="620"/>
      <c r="N362" s="620"/>
      <c r="O362" s="620"/>
      <c r="P362" s="620"/>
      <c r="Q362" s="620"/>
      <c r="R362" s="620"/>
      <c r="S362" s="620"/>
      <c r="T362" s="620"/>
      <c r="U362" s="620"/>
    </row>
    <row r="363">
      <c r="A363" s="905"/>
      <c r="B363" s="905"/>
      <c r="C363" s="520"/>
      <c r="D363" s="906"/>
      <c r="E363" s="907"/>
      <c r="F363" s="908"/>
      <c r="G363" s="909"/>
      <c r="H363" s="910"/>
      <c r="I363" s="907"/>
      <c r="J363" s="912"/>
      <c r="K363" s="909"/>
      <c r="L363" s="913"/>
      <c r="M363" s="620"/>
      <c r="N363" s="620"/>
      <c r="O363" s="620"/>
      <c r="P363" s="620"/>
      <c r="Q363" s="620"/>
      <c r="R363" s="620"/>
      <c r="S363" s="620"/>
      <c r="T363" s="620"/>
      <c r="U363" s="620"/>
    </row>
    <row r="364">
      <c r="A364" s="905"/>
      <c r="B364" s="905"/>
      <c r="C364" s="520"/>
      <c r="D364" s="906"/>
      <c r="E364" s="907"/>
      <c r="F364" s="908"/>
      <c r="G364" s="909"/>
      <c r="H364" s="910"/>
      <c r="I364" s="907"/>
      <c r="J364" s="912"/>
      <c r="K364" s="909"/>
      <c r="L364" s="913"/>
      <c r="M364" s="620"/>
      <c r="N364" s="620"/>
      <c r="O364" s="620"/>
      <c r="P364" s="620"/>
      <c r="Q364" s="620"/>
      <c r="R364" s="620"/>
      <c r="S364" s="620"/>
      <c r="T364" s="620"/>
      <c r="U364" s="620"/>
    </row>
    <row r="365">
      <c r="A365" s="905"/>
      <c r="B365" s="905"/>
      <c r="C365" s="520"/>
      <c r="D365" s="906"/>
      <c r="E365" s="907"/>
      <c r="F365" s="908"/>
      <c r="G365" s="909"/>
      <c r="H365" s="910"/>
      <c r="I365" s="907"/>
      <c r="J365" s="912"/>
      <c r="K365" s="909"/>
      <c r="L365" s="913"/>
      <c r="M365" s="620"/>
      <c r="N365" s="620"/>
      <c r="O365" s="620"/>
      <c r="P365" s="620"/>
      <c r="Q365" s="620"/>
      <c r="R365" s="620"/>
      <c r="S365" s="620"/>
      <c r="T365" s="620"/>
      <c r="U365" s="620"/>
    </row>
    <row r="366">
      <c r="A366" s="905"/>
      <c r="B366" s="905"/>
      <c r="C366" s="520"/>
      <c r="D366" s="906"/>
      <c r="E366" s="907"/>
      <c r="F366" s="908"/>
      <c r="G366" s="909"/>
      <c r="H366" s="910"/>
      <c r="I366" s="907"/>
      <c r="J366" s="912"/>
      <c r="K366" s="909"/>
      <c r="L366" s="913"/>
      <c r="M366" s="620"/>
      <c r="N366" s="620"/>
      <c r="O366" s="620"/>
      <c r="P366" s="620"/>
      <c r="Q366" s="620"/>
      <c r="R366" s="620"/>
      <c r="S366" s="620"/>
      <c r="T366" s="620"/>
      <c r="U366" s="620"/>
    </row>
    <row r="367">
      <c r="A367" s="905"/>
      <c r="B367" s="905"/>
      <c r="C367" s="520"/>
      <c r="D367" s="906"/>
      <c r="E367" s="907"/>
      <c r="F367" s="908"/>
      <c r="G367" s="909"/>
      <c r="H367" s="910"/>
      <c r="I367" s="907"/>
      <c r="J367" s="912"/>
      <c r="K367" s="909"/>
      <c r="L367" s="913"/>
      <c r="M367" s="620"/>
      <c r="N367" s="620"/>
      <c r="O367" s="620"/>
      <c r="P367" s="620"/>
      <c r="Q367" s="620"/>
      <c r="R367" s="620"/>
      <c r="S367" s="620"/>
      <c r="T367" s="620"/>
      <c r="U367" s="620"/>
    </row>
    <row r="368">
      <c r="A368" s="905"/>
      <c r="B368" s="905"/>
      <c r="C368" s="520"/>
      <c r="D368" s="906"/>
      <c r="E368" s="907"/>
      <c r="F368" s="908"/>
      <c r="G368" s="909"/>
      <c r="H368" s="910"/>
      <c r="I368" s="907"/>
      <c r="J368" s="912"/>
      <c r="K368" s="909"/>
      <c r="L368" s="913"/>
      <c r="M368" s="620"/>
      <c r="N368" s="620"/>
      <c r="O368" s="620"/>
      <c r="P368" s="620"/>
      <c r="Q368" s="620"/>
      <c r="R368" s="620"/>
      <c r="S368" s="620"/>
      <c r="T368" s="620"/>
      <c r="U368" s="620"/>
    </row>
    <row r="369">
      <c r="A369" s="905"/>
      <c r="B369" s="905"/>
      <c r="C369" s="520"/>
      <c r="D369" s="906"/>
      <c r="E369" s="907"/>
      <c r="F369" s="908"/>
      <c r="G369" s="909"/>
      <c r="H369" s="910"/>
      <c r="I369" s="907"/>
      <c r="J369" s="912"/>
      <c r="K369" s="909"/>
      <c r="L369" s="913"/>
      <c r="M369" s="620"/>
      <c r="N369" s="620"/>
      <c r="O369" s="620"/>
      <c r="P369" s="620"/>
      <c r="Q369" s="620"/>
      <c r="R369" s="620"/>
      <c r="S369" s="620"/>
      <c r="T369" s="620"/>
      <c r="U369" s="620"/>
    </row>
    <row r="370">
      <c r="A370" s="905"/>
      <c r="B370" s="905"/>
      <c r="C370" s="520"/>
      <c r="D370" s="906"/>
      <c r="E370" s="907"/>
      <c r="F370" s="908"/>
      <c r="G370" s="909"/>
      <c r="H370" s="910"/>
      <c r="I370" s="907"/>
      <c r="J370" s="912"/>
      <c r="K370" s="909"/>
      <c r="L370" s="913"/>
      <c r="M370" s="620"/>
      <c r="N370" s="620"/>
      <c r="O370" s="620"/>
      <c r="P370" s="620"/>
      <c r="Q370" s="620"/>
      <c r="R370" s="620"/>
      <c r="S370" s="620"/>
      <c r="T370" s="620"/>
      <c r="U370" s="620"/>
    </row>
    <row r="371">
      <c r="A371" s="905"/>
      <c r="B371" s="905"/>
      <c r="C371" s="520"/>
      <c r="D371" s="906"/>
      <c r="E371" s="907"/>
      <c r="F371" s="908"/>
      <c r="G371" s="909"/>
      <c r="H371" s="910"/>
      <c r="I371" s="907"/>
      <c r="J371" s="912"/>
      <c r="K371" s="909"/>
      <c r="L371" s="913"/>
      <c r="M371" s="620"/>
      <c r="N371" s="620"/>
      <c r="O371" s="620"/>
      <c r="P371" s="620"/>
      <c r="Q371" s="620"/>
      <c r="R371" s="620"/>
      <c r="S371" s="620"/>
      <c r="T371" s="620"/>
      <c r="U371" s="620"/>
    </row>
    <row r="372">
      <c r="A372" s="905"/>
      <c r="B372" s="905"/>
      <c r="C372" s="520"/>
      <c r="D372" s="906"/>
      <c r="E372" s="907"/>
      <c r="F372" s="908"/>
      <c r="G372" s="909"/>
      <c r="H372" s="910"/>
      <c r="I372" s="907"/>
      <c r="J372" s="912"/>
      <c r="K372" s="909"/>
      <c r="L372" s="913"/>
      <c r="M372" s="620"/>
      <c r="N372" s="620"/>
      <c r="O372" s="620"/>
      <c r="P372" s="620"/>
      <c r="Q372" s="620"/>
      <c r="R372" s="620"/>
      <c r="S372" s="620"/>
      <c r="T372" s="620"/>
      <c r="U372" s="620"/>
    </row>
    <row r="373">
      <c r="A373" s="905"/>
      <c r="B373" s="905"/>
      <c r="C373" s="520"/>
      <c r="D373" s="906"/>
      <c r="E373" s="907"/>
      <c r="F373" s="908"/>
      <c r="G373" s="909"/>
      <c r="H373" s="910"/>
      <c r="I373" s="907"/>
      <c r="J373" s="912"/>
      <c r="K373" s="909"/>
      <c r="L373" s="913"/>
      <c r="M373" s="620"/>
      <c r="N373" s="620"/>
      <c r="O373" s="620"/>
      <c r="P373" s="620"/>
      <c r="Q373" s="620"/>
      <c r="R373" s="620"/>
      <c r="S373" s="620"/>
      <c r="T373" s="620"/>
      <c r="U373" s="620"/>
    </row>
    <row r="374">
      <c r="A374" s="905"/>
      <c r="B374" s="905"/>
      <c r="C374" s="520"/>
      <c r="D374" s="906"/>
      <c r="E374" s="907"/>
      <c r="F374" s="908"/>
      <c r="G374" s="909"/>
      <c r="H374" s="910"/>
      <c r="I374" s="907"/>
      <c r="J374" s="912"/>
      <c r="K374" s="909"/>
      <c r="L374" s="913"/>
      <c r="M374" s="620"/>
      <c r="N374" s="620"/>
      <c r="O374" s="620"/>
      <c r="P374" s="620"/>
      <c r="Q374" s="620"/>
      <c r="R374" s="620"/>
      <c r="S374" s="620"/>
      <c r="T374" s="620"/>
      <c r="U374" s="620"/>
    </row>
    <row r="375">
      <c r="A375" s="905"/>
      <c r="B375" s="905"/>
      <c r="C375" s="520"/>
      <c r="D375" s="906"/>
      <c r="E375" s="907"/>
      <c r="F375" s="908"/>
      <c r="G375" s="909"/>
      <c r="H375" s="910"/>
      <c r="I375" s="907"/>
      <c r="J375" s="912"/>
      <c r="K375" s="909"/>
      <c r="L375" s="913"/>
      <c r="M375" s="620"/>
      <c r="N375" s="620"/>
      <c r="O375" s="620"/>
      <c r="P375" s="620"/>
      <c r="Q375" s="620"/>
      <c r="R375" s="620"/>
      <c r="S375" s="620"/>
      <c r="T375" s="620"/>
      <c r="U375" s="620"/>
    </row>
    <row r="376">
      <c r="A376" s="905"/>
      <c r="B376" s="905"/>
      <c r="C376" s="520"/>
      <c r="D376" s="906"/>
      <c r="E376" s="907"/>
      <c r="F376" s="908"/>
      <c r="G376" s="909"/>
      <c r="H376" s="910"/>
      <c r="I376" s="907"/>
      <c r="J376" s="912"/>
      <c r="K376" s="909"/>
      <c r="L376" s="913"/>
      <c r="M376" s="620"/>
      <c r="N376" s="620"/>
      <c r="O376" s="620"/>
      <c r="P376" s="620"/>
      <c r="Q376" s="620"/>
      <c r="R376" s="620"/>
      <c r="S376" s="620"/>
      <c r="T376" s="620"/>
      <c r="U376" s="620"/>
    </row>
    <row r="377">
      <c r="A377" s="905"/>
      <c r="B377" s="905"/>
      <c r="C377" s="520"/>
      <c r="D377" s="906"/>
      <c r="E377" s="907"/>
      <c r="F377" s="908"/>
      <c r="G377" s="909"/>
      <c r="H377" s="910"/>
      <c r="I377" s="907"/>
      <c r="J377" s="912"/>
      <c r="K377" s="909"/>
      <c r="L377" s="913"/>
      <c r="M377" s="620"/>
      <c r="N377" s="620"/>
      <c r="O377" s="620"/>
      <c r="P377" s="620"/>
      <c r="Q377" s="620"/>
      <c r="R377" s="620"/>
      <c r="S377" s="620"/>
      <c r="T377" s="620"/>
      <c r="U377" s="620"/>
    </row>
    <row r="378">
      <c r="A378" s="905"/>
      <c r="B378" s="905"/>
      <c r="C378" s="520"/>
      <c r="D378" s="906"/>
      <c r="E378" s="907"/>
      <c r="F378" s="908"/>
      <c r="G378" s="909"/>
      <c r="H378" s="910"/>
      <c r="I378" s="907"/>
      <c r="J378" s="912"/>
      <c r="K378" s="909"/>
      <c r="L378" s="913"/>
      <c r="M378" s="620"/>
      <c r="N378" s="620"/>
      <c r="O378" s="620"/>
      <c r="P378" s="620"/>
      <c r="Q378" s="620"/>
      <c r="R378" s="620"/>
      <c r="S378" s="620"/>
      <c r="T378" s="620"/>
      <c r="U378" s="620"/>
    </row>
    <row r="379">
      <c r="A379" s="905"/>
      <c r="B379" s="905"/>
      <c r="C379" s="520"/>
      <c r="D379" s="906"/>
      <c r="E379" s="907"/>
      <c r="F379" s="908"/>
      <c r="G379" s="909"/>
      <c r="H379" s="910"/>
      <c r="I379" s="907"/>
      <c r="J379" s="912"/>
      <c r="K379" s="909"/>
      <c r="L379" s="913"/>
      <c r="M379" s="620"/>
      <c r="N379" s="620"/>
      <c r="O379" s="620"/>
      <c r="P379" s="620"/>
      <c r="Q379" s="620"/>
      <c r="R379" s="620"/>
      <c r="S379" s="620"/>
      <c r="T379" s="620"/>
      <c r="U379" s="620"/>
    </row>
    <row r="380">
      <c r="A380" s="905"/>
      <c r="B380" s="905"/>
      <c r="C380" s="520"/>
      <c r="D380" s="906"/>
      <c r="E380" s="907"/>
      <c r="F380" s="908"/>
      <c r="G380" s="909"/>
      <c r="H380" s="910"/>
      <c r="I380" s="907"/>
      <c r="J380" s="912"/>
      <c r="K380" s="909"/>
      <c r="L380" s="913"/>
      <c r="M380" s="620"/>
      <c r="N380" s="620"/>
      <c r="O380" s="620"/>
      <c r="P380" s="620"/>
      <c r="Q380" s="620"/>
      <c r="R380" s="620"/>
      <c r="S380" s="620"/>
      <c r="T380" s="620"/>
      <c r="U380" s="620"/>
    </row>
    <row r="381">
      <c r="A381" s="905"/>
      <c r="B381" s="905"/>
      <c r="C381" s="520"/>
      <c r="D381" s="906"/>
      <c r="E381" s="907"/>
      <c r="F381" s="908"/>
      <c r="G381" s="909"/>
      <c r="H381" s="910"/>
      <c r="I381" s="907"/>
      <c r="J381" s="912"/>
      <c r="K381" s="909"/>
      <c r="L381" s="913"/>
      <c r="M381" s="620"/>
      <c r="N381" s="620"/>
      <c r="O381" s="620"/>
      <c r="P381" s="620"/>
      <c r="Q381" s="620"/>
      <c r="R381" s="620"/>
      <c r="S381" s="620"/>
      <c r="T381" s="620"/>
      <c r="U381" s="620"/>
    </row>
    <row r="382">
      <c r="A382" s="905"/>
      <c r="B382" s="905"/>
      <c r="C382" s="520"/>
      <c r="D382" s="906"/>
      <c r="E382" s="907"/>
      <c r="F382" s="908"/>
      <c r="G382" s="909"/>
      <c r="H382" s="910"/>
      <c r="I382" s="907"/>
      <c r="J382" s="912"/>
      <c r="K382" s="909"/>
      <c r="L382" s="913"/>
      <c r="M382" s="620"/>
      <c r="N382" s="620"/>
      <c r="O382" s="620"/>
      <c r="P382" s="620"/>
      <c r="Q382" s="620"/>
      <c r="R382" s="620"/>
      <c r="S382" s="620"/>
      <c r="T382" s="620"/>
      <c r="U382" s="620"/>
    </row>
    <row r="383">
      <c r="A383" s="905"/>
      <c r="B383" s="905"/>
      <c r="C383" s="520"/>
      <c r="D383" s="906"/>
      <c r="E383" s="907"/>
      <c r="F383" s="908"/>
      <c r="G383" s="909"/>
      <c r="H383" s="910"/>
      <c r="I383" s="907"/>
      <c r="J383" s="912"/>
      <c r="K383" s="909"/>
      <c r="L383" s="913"/>
      <c r="M383" s="620"/>
      <c r="N383" s="620"/>
      <c r="O383" s="620"/>
      <c r="P383" s="620"/>
      <c r="Q383" s="620"/>
      <c r="R383" s="620"/>
      <c r="S383" s="620"/>
      <c r="T383" s="620"/>
      <c r="U383" s="620"/>
    </row>
    <row r="384">
      <c r="A384" s="905"/>
      <c r="B384" s="905"/>
      <c r="C384" s="520"/>
      <c r="D384" s="906"/>
      <c r="E384" s="907"/>
      <c r="F384" s="908"/>
      <c r="G384" s="909"/>
      <c r="H384" s="910"/>
      <c r="I384" s="907"/>
      <c r="J384" s="912"/>
      <c r="K384" s="909"/>
      <c r="L384" s="913"/>
      <c r="M384" s="620"/>
      <c r="N384" s="620"/>
      <c r="O384" s="620"/>
      <c r="P384" s="620"/>
      <c r="Q384" s="620"/>
      <c r="R384" s="620"/>
      <c r="S384" s="620"/>
      <c r="T384" s="620"/>
      <c r="U384" s="620"/>
    </row>
    <row r="385">
      <c r="A385" s="905"/>
      <c r="B385" s="905"/>
      <c r="C385" s="520"/>
      <c r="D385" s="906"/>
      <c r="E385" s="907"/>
      <c r="F385" s="908"/>
      <c r="G385" s="909"/>
      <c r="H385" s="910"/>
      <c r="I385" s="907"/>
      <c r="J385" s="912"/>
      <c r="K385" s="909"/>
      <c r="L385" s="913"/>
      <c r="M385" s="620"/>
      <c r="N385" s="620"/>
      <c r="O385" s="620"/>
      <c r="P385" s="620"/>
      <c r="Q385" s="620"/>
      <c r="R385" s="620"/>
      <c r="S385" s="620"/>
      <c r="T385" s="620"/>
      <c r="U385" s="620"/>
    </row>
    <row r="386">
      <c r="A386" s="905"/>
      <c r="B386" s="905"/>
      <c r="C386" s="520"/>
      <c r="D386" s="906"/>
      <c r="E386" s="907"/>
      <c r="F386" s="908"/>
      <c r="G386" s="909"/>
      <c r="H386" s="910"/>
      <c r="I386" s="907"/>
      <c r="J386" s="912"/>
      <c r="K386" s="909"/>
      <c r="L386" s="913"/>
      <c r="M386" s="620"/>
      <c r="N386" s="620"/>
      <c r="O386" s="620"/>
      <c r="P386" s="620"/>
      <c r="Q386" s="620"/>
      <c r="R386" s="620"/>
      <c r="S386" s="620"/>
      <c r="T386" s="620"/>
      <c r="U386" s="620"/>
    </row>
    <row r="387">
      <c r="A387" s="905"/>
      <c r="B387" s="905"/>
      <c r="C387" s="520"/>
      <c r="D387" s="906"/>
      <c r="E387" s="907"/>
      <c r="F387" s="908"/>
      <c r="G387" s="909"/>
      <c r="H387" s="910"/>
      <c r="I387" s="907"/>
      <c r="J387" s="912"/>
      <c r="K387" s="909"/>
      <c r="L387" s="913"/>
      <c r="M387" s="620"/>
      <c r="N387" s="620"/>
      <c r="O387" s="620"/>
      <c r="P387" s="620"/>
      <c r="Q387" s="620"/>
      <c r="R387" s="620"/>
      <c r="S387" s="620"/>
      <c r="T387" s="620"/>
      <c r="U387" s="620"/>
    </row>
    <row r="388">
      <c r="A388" s="905"/>
      <c r="B388" s="905"/>
      <c r="C388" s="520"/>
      <c r="D388" s="906"/>
      <c r="E388" s="907"/>
      <c r="F388" s="908"/>
      <c r="G388" s="909"/>
      <c r="H388" s="910"/>
      <c r="I388" s="907"/>
      <c r="J388" s="912"/>
      <c r="K388" s="909"/>
      <c r="L388" s="913"/>
      <c r="M388" s="620"/>
      <c r="N388" s="620"/>
      <c r="O388" s="620"/>
      <c r="P388" s="620"/>
      <c r="Q388" s="620"/>
      <c r="R388" s="620"/>
      <c r="S388" s="620"/>
      <c r="T388" s="620"/>
      <c r="U388" s="620"/>
    </row>
    <row r="389">
      <c r="A389" s="905"/>
      <c r="B389" s="905"/>
      <c r="C389" s="520"/>
      <c r="D389" s="906"/>
      <c r="E389" s="907"/>
      <c r="F389" s="908"/>
      <c r="G389" s="909"/>
      <c r="H389" s="910"/>
      <c r="I389" s="907"/>
      <c r="J389" s="912"/>
      <c r="K389" s="909"/>
      <c r="L389" s="913"/>
      <c r="M389" s="620"/>
      <c r="N389" s="620"/>
      <c r="O389" s="620"/>
      <c r="P389" s="620"/>
      <c r="Q389" s="620"/>
      <c r="R389" s="620"/>
      <c r="S389" s="620"/>
      <c r="T389" s="620"/>
      <c r="U389" s="620"/>
    </row>
    <row r="390">
      <c r="A390" s="905"/>
      <c r="B390" s="905"/>
      <c r="C390" s="520"/>
      <c r="D390" s="906"/>
      <c r="E390" s="907"/>
      <c r="F390" s="908"/>
      <c r="G390" s="909"/>
      <c r="H390" s="910"/>
      <c r="I390" s="907"/>
      <c r="J390" s="912"/>
      <c r="K390" s="909"/>
      <c r="L390" s="913"/>
      <c r="M390" s="620"/>
      <c r="N390" s="620"/>
      <c r="O390" s="620"/>
      <c r="P390" s="620"/>
      <c r="Q390" s="620"/>
      <c r="R390" s="620"/>
      <c r="S390" s="620"/>
      <c r="T390" s="620"/>
      <c r="U390" s="620"/>
    </row>
    <row r="391">
      <c r="A391" s="905"/>
      <c r="B391" s="905"/>
      <c r="C391" s="520"/>
      <c r="D391" s="906"/>
      <c r="E391" s="907"/>
      <c r="F391" s="908"/>
      <c r="G391" s="909"/>
      <c r="H391" s="910"/>
      <c r="I391" s="907"/>
      <c r="J391" s="912"/>
      <c r="K391" s="909"/>
      <c r="L391" s="913"/>
      <c r="M391" s="620"/>
      <c r="N391" s="620"/>
      <c r="O391" s="620"/>
      <c r="P391" s="620"/>
      <c r="Q391" s="620"/>
      <c r="R391" s="620"/>
      <c r="S391" s="620"/>
      <c r="T391" s="620"/>
      <c r="U391" s="620"/>
    </row>
    <row r="392">
      <c r="A392" s="905"/>
      <c r="B392" s="905"/>
      <c r="C392" s="520"/>
      <c r="D392" s="906"/>
      <c r="E392" s="907"/>
      <c r="F392" s="908"/>
      <c r="G392" s="909"/>
      <c r="H392" s="910"/>
      <c r="I392" s="907"/>
      <c r="J392" s="912"/>
      <c r="K392" s="909"/>
      <c r="L392" s="913"/>
      <c r="M392" s="620"/>
      <c r="N392" s="620"/>
      <c r="O392" s="620"/>
      <c r="P392" s="620"/>
      <c r="Q392" s="620"/>
      <c r="R392" s="620"/>
      <c r="S392" s="620"/>
      <c r="T392" s="620"/>
      <c r="U392" s="620"/>
    </row>
    <row r="393">
      <c r="A393" s="905"/>
      <c r="B393" s="905"/>
      <c r="C393" s="520"/>
      <c r="D393" s="906"/>
      <c r="E393" s="907"/>
      <c r="F393" s="908"/>
      <c r="G393" s="909"/>
      <c r="H393" s="910"/>
      <c r="I393" s="907"/>
      <c r="J393" s="912"/>
      <c r="K393" s="909"/>
      <c r="L393" s="913"/>
      <c r="M393" s="620"/>
      <c r="N393" s="620"/>
      <c r="O393" s="620"/>
      <c r="P393" s="620"/>
      <c r="Q393" s="620"/>
      <c r="R393" s="620"/>
      <c r="S393" s="620"/>
      <c r="T393" s="620"/>
      <c r="U393" s="620"/>
    </row>
    <row r="394">
      <c r="A394" s="905"/>
      <c r="B394" s="905"/>
      <c r="C394" s="520"/>
      <c r="D394" s="906"/>
      <c r="E394" s="907"/>
      <c r="F394" s="908"/>
      <c r="G394" s="909"/>
      <c r="H394" s="910"/>
      <c r="I394" s="907"/>
      <c r="J394" s="912"/>
      <c r="K394" s="909"/>
      <c r="L394" s="913"/>
      <c r="M394" s="620"/>
      <c r="N394" s="620"/>
      <c r="O394" s="620"/>
      <c r="P394" s="620"/>
      <c r="Q394" s="620"/>
      <c r="R394" s="620"/>
      <c r="S394" s="620"/>
      <c r="T394" s="620"/>
      <c r="U394" s="620"/>
    </row>
    <row r="395">
      <c r="A395" s="905"/>
      <c r="B395" s="905"/>
      <c r="C395" s="520"/>
      <c r="D395" s="906"/>
      <c r="E395" s="907"/>
      <c r="F395" s="908"/>
      <c r="G395" s="909"/>
      <c r="H395" s="910"/>
      <c r="I395" s="907"/>
      <c r="J395" s="912"/>
      <c r="K395" s="909"/>
      <c r="L395" s="913"/>
      <c r="M395" s="620"/>
      <c r="N395" s="620"/>
      <c r="O395" s="620"/>
      <c r="P395" s="620"/>
      <c r="Q395" s="620"/>
      <c r="R395" s="620"/>
      <c r="S395" s="620"/>
      <c r="T395" s="620"/>
      <c r="U395" s="620"/>
    </row>
    <row r="396">
      <c r="A396" s="905"/>
      <c r="B396" s="905"/>
      <c r="C396" s="520"/>
      <c r="D396" s="906"/>
      <c r="E396" s="907"/>
      <c r="F396" s="908"/>
      <c r="G396" s="909"/>
      <c r="H396" s="910"/>
      <c r="I396" s="907"/>
      <c r="J396" s="912"/>
      <c r="K396" s="909"/>
      <c r="L396" s="913"/>
      <c r="M396" s="620"/>
      <c r="N396" s="620"/>
      <c r="O396" s="620"/>
      <c r="P396" s="620"/>
      <c r="Q396" s="620"/>
      <c r="R396" s="620"/>
      <c r="S396" s="620"/>
      <c r="T396" s="620"/>
      <c r="U396" s="620"/>
    </row>
    <row r="397">
      <c r="A397" s="905"/>
      <c r="B397" s="905"/>
      <c r="C397" s="520"/>
      <c r="D397" s="906"/>
      <c r="E397" s="907"/>
      <c r="F397" s="908"/>
      <c r="G397" s="909"/>
      <c r="H397" s="910"/>
      <c r="I397" s="907"/>
      <c r="J397" s="912"/>
      <c r="K397" s="909"/>
      <c r="L397" s="913"/>
      <c r="M397" s="620"/>
      <c r="N397" s="620"/>
      <c r="O397" s="620"/>
      <c r="P397" s="620"/>
      <c r="Q397" s="620"/>
      <c r="R397" s="620"/>
      <c r="S397" s="620"/>
      <c r="T397" s="620"/>
      <c r="U397" s="620"/>
    </row>
    <row r="398">
      <c r="A398" s="905"/>
      <c r="B398" s="905"/>
      <c r="C398" s="520"/>
      <c r="D398" s="906"/>
      <c r="E398" s="907"/>
      <c r="F398" s="908"/>
      <c r="G398" s="909"/>
      <c r="H398" s="910"/>
      <c r="I398" s="907"/>
      <c r="J398" s="912"/>
      <c r="K398" s="909"/>
      <c r="L398" s="913"/>
      <c r="M398" s="620"/>
      <c r="N398" s="620"/>
      <c r="O398" s="620"/>
      <c r="P398" s="620"/>
      <c r="Q398" s="620"/>
      <c r="R398" s="620"/>
      <c r="S398" s="620"/>
      <c r="T398" s="620"/>
      <c r="U398" s="620"/>
    </row>
    <row r="399">
      <c r="A399" s="905"/>
      <c r="B399" s="905"/>
      <c r="C399" s="520"/>
      <c r="D399" s="906"/>
      <c r="E399" s="907"/>
      <c r="F399" s="908"/>
      <c r="G399" s="909"/>
      <c r="H399" s="910"/>
      <c r="I399" s="907"/>
      <c r="J399" s="912"/>
      <c r="K399" s="909"/>
      <c r="L399" s="913"/>
      <c r="M399" s="620"/>
      <c r="N399" s="620"/>
      <c r="O399" s="620"/>
      <c r="P399" s="620"/>
      <c r="Q399" s="620"/>
      <c r="R399" s="620"/>
      <c r="S399" s="620"/>
      <c r="T399" s="620"/>
      <c r="U399" s="620"/>
    </row>
    <row r="400">
      <c r="A400" s="905"/>
      <c r="B400" s="905"/>
      <c r="C400" s="520"/>
      <c r="D400" s="906"/>
      <c r="E400" s="907"/>
      <c r="F400" s="908"/>
      <c r="G400" s="909"/>
      <c r="H400" s="910"/>
      <c r="I400" s="907"/>
      <c r="J400" s="912"/>
      <c r="K400" s="909"/>
      <c r="L400" s="913"/>
      <c r="M400" s="620"/>
      <c r="N400" s="620"/>
      <c r="O400" s="620"/>
      <c r="P400" s="620"/>
      <c r="Q400" s="620"/>
      <c r="R400" s="620"/>
      <c r="S400" s="620"/>
      <c r="T400" s="620"/>
      <c r="U400" s="620"/>
    </row>
    <row r="401">
      <c r="A401" s="905"/>
      <c r="B401" s="905"/>
      <c r="C401" s="520"/>
      <c r="D401" s="906"/>
      <c r="E401" s="907"/>
      <c r="F401" s="908"/>
      <c r="G401" s="909"/>
      <c r="H401" s="910"/>
      <c r="I401" s="907"/>
      <c r="J401" s="912"/>
      <c r="K401" s="909"/>
      <c r="L401" s="913"/>
      <c r="M401" s="620"/>
      <c r="N401" s="620"/>
      <c r="O401" s="620"/>
      <c r="P401" s="620"/>
      <c r="Q401" s="620"/>
      <c r="R401" s="620"/>
      <c r="S401" s="620"/>
      <c r="T401" s="620"/>
      <c r="U401" s="620"/>
    </row>
    <row r="402">
      <c r="A402" s="905"/>
      <c r="B402" s="905"/>
      <c r="C402" s="520"/>
      <c r="D402" s="906"/>
      <c r="E402" s="907"/>
      <c r="F402" s="908"/>
      <c r="G402" s="909"/>
      <c r="H402" s="910"/>
      <c r="I402" s="907"/>
      <c r="J402" s="912"/>
      <c r="K402" s="909"/>
      <c r="L402" s="913"/>
      <c r="M402" s="620"/>
      <c r="N402" s="620"/>
      <c r="O402" s="620"/>
      <c r="P402" s="620"/>
      <c r="Q402" s="620"/>
      <c r="R402" s="620"/>
      <c r="S402" s="620"/>
      <c r="T402" s="620"/>
      <c r="U402" s="620"/>
    </row>
    <row r="403">
      <c r="A403" s="905"/>
      <c r="B403" s="905"/>
      <c r="C403" s="520"/>
      <c r="D403" s="906"/>
      <c r="E403" s="907"/>
      <c r="F403" s="908"/>
      <c r="G403" s="909"/>
      <c r="H403" s="910"/>
      <c r="I403" s="907"/>
      <c r="J403" s="912"/>
      <c r="K403" s="909"/>
      <c r="L403" s="913"/>
      <c r="M403" s="620"/>
      <c r="N403" s="620"/>
      <c r="O403" s="620"/>
      <c r="P403" s="620"/>
      <c r="Q403" s="620"/>
      <c r="R403" s="620"/>
      <c r="S403" s="620"/>
      <c r="T403" s="620"/>
      <c r="U403" s="620"/>
    </row>
    <row r="404">
      <c r="A404" s="905"/>
      <c r="B404" s="905"/>
      <c r="C404" s="520"/>
      <c r="D404" s="906"/>
      <c r="E404" s="907"/>
      <c r="F404" s="908"/>
      <c r="G404" s="909"/>
      <c r="H404" s="910"/>
      <c r="I404" s="907"/>
      <c r="J404" s="912"/>
      <c r="K404" s="909"/>
      <c r="L404" s="913"/>
      <c r="M404" s="620"/>
      <c r="N404" s="620"/>
      <c r="O404" s="620"/>
      <c r="P404" s="620"/>
      <c r="Q404" s="620"/>
      <c r="R404" s="620"/>
      <c r="S404" s="620"/>
      <c r="T404" s="620"/>
      <c r="U404" s="620"/>
    </row>
    <row r="405">
      <c r="A405" s="905"/>
      <c r="B405" s="905"/>
      <c r="C405" s="520"/>
      <c r="D405" s="906"/>
      <c r="E405" s="907"/>
      <c r="F405" s="908"/>
      <c r="G405" s="909"/>
      <c r="H405" s="910"/>
      <c r="I405" s="907"/>
      <c r="J405" s="912"/>
      <c r="K405" s="909"/>
      <c r="L405" s="913"/>
      <c r="M405" s="620"/>
      <c r="N405" s="620"/>
      <c r="O405" s="620"/>
      <c r="P405" s="620"/>
      <c r="Q405" s="620"/>
      <c r="R405" s="620"/>
      <c r="S405" s="620"/>
      <c r="T405" s="620"/>
      <c r="U405" s="620"/>
    </row>
    <row r="406">
      <c r="A406" s="905"/>
      <c r="B406" s="905"/>
      <c r="C406" s="520"/>
      <c r="D406" s="906"/>
      <c r="E406" s="907"/>
      <c r="F406" s="908"/>
      <c r="G406" s="909"/>
      <c r="H406" s="910"/>
      <c r="I406" s="907"/>
      <c r="J406" s="912"/>
      <c r="K406" s="909"/>
      <c r="L406" s="913"/>
      <c r="M406" s="620"/>
      <c r="N406" s="620"/>
      <c r="O406" s="620"/>
      <c r="P406" s="620"/>
      <c r="Q406" s="620"/>
      <c r="R406" s="620"/>
      <c r="S406" s="620"/>
      <c r="T406" s="620"/>
      <c r="U406" s="620"/>
    </row>
    <row r="407">
      <c r="A407" s="905"/>
      <c r="B407" s="905"/>
      <c r="C407" s="520"/>
      <c r="D407" s="906"/>
      <c r="E407" s="907"/>
      <c r="F407" s="908"/>
      <c r="G407" s="909"/>
      <c r="H407" s="910"/>
      <c r="I407" s="907"/>
      <c r="J407" s="912"/>
      <c r="K407" s="909"/>
      <c r="L407" s="913"/>
      <c r="M407" s="620"/>
      <c r="N407" s="620"/>
      <c r="O407" s="620"/>
      <c r="P407" s="620"/>
      <c r="Q407" s="620"/>
      <c r="R407" s="620"/>
      <c r="S407" s="620"/>
      <c r="T407" s="620"/>
      <c r="U407" s="620"/>
    </row>
    <row r="408">
      <c r="A408" s="905"/>
      <c r="B408" s="905"/>
      <c r="C408" s="520"/>
      <c r="D408" s="906"/>
      <c r="E408" s="907"/>
      <c r="F408" s="908"/>
      <c r="G408" s="909"/>
      <c r="H408" s="910"/>
      <c r="I408" s="907"/>
      <c r="J408" s="912"/>
      <c r="K408" s="909"/>
      <c r="L408" s="913"/>
      <c r="M408" s="620"/>
      <c r="N408" s="620"/>
      <c r="O408" s="620"/>
      <c r="P408" s="620"/>
      <c r="Q408" s="620"/>
      <c r="R408" s="620"/>
      <c r="S408" s="620"/>
      <c r="T408" s="620"/>
      <c r="U408" s="620"/>
    </row>
    <row r="409">
      <c r="A409" s="905"/>
      <c r="B409" s="905"/>
      <c r="C409" s="520"/>
      <c r="D409" s="906"/>
      <c r="E409" s="907"/>
      <c r="F409" s="908"/>
      <c r="G409" s="909"/>
      <c r="H409" s="910"/>
      <c r="I409" s="907"/>
      <c r="J409" s="912"/>
      <c r="K409" s="909"/>
      <c r="L409" s="913"/>
      <c r="M409" s="620"/>
      <c r="N409" s="620"/>
      <c r="O409" s="620"/>
      <c r="P409" s="620"/>
      <c r="Q409" s="620"/>
      <c r="R409" s="620"/>
      <c r="S409" s="620"/>
      <c r="T409" s="620"/>
      <c r="U409" s="620"/>
    </row>
    <row r="410">
      <c r="A410" s="905"/>
      <c r="B410" s="905"/>
      <c r="C410" s="520"/>
      <c r="D410" s="906"/>
      <c r="E410" s="907"/>
      <c r="F410" s="908"/>
      <c r="G410" s="909"/>
      <c r="H410" s="910"/>
      <c r="I410" s="907"/>
      <c r="J410" s="912"/>
      <c r="K410" s="909"/>
      <c r="L410" s="913"/>
      <c r="M410" s="620"/>
      <c r="N410" s="620"/>
      <c r="O410" s="620"/>
      <c r="P410" s="620"/>
      <c r="Q410" s="620"/>
      <c r="R410" s="620"/>
      <c r="S410" s="620"/>
      <c r="T410" s="620"/>
      <c r="U410" s="620"/>
    </row>
    <row r="411">
      <c r="A411" s="905"/>
      <c r="B411" s="905"/>
      <c r="C411" s="520"/>
      <c r="D411" s="906"/>
      <c r="E411" s="907"/>
      <c r="F411" s="908"/>
      <c r="G411" s="909"/>
      <c r="H411" s="910"/>
      <c r="I411" s="907"/>
      <c r="J411" s="912"/>
      <c r="K411" s="909"/>
      <c r="L411" s="913"/>
      <c r="M411" s="620"/>
      <c r="N411" s="620"/>
      <c r="O411" s="620"/>
      <c r="P411" s="620"/>
      <c r="Q411" s="620"/>
      <c r="R411" s="620"/>
      <c r="S411" s="620"/>
      <c r="T411" s="620"/>
      <c r="U411" s="620"/>
    </row>
    <row r="412">
      <c r="A412" s="905"/>
      <c r="B412" s="905"/>
      <c r="C412" s="520"/>
      <c r="D412" s="906"/>
      <c r="E412" s="907"/>
      <c r="F412" s="908"/>
      <c r="G412" s="909"/>
      <c r="H412" s="910"/>
      <c r="I412" s="907"/>
      <c r="J412" s="912"/>
      <c r="K412" s="909"/>
      <c r="L412" s="913"/>
      <c r="M412" s="620"/>
      <c r="N412" s="620"/>
      <c r="O412" s="620"/>
      <c r="P412" s="620"/>
      <c r="Q412" s="620"/>
      <c r="R412" s="620"/>
      <c r="S412" s="620"/>
      <c r="T412" s="620"/>
      <c r="U412" s="620"/>
    </row>
    <row r="413">
      <c r="A413" s="905"/>
      <c r="B413" s="905"/>
      <c r="C413" s="520"/>
      <c r="D413" s="906"/>
      <c r="E413" s="907"/>
      <c r="F413" s="908"/>
      <c r="G413" s="909"/>
      <c r="H413" s="910"/>
      <c r="I413" s="907"/>
      <c r="J413" s="912"/>
      <c r="K413" s="909"/>
      <c r="L413" s="913"/>
      <c r="M413" s="620"/>
      <c r="N413" s="620"/>
      <c r="O413" s="620"/>
      <c r="P413" s="620"/>
      <c r="Q413" s="620"/>
      <c r="R413" s="620"/>
      <c r="S413" s="620"/>
      <c r="T413" s="620"/>
      <c r="U413" s="620"/>
    </row>
    <row r="414">
      <c r="A414" s="905"/>
      <c r="B414" s="905"/>
      <c r="C414" s="520"/>
      <c r="D414" s="906"/>
      <c r="E414" s="907"/>
      <c r="F414" s="908"/>
      <c r="G414" s="909"/>
      <c r="H414" s="910"/>
      <c r="I414" s="907"/>
      <c r="J414" s="912"/>
      <c r="K414" s="909"/>
      <c r="L414" s="913"/>
      <c r="M414" s="620"/>
      <c r="N414" s="620"/>
      <c r="O414" s="620"/>
      <c r="P414" s="620"/>
      <c r="Q414" s="620"/>
      <c r="R414" s="620"/>
      <c r="S414" s="620"/>
      <c r="T414" s="620"/>
      <c r="U414" s="620"/>
    </row>
    <row r="415">
      <c r="A415" s="905"/>
      <c r="B415" s="905"/>
      <c r="C415" s="520"/>
      <c r="D415" s="906"/>
      <c r="E415" s="907"/>
      <c r="F415" s="908"/>
      <c r="G415" s="909"/>
      <c r="H415" s="910"/>
      <c r="I415" s="907"/>
      <c r="J415" s="912"/>
      <c r="K415" s="909"/>
      <c r="L415" s="913"/>
      <c r="M415" s="620"/>
      <c r="N415" s="620"/>
      <c r="O415" s="620"/>
      <c r="P415" s="620"/>
      <c r="Q415" s="620"/>
      <c r="R415" s="620"/>
      <c r="S415" s="620"/>
      <c r="T415" s="620"/>
      <c r="U415" s="620"/>
    </row>
    <row r="416">
      <c r="A416" s="905"/>
      <c r="B416" s="905"/>
      <c r="C416" s="520"/>
      <c r="D416" s="906"/>
      <c r="E416" s="907"/>
      <c r="F416" s="908"/>
      <c r="G416" s="909"/>
      <c r="H416" s="910"/>
      <c r="I416" s="907"/>
      <c r="J416" s="912"/>
      <c r="K416" s="909"/>
      <c r="L416" s="913"/>
      <c r="M416" s="620"/>
      <c r="N416" s="620"/>
      <c r="O416" s="620"/>
      <c r="P416" s="620"/>
      <c r="Q416" s="620"/>
      <c r="R416" s="620"/>
      <c r="S416" s="620"/>
      <c r="T416" s="620"/>
      <c r="U416" s="620"/>
    </row>
    <row r="417">
      <c r="A417" s="905"/>
      <c r="B417" s="905"/>
      <c r="C417" s="520"/>
      <c r="D417" s="906"/>
      <c r="E417" s="907"/>
      <c r="F417" s="908"/>
      <c r="G417" s="909"/>
      <c r="H417" s="910"/>
      <c r="I417" s="907"/>
      <c r="J417" s="912"/>
      <c r="K417" s="909"/>
      <c r="L417" s="913"/>
      <c r="M417" s="620"/>
      <c r="N417" s="620"/>
      <c r="O417" s="620"/>
      <c r="P417" s="620"/>
      <c r="Q417" s="620"/>
      <c r="R417" s="620"/>
      <c r="S417" s="620"/>
      <c r="T417" s="620"/>
      <c r="U417" s="620"/>
    </row>
    <row r="418">
      <c r="A418" s="905"/>
      <c r="B418" s="905"/>
      <c r="C418" s="520"/>
      <c r="D418" s="906"/>
      <c r="E418" s="907"/>
      <c r="F418" s="908"/>
      <c r="G418" s="909"/>
      <c r="H418" s="910"/>
      <c r="I418" s="907"/>
      <c r="J418" s="912"/>
      <c r="K418" s="909"/>
      <c r="L418" s="913"/>
      <c r="M418" s="620"/>
      <c r="N418" s="620"/>
      <c r="O418" s="620"/>
      <c r="P418" s="620"/>
      <c r="Q418" s="620"/>
      <c r="R418" s="620"/>
      <c r="S418" s="620"/>
      <c r="T418" s="620"/>
      <c r="U418" s="620"/>
    </row>
    <row r="419">
      <c r="A419" s="905"/>
      <c r="B419" s="905"/>
      <c r="C419" s="520"/>
      <c r="D419" s="906"/>
      <c r="E419" s="907"/>
      <c r="F419" s="908"/>
      <c r="G419" s="909"/>
      <c r="H419" s="910"/>
      <c r="I419" s="907"/>
      <c r="J419" s="912"/>
      <c r="K419" s="909"/>
      <c r="L419" s="913"/>
      <c r="M419" s="620"/>
      <c r="N419" s="620"/>
      <c r="O419" s="620"/>
      <c r="P419" s="620"/>
      <c r="Q419" s="620"/>
      <c r="R419" s="620"/>
      <c r="S419" s="620"/>
      <c r="T419" s="620"/>
      <c r="U419" s="620"/>
    </row>
    <row r="420">
      <c r="A420" s="905"/>
      <c r="B420" s="905"/>
      <c r="C420" s="520"/>
      <c r="D420" s="906"/>
      <c r="E420" s="907"/>
      <c r="F420" s="908"/>
      <c r="G420" s="909"/>
      <c r="H420" s="910"/>
      <c r="I420" s="907"/>
      <c r="J420" s="912"/>
      <c r="K420" s="909"/>
      <c r="L420" s="913"/>
      <c r="M420" s="620"/>
      <c r="N420" s="620"/>
      <c r="O420" s="620"/>
      <c r="P420" s="620"/>
      <c r="Q420" s="620"/>
      <c r="R420" s="620"/>
      <c r="S420" s="620"/>
      <c r="T420" s="620"/>
      <c r="U420" s="620"/>
    </row>
    <row r="421">
      <c r="A421" s="905"/>
      <c r="B421" s="905"/>
      <c r="C421" s="520"/>
      <c r="D421" s="906"/>
      <c r="E421" s="907"/>
      <c r="F421" s="908"/>
      <c r="G421" s="909"/>
      <c r="H421" s="910"/>
      <c r="I421" s="907"/>
      <c r="J421" s="912"/>
      <c r="K421" s="909"/>
      <c r="L421" s="913"/>
      <c r="M421" s="620"/>
      <c r="N421" s="620"/>
      <c r="O421" s="620"/>
      <c r="P421" s="620"/>
      <c r="Q421" s="620"/>
      <c r="R421" s="620"/>
      <c r="S421" s="620"/>
      <c r="T421" s="620"/>
      <c r="U421" s="620"/>
    </row>
    <row r="422">
      <c r="A422" s="905"/>
      <c r="B422" s="905"/>
      <c r="C422" s="520"/>
      <c r="D422" s="906"/>
      <c r="E422" s="907"/>
      <c r="F422" s="908"/>
      <c r="G422" s="909"/>
      <c r="H422" s="910"/>
      <c r="I422" s="907"/>
      <c r="J422" s="912"/>
      <c r="K422" s="909"/>
      <c r="L422" s="913"/>
      <c r="M422" s="620"/>
      <c r="N422" s="620"/>
      <c r="O422" s="620"/>
      <c r="P422" s="620"/>
      <c r="Q422" s="620"/>
      <c r="R422" s="620"/>
      <c r="S422" s="620"/>
      <c r="T422" s="620"/>
      <c r="U422" s="620"/>
    </row>
    <row r="423">
      <c r="A423" s="905"/>
      <c r="B423" s="905"/>
      <c r="C423" s="520"/>
      <c r="D423" s="906"/>
      <c r="E423" s="907"/>
      <c r="F423" s="908"/>
      <c r="G423" s="909"/>
      <c r="H423" s="910"/>
      <c r="I423" s="907"/>
      <c r="J423" s="912"/>
      <c r="K423" s="909"/>
      <c r="L423" s="913"/>
      <c r="M423" s="620"/>
      <c r="N423" s="620"/>
      <c r="O423" s="620"/>
      <c r="P423" s="620"/>
      <c r="Q423" s="620"/>
      <c r="R423" s="620"/>
      <c r="S423" s="620"/>
      <c r="T423" s="620"/>
      <c r="U423" s="620"/>
    </row>
    <row r="424">
      <c r="A424" s="905"/>
      <c r="B424" s="905"/>
      <c r="C424" s="520"/>
      <c r="D424" s="906"/>
      <c r="E424" s="907"/>
      <c r="F424" s="908"/>
      <c r="G424" s="909"/>
      <c r="H424" s="910"/>
      <c r="I424" s="907"/>
      <c r="J424" s="912"/>
      <c r="K424" s="909"/>
      <c r="L424" s="913"/>
      <c r="M424" s="620"/>
      <c r="N424" s="620"/>
      <c r="O424" s="620"/>
      <c r="P424" s="620"/>
      <c r="Q424" s="620"/>
      <c r="R424" s="620"/>
      <c r="S424" s="620"/>
      <c r="T424" s="620"/>
      <c r="U424" s="620"/>
    </row>
    <row r="425">
      <c r="A425" s="905"/>
      <c r="B425" s="905"/>
      <c r="C425" s="520"/>
      <c r="D425" s="906"/>
      <c r="E425" s="907"/>
      <c r="F425" s="908"/>
      <c r="G425" s="909"/>
      <c r="H425" s="910"/>
      <c r="I425" s="907"/>
      <c r="J425" s="912"/>
      <c r="K425" s="909"/>
      <c r="L425" s="913"/>
      <c r="M425" s="620"/>
      <c r="N425" s="620"/>
      <c r="O425" s="620"/>
      <c r="P425" s="620"/>
      <c r="Q425" s="620"/>
      <c r="R425" s="620"/>
      <c r="S425" s="620"/>
      <c r="T425" s="620"/>
      <c r="U425" s="620"/>
    </row>
    <row r="426">
      <c r="A426" s="905"/>
      <c r="B426" s="905"/>
      <c r="C426" s="520"/>
      <c r="D426" s="906"/>
      <c r="E426" s="907"/>
      <c r="F426" s="908"/>
      <c r="G426" s="909"/>
      <c r="H426" s="910"/>
      <c r="I426" s="907"/>
      <c r="J426" s="912"/>
      <c r="K426" s="909"/>
      <c r="L426" s="913"/>
      <c r="M426" s="620"/>
      <c r="N426" s="620"/>
      <c r="O426" s="620"/>
      <c r="P426" s="620"/>
      <c r="Q426" s="620"/>
      <c r="R426" s="620"/>
      <c r="S426" s="620"/>
      <c r="T426" s="620"/>
      <c r="U426" s="620"/>
    </row>
    <row r="427">
      <c r="A427" s="905"/>
      <c r="B427" s="905"/>
      <c r="C427" s="520"/>
      <c r="D427" s="906"/>
      <c r="E427" s="907"/>
      <c r="F427" s="908"/>
      <c r="G427" s="909"/>
      <c r="H427" s="910"/>
      <c r="I427" s="907"/>
      <c r="J427" s="912"/>
      <c r="K427" s="909"/>
      <c r="L427" s="913"/>
      <c r="M427" s="620"/>
      <c r="N427" s="620"/>
      <c r="O427" s="620"/>
      <c r="P427" s="620"/>
      <c r="Q427" s="620"/>
      <c r="R427" s="620"/>
      <c r="S427" s="620"/>
      <c r="T427" s="620"/>
      <c r="U427" s="620"/>
    </row>
    <row r="428">
      <c r="A428" s="905"/>
      <c r="B428" s="905"/>
      <c r="C428" s="520"/>
      <c r="D428" s="906"/>
      <c r="E428" s="907"/>
      <c r="F428" s="908"/>
      <c r="G428" s="909"/>
      <c r="H428" s="910"/>
      <c r="I428" s="907"/>
      <c r="J428" s="912"/>
      <c r="K428" s="909"/>
      <c r="L428" s="913"/>
      <c r="M428" s="620"/>
      <c r="N428" s="620"/>
      <c r="O428" s="620"/>
      <c r="P428" s="620"/>
      <c r="Q428" s="620"/>
      <c r="R428" s="620"/>
      <c r="S428" s="620"/>
      <c r="T428" s="620"/>
      <c r="U428" s="620"/>
    </row>
    <row r="429">
      <c r="A429" s="905"/>
      <c r="B429" s="905"/>
      <c r="C429" s="520"/>
      <c r="D429" s="906"/>
      <c r="E429" s="907"/>
      <c r="F429" s="908"/>
      <c r="G429" s="909"/>
      <c r="H429" s="910"/>
      <c r="I429" s="907"/>
      <c r="J429" s="912"/>
      <c r="K429" s="909"/>
      <c r="L429" s="913"/>
      <c r="M429" s="620"/>
      <c r="N429" s="620"/>
      <c r="O429" s="620"/>
      <c r="P429" s="620"/>
      <c r="Q429" s="620"/>
      <c r="R429" s="620"/>
      <c r="S429" s="620"/>
      <c r="T429" s="620"/>
      <c r="U429" s="620"/>
    </row>
    <row r="430">
      <c r="A430" s="905"/>
      <c r="B430" s="905"/>
      <c r="C430" s="520"/>
      <c r="D430" s="906"/>
      <c r="E430" s="907"/>
      <c r="F430" s="908"/>
      <c r="G430" s="909"/>
      <c r="H430" s="910"/>
      <c r="I430" s="907"/>
      <c r="J430" s="912"/>
      <c r="K430" s="909"/>
      <c r="L430" s="913"/>
      <c r="M430" s="620"/>
      <c r="N430" s="620"/>
      <c r="O430" s="620"/>
      <c r="P430" s="620"/>
      <c r="Q430" s="620"/>
      <c r="R430" s="620"/>
      <c r="S430" s="620"/>
      <c r="T430" s="620"/>
      <c r="U430" s="620"/>
    </row>
    <row r="431">
      <c r="A431" s="905"/>
      <c r="B431" s="905"/>
      <c r="C431" s="520"/>
      <c r="D431" s="906"/>
      <c r="E431" s="907"/>
      <c r="F431" s="908"/>
      <c r="G431" s="909"/>
      <c r="H431" s="910"/>
      <c r="I431" s="907"/>
      <c r="J431" s="912"/>
      <c r="K431" s="909"/>
      <c r="L431" s="913"/>
      <c r="M431" s="620"/>
      <c r="N431" s="620"/>
      <c r="O431" s="620"/>
      <c r="P431" s="620"/>
      <c r="Q431" s="620"/>
      <c r="R431" s="620"/>
      <c r="S431" s="620"/>
      <c r="T431" s="620"/>
      <c r="U431" s="620"/>
    </row>
    <row r="432">
      <c r="A432" s="905"/>
      <c r="B432" s="905"/>
      <c r="C432" s="520"/>
      <c r="D432" s="906"/>
      <c r="E432" s="907"/>
      <c r="F432" s="908"/>
      <c r="G432" s="909"/>
      <c r="H432" s="910"/>
      <c r="I432" s="907"/>
      <c r="J432" s="912"/>
      <c r="K432" s="909"/>
      <c r="L432" s="913"/>
      <c r="M432" s="620"/>
      <c r="N432" s="620"/>
      <c r="O432" s="620"/>
      <c r="P432" s="620"/>
      <c r="Q432" s="620"/>
      <c r="R432" s="620"/>
      <c r="S432" s="620"/>
      <c r="T432" s="620"/>
      <c r="U432" s="620"/>
    </row>
    <row r="433">
      <c r="A433" s="905"/>
      <c r="B433" s="905"/>
      <c r="C433" s="520"/>
      <c r="D433" s="906"/>
      <c r="E433" s="907"/>
      <c r="F433" s="908"/>
      <c r="G433" s="909"/>
      <c r="H433" s="910"/>
      <c r="I433" s="907"/>
      <c r="J433" s="912"/>
      <c r="K433" s="909"/>
      <c r="L433" s="913"/>
      <c r="M433" s="620"/>
      <c r="N433" s="620"/>
      <c r="O433" s="620"/>
      <c r="P433" s="620"/>
      <c r="Q433" s="620"/>
      <c r="R433" s="620"/>
      <c r="S433" s="620"/>
      <c r="T433" s="620"/>
      <c r="U433" s="620"/>
    </row>
    <row r="434">
      <c r="A434" s="905"/>
      <c r="B434" s="905"/>
      <c r="C434" s="520"/>
      <c r="D434" s="906"/>
      <c r="E434" s="907"/>
      <c r="F434" s="908"/>
      <c r="G434" s="909"/>
      <c r="H434" s="910"/>
      <c r="I434" s="907"/>
      <c r="J434" s="912"/>
      <c r="K434" s="909"/>
      <c r="L434" s="913"/>
      <c r="M434" s="620"/>
      <c r="N434" s="620"/>
      <c r="O434" s="620"/>
      <c r="P434" s="620"/>
      <c r="Q434" s="620"/>
      <c r="R434" s="620"/>
      <c r="S434" s="620"/>
      <c r="T434" s="620"/>
      <c r="U434" s="620"/>
    </row>
    <row r="435">
      <c r="A435" s="905"/>
      <c r="B435" s="905"/>
      <c r="C435" s="520"/>
      <c r="D435" s="906"/>
      <c r="E435" s="907"/>
      <c r="F435" s="908"/>
      <c r="G435" s="909"/>
      <c r="H435" s="910"/>
      <c r="I435" s="907"/>
      <c r="J435" s="912"/>
      <c r="K435" s="909"/>
      <c r="L435" s="913"/>
      <c r="M435" s="620"/>
      <c r="N435" s="620"/>
      <c r="O435" s="620"/>
      <c r="P435" s="620"/>
      <c r="Q435" s="620"/>
      <c r="R435" s="620"/>
      <c r="S435" s="620"/>
      <c r="T435" s="620"/>
      <c r="U435" s="620"/>
    </row>
    <row r="436">
      <c r="A436" s="905"/>
      <c r="B436" s="905"/>
      <c r="C436" s="520"/>
      <c r="D436" s="906"/>
      <c r="E436" s="907"/>
      <c r="F436" s="908"/>
      <c r="G436" s="909"/>
      <c r="H436" s="910"/>
      <c r="I436" s="907"/>
      <c r="J436" s="912"/>
      <c r="K436" s="909"/>
      <c r="L436" s="913"/>
      <c r="M436" s="620"/>
      <c r="N436" s="620"/>
      <c r="O436" s="620"/>
      <c r="P436" s="620"/>
      <c r="Q436" s="620"/>
      <c r="R436" s="620"/>
      <c r="S436" s="620"/>
      <c r="T436" s="620"/>
      <c r="U436" s="620"/>
    </row>
    <row r="437">
      <c r="A437" s="905"/>
      <c r="B437" s="905"/>
      <c r="C437" s="520"/>
      <c r="D437" s="906"/>
      <c r="E437" s="907"/>
      <c r="F437" s="908"/>
      <c r="G437" s="909"/>
      <c r="H437" s="910"/>
      <c r="I437" s="907"/>
      <c r="J437" s="912"/>
      <c r="K437" s="909"/>
      <c r="L437" s="913"/>
      <c r="M437" s="620"/>
      <c r="N437" s="620"/>
      <c r="O437" s="620"/>
      <c r="P437" s="620"/>
      <c r="Q437" s="620"/>
      <c r="R437" s="620"/>
      <c r="S437" s="620"/>
      <c r="T437" s="620"/>
      <c r="U437" s="620"/>
    </row>
    <row r="438">
      <c r="A438" s="905"/>
      <c r="B438" s="905"/>
      <c r="C438" s="520"/>
      <c r="D438" s="906"/>
      <c r="E438" s="907"/>
      <c r="F438" s="908"/>
      <c r="G438" s="909"/>
      <c r="H438" s="910"/>
      <c r="I438" s="907"/>
      <c r="J438" s="912"/>
      <c r="K438" s="909"/>
      <c r="L438" s="913"/>
      <c r="M438" s="620"/>
      <c r="N438" s="620"/>
      <c r="O438" s="620"/>
      <c r="P438" s="620"/>
      <c r="Q438" s="620"/>
      <c r="R438" s="620"/>
      <c r="S438" s="620"/>
      <c r="T438" s="620"/>
      <c r="U438" s="620"/>
    </row>
    <row r="439">
      <c r="A439" s="905"/>
      <c r="B439" s="905"/>
      <c r="C439" s="520"/>
      <c r="D439" s="906"/>
      <c r="E439" s="907"/>
      <c r="F439" s="908"/>
      <c r="G439" s="909"/>
      <c r="H439" s="910"/>
      <c r="I439" s="907"/>
      <c r="J439" s="912"/>
      <c r="K439" s="909"/>
      <c r="L439" s="913"/>
      <c r="M439" s="620"/>
      <c r="N439" s="620"/>
      <c r="O439" s="620"/>
      <c r="P439" s="620"/>
      <c r="Q439" s="620"/>
      <c r="R439" s="620"/>
      <c r="S439" s="620"/>
      <c r="T439" s="620"/>
      <c r="U439" s="620"/>
    </row>
    <row r="440">
      <c r="A440" s="905"/>
      <c r="B440" s="905"/>
      <c r="C440" s="520"/>
      <c r="D440" s="906"/>
      <c r="E440" s="907"/>
      <c r="F440" s="908"/>
      <c r="G440" s="909"/>
      <c r="H440" s="910"/>
      <c r="I440" s="907"/>
      <c r="J440" s="912"/>
      <c r="K440" s="909"/>
      <c r="L440" s="913"/>
      <c r="M440" s="620"/>
      <c r="N440" s="620"/>
      <c r="O440" s="620"/>
      <c r="P440" s="620"/>
      <c r="Q440" s="620"/>
      <c r="R440" s="620"/>
      <c r="S440" s="620"/>
      <c r="T440" s="620"/>
      <c r="U440" s="620"/>
    </row>
    <row r="441">
      <c r="A441" s="905"/>
      <c r="B441" s="905"/>
      <c r="C441" s="520"/>
      <c r="D441" s="906"/>
      <c r="E441" s="907"/>
      <c r="F441" s="908"/>
      <c r="G441" s="909"/>
      <c r="H441" s="910"/>
      <c r="I441" s="907"/>
      <c r="J441" s="912"/>
      <c r="K441" s="909"/>
      <c r="L441" s="913"/>
      <c r="M441" s="620"/>
      <c r="N441" s="620"/>
      <c r="O441" s="620"/>
      <c r="P441" s="620"/>
      <c r="Q441" s="620"/>
      <c r="R441" s="620"/>
      <c r="S441" s="620"/>
      <c r="T441" s="620"/>
      <c r="U441" s="620"/>
    </row>
    <row r="442">
      <c r="A442" s="905"/>
      <c r="B442" s="905"/>
      <c r="C442" s="520"/>
      <c r="D442" s="906"/>
      <c r="E442" s="907"/>
      <c r="F442" s="908"/>
      <c r="G442" s="909"/>
      <c r="H442" s="910"/>
      <c r="I442" s="907"/>
      <c r="J442" s="912"/>
      <c r="K442" s="909"/>
      <c r="L442" s="913"/>
      <c r="M442" s="620"/>
      <c r="N442" s="620"/>
      <c r="O442" s="620"/>
      <c r="P442" s="620"/>
      <c r="Q442" s="620"/>
      <c r="R442" s="620"/>
      <c r="S442" s="620"/>
      <c r="T442" s="620"/>
      <c r="U442" s="620"/>
    </row>
    <row r="443">
      <c r="A443" s="905"/>
      <c r="B443" s="905"/>
      <c r="C443" s="520"/>
      <c r="D443" s="906"/>
      <c r="E443" s="907"/>
      <c r="F443" s="908"/>
      <c r="G443" s="909"/>
      <c r="H443" s="910"/>
      <c r="I443" s="907"/>
      <c r="J443" s="912"/>
      <c r="K443" s="909"/>
      <c r="L443" s="913"/>
      <c r="M443" s="620"/>
      <c r="N443" s="620"/>
      <c r="O443" s="620"/>
      <c r="P443" s="620"/>
      <c r="Q443" s="620"/>
      <c r="R443" s="620"/>
      <c r="S443" s="620"/>
      <c r="T443" s="620"/>
      <c r="U443" s="620"/>
    </row>
    <row r="444">
      <c r="A444" s="905"/>
      <c r="B444" s="905"/>
      <c r="C444" s="520"/>
      <c r="D444" s="906"/>
      <c r="E444" s="907"/>
      <c r="F444" s="908"/>
      <c r="G444" s="909"/>
      <c r="H444" s="910"/>
      <c r="I444" s="907"/>
      <c r="J444" s="912"/>
      <c r="K444" s="909"/>
      <c r="L444" s="913"/>
      <c r="M444" s="620"/>
      <c r="N444" s="620"/>
      <c r="O444" s="620"/>
      <c r="P444" s="620"/>
      <c r="Q444" s="620"/>
      <c r="R444" s="620"/>
      <c r="S444" s="620"/>
      <c r="T444" s="620"/>
      <c r="U444" s="620"/>
    </row>
    <row r="445">
      <c r="A445" s="905"/>
      <c r="B445" s="905"/>
      <c r="C445" s="520"/>
      <c r="D445" s="906"/>
      <c r="E445" s="907"/>
      <c r="F445" s="908"/>
      <c r="G445" s="909"/>
      <c r="H445" s="910"/>
      <c r="I445" s="907"/>
      <c r="J445" s="912"/>
      <c r="K445" s="909"/>
      <c r="L445" s="913"/>
      <c r="M445" s="620"/>
      <c r="N445" s="620"/>
      <c r="O445" s="620"/>
      <c r="P445" s="620"/>
      <c r="Q445" s="620"/>
      <c r="R445" s="620"/>
      <c r="S445" s="620"/>
      <c r="T445" s="620"/>
      <c r="U445" s="620"/>
    </row>
    <row r="446">
      <c r="A446" s="905"/>
      <c r="B446" s="905"/>
      <c r="C446" s="520"/>
      <c r="D446" s="906"/>
      <c r="E446" s="907"/>
      <c r="F446" s="908"/>
      <c r="G446" s="909"/>
      <c r="H446" s="910"/>
      <c r="I446" s="907"/>
      <c r="J446" s="912"/>
      <c r="K446" s="909"/>
      <c r="L446" s="913"/>
      <c r="M446" s="620"/>
      <c r="N446" s="620"/>
      <c r="O446" s="620"/>
      <c r="P446" s="620"/>
      <c r="Q446" s="620"/>
      <c r="R446" s="620"/>
      <c r="S446" s="620"/>
      <c r="T446" s="620"/>
      <c r="U446" s="620"/>
    </row>
    <row r="447">
      <c r="A447" s="905"/>
      <c r="B447" s="905"/>
      <c r="C447" s="520"/>
      <c r="D447" s="906"/>
      <c r="E447" s="907"/>
      <c r="F447" s="908"/>
      <c r="G447" s="909"/>
      <c r="H447" s="910"/>
      <c r="I447" s="907"/>
      <c r="J447" s="912"/>
      <c r="K447" s="909"/>
      <c r="L447" s="913"/>
      <c r="M447" s="620"/>
      <c r="N447" s="620"/>
      <c r="O447" s="620"/>
      <c r="P447" s="620"/>
      <c r="Q447" s="620"/>
      <c r="R447" s="620"/>
      <c r="S447" s="620"/>
      <c r="T447" s="620"/>
      <c r="U447" s="620"/>
    </row>
    <row r="448">
      <c r="A448" s="905"/>
      <c r="B448" s="905"/>
      <c r="C448" s="520"/>
      <c r="D448" s="906"/>
      <c r="E448" s="907"/>
      <c r="F448" s="908"/>
      <c r="G448" s="909"/>
      <c r="H448" s="910"/>
      <c r="I448" s="907"/>
      <c r="J448" s="912"/>
      <c r="K448" s="909"/>
      <c r="L448" s="913"/>
      <c r="M448" s="620"/>
      <c r="N448" s="620"/>
      <c r="O448" s="620"/>
      <c r="P448" s="620"/>
      <c r="Q448" s="620"/>
      <c r="R448" s="620"/>
      <c r="S448" s="620"/>
      <c r="T448" s="620"/>
      <c r="U448" s="620"/>
    </row>
    <row r="449">
      <c r="A449" s="905"/>
      <c r="B449" s="905"/>
      <c r="C449" s="520"/>
      <c r="D449" s="906"/>
      <c r="E449" s="907"/>
      <c r="F449" s="908"/>
      <c r="G449" s="909"/>
      <c r="H449" s="910"/>
      <c r="I449" s="907"/>
      <c r="J449" s="912"/>
      <c r="K449" s="909"/>
      <c r="L449" s="913"/>
      <c r="M449" s="620"/>
      <c r="N449" s="620"/>
      <c r="O449" s="620"/>
      <c r="P449" s="620"/>
      <c r="Q449" s="620"/>
      <c r="R449" s="620"/>
      <c r="S449" s="620"/>
      <c r="T449" s="620"/>
      <c r="U449" s="620"/>
    </row>
    <row r="450">
      <c r="A450" s="905"/>
      <c r="B450" s="905"/>
      <c r="C450" s="520"/>
      <c r="D450" s="906"/>
      <c r="E450" s="907"/>
      <c r="F450" s="908"/>
      <c r="G450" s="909"/>
      <c r="H450" s="910"/>
      <c r="I450" s="907"/>
      <c r="J450" s="912"/>
      <c r="K450" s="909"/>
      <c r="L450" s="913"/>
      <c r="M450" s="620"/>
      <c r="N450" s="620"/>
      <c r="O450" s="620"/>
      <c r="P450" s="620"/>
      <c r="Q450" s="620"/>
      <c r="R450" s="620"/>
      <c r="S450" s="620"/>
      <c r="T450" s="620"/>
      <c r="U450" s="620"/>
    </row>
    <row r="451">
      <c r="A451" s="905"/>
      <c r="B451" s="905"/>
      <c r="C451" s="520"/>
      <c r="D451" s="906"/>
      <c r="E451" s="907"/>
      <c r="F451" s="908"/>
      <c r="G451" s="909"/>
      <c r="H451" s="910"/>
      <c r="I451" s="907"/>
      <c r="J451" s="912"/>
      <c r="K451" s="909"/>
      <c r="L451" s="913"/>
      <c r="M451" s="620"/>
      <c r="N451" s="620"/>
      <c r="O451" s="620"/>
      <c r="P451" s="620"/>
      <c r="Q451" s="620"/>
      <c r="R451" s="620"/>
      <c r="S451" s="620"/>
      <c r="T451" s="620"/>
      <c r="U451" s="620"/>
    </row>
    <row r="452">
      <c r="A452" s="905"/>
      <c r="B452" s="905"/>
      <c r="C452" s="520"/>
      <c r="D452" s="906"/>
      <c r="E452" s="907"/>
      <c r="F452" s="908"/>
      <c r="G452" s="909"/>
      <c r="H452" s="910"/>
      <c r="I452" s="907"/>
      <c r="J452" s="912"/>
      <c r="K452" s="909"/>
      <c r="L452" s="913"/>
      <c r="M452" s="620"/>
      <c r="N452" s="620"/>
      <c r="O452" s="620"/>
      <c r="P452" s="620"/>
      <c r="Q452" s="620"/>
      <c r="R452" s="620"/>
      <c r="S452" s="620"/>
      <c r="T452" s="620"/>
      <c r="U452" s="620"/>
    </row>
    <row r="453">
      <c r="A453" s="905"/>
      <c r="B453" s="905"/>
      <c r="C453" s="520"/>
      <c r="D453" s="906"/>
      <c r="E453" s="907"/>
      <c r="F453" s="908"/>
      <c r="G453" s="909"/>
      <c r="H453" s="910"/>
      <c r="I453" s="907"/>
      <c r="J453" s="912"/>
      <c r="K453" s="909"/>
      <c r="L453" s="913"/>
      <c r="M453" s="620"/>
      <c r="N453" s="620"/>
      <c r="O453" s="620"/>
      <c r="P453" s="620"/>
      <c r="Q453" s="620"/>
      <c r="R453" s="620"/>
      <c r="S453" s="620"/>
      <c r="T453" s="620"/>
      <c r="U453" s="620"/>
    </row>
    <row r="454">
      <c r="A454" s="905"/>
      <c r="B454" s="905"/>
      <c r="C454" s="520"/>
      <c r="D454" s="906"/>
      <c r="E454" s="907"/>
      <c r="F454" s="908"/>
      <c r="G454" s="909"/>
      <c r="H454" s="910"/>
      <c r="I454" s="907"/>
      <c r="J454" s="912"/>
      <c r="K454" s="909"/>
      <c r="L454" s="913"/>
      <c r="M454" s="620"/>
      <c r="N454" s="620"/>
      <c r="O454" s="620"/>
      <c r="P454" s="620"/>
      <c r="Q454" s="620"/>
      <c r="R454" s="620"/>
      <c r="S454" s="620"/>
      <c r="T454" s="620"/>
      <c r="U454" s="620"/>
    </row>
    <row r="455">
      <c r="A455" s="905"/>
      <c r="B455" s="905"/>
      <c r="C455" s="520"/>
      <c r="D455" s="906"/>
      <c r="E455" s="907"/>
      <c r="F455" s="908"/>
      <c r="G455" s="909"/>
      <c r="H455" s="910"/>
      <c r="I455" s="907"/>
      <c r="J455" s="912"/>
      <c r="K455" s="909"/>
      <c r="L455" s="913"/>
      <c r="M455" s="620"/>
      <c r="N455" s="620"/>
      <c r="O455" s="620"/>
      <c r="P455" s="620"/>
      <c r="Q455" s="620"/>
      <c r="R455" s="620"/>
      <c r="S455" s="620"/>
      <c r="T455" s="620"/>
      <c r="U455" s="620"/>
    </row>
    <row r="456">
      <c r="A456" s="905"/>
      <c r="B456" s="905"/>
      <c r="C456" s="520"/>
      <c r="D456" s="906"/>
      <c r="E456" s="907"/>
      <c r="F456" s="908"/>
      <c r="G456" s="909"/>
      <c r="H456" s="910"/>
      <c r="I456" s="907"/>
      <c r="J456" s="912"/>
      <c r="K456" s="909"/>
      <c r="L456" s="913"/>
      <c r="M456" s="620"/>
      <c r="N456" s="620"/>
      <c r="O456" s="620"/>
      <c r="P456" s="620"/>
      <c r="Q456" s="620"/>
      <c r="R456" s="620"/>
      <c r="S456" s="620"/>
      <c r="T456" s="620"/>
      <c r="U456" s="620"/>
    </row>
    <row r="457">
      <c r="A457" s="905"/>
      <c r="B457" s="905"/>
      <c r="C457" s="520"/>
      <c r="D457" s="906"/>
      <c r="E457" s="907"/>
      <c r="F457" s="908"/>
      <c r="G457" s="909"/>
      <c r="H457" s="910"/>
      <c r="I457" s="907"/>
      <c r="J457" s="912"/>
      <c r="K457" s="909"/>
      <c r="L457" s="913"/>
      <c r="M457" s="620"/>
      <c r="N457" s="620"/>
      <c r="O457" s="620"/>
      <c r="P457" s="620"/>
      <c r="Q457" s="620"/>
      <c r="R457" s="620"/>
      <c r="S457" s="620"/>
      <c r="T457" s="620"/>
      <c r="U457" s="620"/>
    </row>
    <row r="458">
      <c r="A458" s="905"/>
      <c r="B458" s="905"/>
      <c r="C458" s="520"/>
      <c r="D458" s="906"/>
      <c r="E458" s="907"/>
      <c r="F458" s="908"/>
      <c r="G458" s="909"/>
      <c r="H458" s="910"/>
      <c r="I458" s="907"/>
      <c r="J458" s="912"/>
      <c r="K458" s="909"/>
      <c r="L458" s="913"/>
      <c r="M458" s="620"/>
      <c r="N458" s="620"/>
      <c r="O458" s="620"/>
      <c r="P458" s="620"/>
      <c r="Q458" s="620"/>
      <c r="R458" s="620"/>
      <c r="S458" s="620"/>
      <c r="T458" s="620"/>
      <c r="U458" s="620"/>
    </row>
    <row r="459">
      <c r="A459" s="905"/>
      <c r="B459" s="905"/>
      <c r="C459" s="520"/>
      <c r="D459" s="906"/>
      <c r="E459" s="907"/>
      <c r="F459" s="908"/>
      <c r="G459" s="909"/>
      <c r="H459" s="910"/>
      <c r="I459" s="907"/>
      <c r="J459" s="912"/>
      <c r="K459" s="909"/>
      <c r="L459" s="913"/>
      <c r="M459" s="620"/>
      <c r="N459" s="620"/>
      <c r="O459" s="620"/>
      <c r="P459" s="620"/>
      <c r="Q459" s="620"/>
      <c r="R459" s="620"/>
      <c r="S459" s="620"/>
      <c r="T459" s="620"/>
      <c r="U459" s="620"/>
    </row>
    <row r="460">
      <c r="A460" s="905"/>
      <c r="B460" s="905"/>
      <c r="C460" s="520"/>
      <c r="D460" s="906"/>
      <c r="E460" s="907"/>
      <c r="F460" s="908"/>
      <c r="G460" s="909"/>
      <c r="H460" s="910"/>
      <c r="I460" s="907"/>
      <c r="J460" s="912"/>
      <c r="K460" s="909"/>
      <c r="L460" s="913"/>
      <c r="M460" s="620"/>
      <c r="N460" s="620"/>
      <c r="O460" s="620"/>
      <c r="P460" s="620"/>
      <c r="Q460" s="620"/>
      <c r="R460" s="620"/>
      <c r="S460" s="620"/>
      <c r="T460" s="620"/>
      <c r="U460" s="620"/>
    </row>
    <row r="461">
      <c r="A461" s="905"/>
      <c r="B461" s="905"/>
      <c r="C461" s="520"/>
      <c r="D461" s="906"/>
      <c r="E461" s="907"/>
      <c r="F461" s="908"/>
      <c r="G461" s="909"/>
      <c r="H461" s="910"/>
      <c r="I461" s="907"/>
      <c r="J461" s="912"/>
      <c r="K461" s="909"/>
      <c r="L461" s="913"/>
      <c r="M461" s="620"/>
      <c r="N461" s="620"/>
      <c r="O461" s="620"/>
      <c r="P461" s="620"/>
      <c r="Q461" s="620"/>
      <c r="R461" s="620"/>
      <c r="S461" s="620"/>
      <c r="T461" s="620"/>
      <c r="U461" s="620"/>
    </row>
    <row r="462">
      <c r="A462" s="905"/>
      <c r="B462" s="905"/>
      <c r="C462" s="520"/>
      <c r="D462" s="906"/>
      <c r="E462" s="907"/>
      <c r="F462" s="908"/>
      <c r="G462" s="909"/>
      <c r="H462" s="910"/>
      <c r="I462" s="907"/>
      <c r="J462" s="912"/>
      <c r="K462" s="909"/>
      <c r="L462" s="913"/>
      <c r="M462" s="620"/>
      <c r="N462" s="620"/>
      <c r="O462" s="620"/>
      <c r="P462" s="620"/>
      <c r="Q462" s="620"/>
      <c r="R462" s="620"/>
      <c r="S462" s="620"/>
      <c r="T462" s="620"/>
      <c r="U462" s="620"/>
    </row>
    <row r="463">
      <c r="A463" s="905"/>
      <c r="B463" s="905"/>
      <c r="C463" s="520"/>
      <c r="D463" s="906"/>
      <c r="E463" s="907"/>
      <c r="F463" s="908"/>
      <c r="G463" s="909"/>
      <c r="H463" s="910"/>
      <c r="I463" s="907"/>
      <c r="J463" s="912"/>
      <c r="K463" s="909"/>
      <c r="L463" s="913"/>
      <c r="M463" s="620"/>
      <c r="N463" s="620"/>
      <c r="O463" s="620"/>
      <c r="P463" s="620"/>
      <c r="Q463" s="620"/>
      <c r="R463" s="620"/>
      <c r="S463" s="620"/>
      <c r="T463" s="620"/>
      <c r="U463" s="620"/>
    </row>
    <row r="464">
      <c r="A464" s="905"/>
      <c r="B464" s="905"/>
      <c r="C464" s="520"/>
      <c r="D464" s="906"/>
      <c r="E464" s="907"/>
      <c r="F464" s="908"/>
      <c r="G464" s="909"/>
      <c r="H464" s="910"/>
      <c r="I464" s="907"/>
      <c r="J464" s="912"/>
      <c r="K464" s="909"/>
      <c r="L464" s="913"/>
      <c r="M464" s="620"/>
      <c r="N464" s="620"/>
      <c r="O464" s="620"/>
      <c r="P464" s="620"/>
      <c r="Q464" s="620"/>
      <c r="R464" s="620"/>
      <c r="S464" s="620"/>
      <c r="T464" s="620"/>
      <c r="U464" s="620"/>
    </row>
    <row r="465">
      <c r="A465" s="905"/>
      <c r="B465" s="905"/>
      <c r="C465" s="520"/>
      <c r="D465" s="906"/>
      <c r="E465" s="907"/>
      <c r="F465" s="908"/>
      <c r="G465" s="909"/>
      <c r="H465" s="910"/>
      <c r="I465" s="907"/>
      <c r="J465" s="912"/>
      <c r="K465" s="909"/>
      <c r="L465" s="913"/>
      <c r="M465" s="620"/>
      <c r="N465" s="620"/>
      <c r="O465" s="620"/>
      <c r="P465" s="620"/>
      <c r="Q465" s="620"/>
      <c r="R465" s="620"/>
      <c r="S465" s="620"/>
      <c r="T465" s="620"/>
      <c r="U465" s="620"/>
    </row>
    <row r="466">
      <c r="A466" s="905"/>
      <c r="B466" s="905"/>
      <c r="C466" s="520"/>
      <c r="D466" s="906"/>
      <c r="E466" s="907"/>
      <c r="F466" s="908"/>
      <c r="G466" s="909"/>
      <c r="H466" s="910"/>
      <c r="I466" s="907"/>
      <c r="J466" s="912"/>
      <c r="K466" s="909"/>
      <c r="L466" s="913"/>
      <c r="M466" s="620"/>
      <c r="N466" s="620"/>
      <c r="O466" s="620"/>
      <c r="P466" s="620"/>
      <c r="Q466" s="620"/>
      <c r="R466" s="620"/>
      <c r="S466" s="620"/>
      <c r="T466" s="620"/>
      <c r="U466" s="620"/>
    </row>
    <row r="467">
      <c r="A467" s="905"/>
      <c r="B467" s="905"/>
      <c r="C467" s="520"/>
      <c r="D467" s="906"/>
      <c r="E467" s="907"/>
      <c r="F467" s="908"/>
      <c r="G467" s="909"/>
      <c r="H467" s="910"/>
      <c r="I467" s="907"/>
      <c r="J467" s="912"/>
      <c r="K467" s="909"/>
      <c r="L467" s="913"/>
      <c r="M467" s="620"/>
      <c r="N467" s="620"/>
      <c r="O467" s="620"/>
      <c r="P467" s="620"/>
      <c r="Q467" s="620"/>
      <c r="R467" s="620"/>
      <c r="S467" s="620"/>
      <c r="T467" s="620"/>
      <c r="U467" s="620"/>
    </row>
    <row r="468">
      <c r="A468" s="905"/>
      <c r="B468" s="905"/>
      <c r="C468" s="520"/>
      <c r="D468" s="906"/>
      <c r="E468" s="907"/>
      <c r="F468" s="908"/>
      <c r="G468" s="909"/>
      <c r="H468" s="910"/>
      <c r="I468" s="907"/>
      <c r="J468" s="912"/>
      <c r="K468" s="909"/>
      <c r="L468" s="913"/>
      <c r="M468" s="620"/>
      <c r="N468" s="620"/>
      <c r="O468" s="620"/>
      <c r="P468" s="620"/>
      <c r="Q468" s="620"/>
      <c r="R468" s="620"/>
      <c r="S468" s="620"/>
      <c r="T468" s="620"/>
      <c r="U468" s="620"/>
    </row>
    <row r="469">
      <c r="A469" s="905"/>
      <c r="B469" s="905"/>
      <c r="C469" s="520"/>
      <c r="D469" s="906"/>
      <c r="E469" s="907"/>
      <c r="F469" s="908"/>
      <c r="G469" s="909"/>
      <c r="H469" s="910"/>
      <c r="I469" s="907"/>
      <c r="J469" s="912"/>
      <c r="K469" s="909"/>
      <c r="L469" s="913"/>
      <c r="M469" s="620"/>
      <c r="N469" s="620"/>
      <c r="O469" s="620"/>
      <c r="P469" s="620"/>
      <c r="Q469" s="620"/>
      <c r="R469" s="620"/>
      <c r="S469" s="620"/>
      <c r="T469" s="620"/>
      <c r="U469" s="620"/>
    </row>
    <row r="470">
      <c r="A470" s="905"/>
      <c r="B470" s="905"/>
      <c r="C470" s="520"/>
      <c r="D470" s="906"/>
      <c r="E470" s="907"/>
      <c r="F470" s="908"/>
      <c r="G470" s="909"/>
      <c r="H470" s="910"/>
      <c r="I470" s="907"/>
      <c r="J470" s="912"/>
      <c r="K470" s="909"/>
      <c r="L470" s="913"/>
      <c r="M470" s="620"/>
      <c r="N470" s="620"/>
      <c r="O470" s="620"/>
      <c r="P470" s="620"/>
      <c r="Q470" s="620"/>
      <c r="R470" s="620"/>
      <c r="S470" s="620"/>
      <c r="T470" s="620"/>
      <c r="U470" s="620"/>
    </row>
    <row r="471">
      <c r="A471" s="905"/>
      <c r="B471" s="905"/>
      <c r="C471" s="520"/>
      <c r="D471" s="906"/>
      <c r="E471" s="907"/>
      <c r="F471" s="908"/>
      <c r="G471" s="909"/>
      <c r="H471" s="910"/>
      <c r="I471" s="907"/>
      <c r="J471" s="912"/>
      <c r="K471" s="909"/>
      <c r="L471" s="913"/>
      <c r="M471" s="620"/>
      <c r="N471" s="620"/>
      <c r="O471" s="620"/>
      <c r="P471" s="620"/>
      <c r="Q471" s="620"/>
      <c r="R471" s="620"/>
      <c r="S471" s="620"/>
      <c r="T471" s="620"/>
      <c r="U471" s="620"/>
    </row>
    <row r="472">
      <c r="A472" s="905"/>
      <c r="B472" s="905"/>
      <c r="C472" s="520"/>
      <c r="D472" s="906"/>
      <c r="E472" s="907"/>
      <c r="F472" s="908"/>
      <c r="G472" s="909"/>
      <c r="H472" s="910"/>
      <c r="I472" s="907"/>
      <c r="J472" s="912"/>
      <c r="K472" s="909"/>
      <c r="L472" s="913"/>
      <c r="M472" s="620"/>
      <c r="N472" s="620"/>
      <c r="O472" s="620"/>
      <c r="P472" s="620"/>
      <c r="Q472" s="620"/>
      <c r="R472" s="620"/>
      <c r="S472" s="620"/>
      <c r="T472" s="620"/>
      <c r="U472" s="620"/>
    </row>
    <row r="473">
      <c r="A473" s="905"/>
      <c r="B473" s="905"/>
      <c r="C473" s="520"/>
      <c r="D473" s="906"/>
      <c r="E473" s="907"/>
      <c r="F473" s="908"/>
      <c r="G473" s="909"/>
      <c r="H473" s="910"/>
      <c r="I473" s="907"/>
      <c r="J473" s="912"/>
      <c r="K473" s="909"/>
      <c r="L473" s="913"/>
      <c r="M473" s="620"/>
      <c r="N473" s="620"/>
      <c r="O473" s="620"/>
      <c r="P473" s="620"/>
      <c r="Q473" s="620"/>
      <c r="R473" s="620"/>
      <c r="S473" s="620"/>
      <c r="T473" s="620"/>
      <c r="U473" s="620"/>
    </row>
    <row r="474">
      <c r="A474" s="905"/>
      <c r="B474" s="905"/>
      <c r="C474" s="520"/>
      <c r="D474" s="906"/>
      <c r="E474" s="907"/>
      <c r="F474" s="908"/>
      <c r="G474" s="909"/>
      <c r="H474" s="910"/>
      <c r="I474" s="907"/>
      <c r="J474" s="912"/>
      <c r="K474" s="909"/>
      <c r="L474" s="913"/>
      <c r="M474" s="620"/>
      <c r="N474" s="620"/>
      <c r="O474" s="620"/>
      <c r="P474" s="620"/>
      <c r="Q474" s="620"/>
      <c r="R474" s="620"/>
      <c r="S474" s="620"/>
      <c r="T474" s="620"/>
      <c r="U474" s="620"/>
    </row>
    <row r="475">
      <c r="A475" s="905"/>
      <c r="B475" s="905"/>
      <c r="C475" s="520"/>
      <c r="D475" s="906"/>
      <c r="E475" s="907"/>
      <c r="F475" s="908"/>
      <c r="G475" s="909"/>
      <c r="H475" s="910"/>
      <c r="I475" s="907"/>
      <c r="J475" s="912"/>
      <c r="K475" s="909"/>
      <c r="L475" s="913"/>
      <c r="M475" s="620"/>
      <c r="N475" s="620"/>
      <c r="O475" s="620"/>
      <c r="P475" s="620"/>
      <c r="Q475" s="620"/>
      <c r="R475" s="620"/>
      <c r="S475" s="620"/>
      <c r="T475" s="620"/>
      <c r="U475" s="620"/>
    </row>
    <row r="476">
      <c r="A476" s="905"/>
      <c r="B476" s="905"/>
      <c r="C476" s="520"/>
      <c r="D476" s="906"/>
      <c r="E476" s="907"/>
      <c r="F476" s="908"/>
      <c r="G476" s="909"/>
      <c r="H476" s="910"/>
      <c r="I476" s="907"/>
      <c r="J476" s="912"/>
      <c r="K476" s="909"/>
      <c r="L476" s="913"/>
      <c r="M476" s="620"/>
      <c r="N476" s="620"/>
      <c r="O476" s="620"/>
      <c r="P476" s="620"/>
      <c r="Q476" s="620"/>
      <c r="R476" s="620"/>
      <c r="S476" s="620"/>
      <c r="T476" s="620"/>
      <c r="U476" s="620"/>
    </row>
    <row r="477">
      <c r="A477" s="905"/>
      <c r="B477" s="905"/>
      <c r="C477" s="520"/>
      <c r="D477" s="906"/>
      <c r="E477" s="907"/>
      <c r="F477" s="908"/>
      <c r="G477" s="909"/>
      <c r="H477" s="910"/>
      <c r="I477" s="907"/>
      <c r="J477" s="912"/>
      <c r="K477" s="909"/>
      <c r="L477" s="913"/>
      <c r="M477" s="620"/>
      <c r="N477" s="620"/>
      <c r="O477" s="620"/>
      <c r="P477" s="620"/>
      <c r="Q477" s="620"/>
      <c r="R477" s="620"/>
      <c r="S477" s="620"/>
      <c r="T477" s="620"/>
      <c r="U477" s="620"/>
    </row>
    <row r="478">
      <c r="A478" s="905"/>
      <c r="B478" s="905"/>
      <c r="C478" s="520"/>
      <c r="D478" s="906"/>
      <c r="E478" s="907"/>
      <c r="F478" s="908"/>
      <c r="G478" s="909"/>
      <c r="H478" s="910"/>
      <c r="I478" s="907"/>
      <c r="J478" s="912"/>
      <c r="K478" s="909"/>
      <c r="L478" s="913"/>
      <c r="M478" s="620"/>
      <c r="N478" s="620"/>
      <c r="O478" s="620"/>
      <c r="P478" s="620"/>
      <c r="Q478" s="620"/>
      <c r="R478" s="620"/>
      <c r="S478" s="620"/>
      <c r="T478" s="620"/>
      <c r="U478" s="620"/>
    </row>
    <row r="479">
      <c r="A479" s="905"/>
      <c r="B479" s="905"/>
      <c r="C479" s="520"/>
      <c r="D479" s="906"/>
      <c r="E479" s="907"/>
      <c r="F479" s="908"/>
      <c r="G479" s="909"/>
      <c r="H479" s="910"/>
      <c r="I479" s="907"/>
      <c r="J479" s="912"/>
      <c r="K479" s="909"/>
      <c r="L479" s="913"/>
      <c r="M479" s="620"/>
      <c r="N479" s="620"/>
      <c r="O479" s="620"/>
      <c r="P479" s="620"/>
      <c r="Q479" s="620"/>
      <c r="R479" s="620"/>
      <c r="S479" s="620"/>
      <c r="T479" s="620"/>
      <c r="U479" s="620"/>
    </row>
    <row r="480">
      <c r="A480" s="905"/>
      <c r="B480" s="905"/>
      <c r="C480" s="520"/>
      <c r="D480" s="906"/>
      <c r="E480" s="907"/>
      <c r="F480" s="908"/>
      <c r="G480" s="909"/>
      <c r="H480" s="910"/>
      <c r="I480" s="907"/>
      <c r="J480" s="912"/>
      <c r="K480" s="909"/>
      <c r="L480" s="913"/>
      <c r="M480" s="620"/>
      <c r="N480" s="620"/>
      <c r="O480" s="620"/>
      <c r="P480" s="620"/>
      <c r="Q480" s="620"/>
      <c r="R480" s="620"/>
      <c r="S480" s="620"/>
      <c r="T480" s="620"/>
      <c r="U480" s="620"/>
    </row>
    <row r="481">
      <c r="A481" s="905"/>
      <c r="B481" s="905"/>
      <c r="C481" s="520"/>
      <c r="D481" s="906"/>
      <c r="E481" s="907"/>
      <c r="F481" s="908"/>
      <c r="G481" s="909"/>
      <c r="H481" s="910"/>
      <c r="I481" s="907"/>
      <c r="J481" s="912"/>
      <c r="K481" s="909"/>
      <c r="L481" s="913"/>
      <c r="M481" s="620"/>
      <c r="N481" s="620"/>
      <c r="O481" s="620"/>
      <c r="P481" s="620"/>
      <c r="Q481" s="620"/>
      <c r="R481" s="620"/>
      <c r="S481" s="620"/>
      <c r="T481" s="620"/>
      <c r="U481" s="620"/>
    </row>
    <row r="482">
      <c r="A482" s="905"/>
      <c r="B482" s="905"/>
      <c r="C482" s="520"/>
      <c r="D482" s="906"/>
      <c r="E482" s="907"/>
      <c r="F482" s="908"/>
      <c r="G482" s="909"/>
      <c r="H482" s="910"/>
      <c r="I482" s="907"/>
      <c r="J482" s="912"/>
      <c r="K482" s="909"/>
      <c r="L482" s="913"/>
      <c r="M482" s="620"/>
      <c r="N482" s="620"/>
      <c r="O482" s="620"/>
      <c r="P482" s="620"/>
      <c r="Q482" s="620"/>
      <c r="R482" s="620"/>
      <c r="S482" s="620"/>
      <c r="T482" s="620"/>
      <c r="U482" s="620"/>
    </row>
    <row r="483">
      <c r="A483" s="905"/>
      <c r="B483" s="905"/>
      <c r="C483" s="520"/>
      <c r="D483" s="906"/>
      <c r="E483" s="907"/>
      <c r="F483" s="908"/>
      <c r="G483" s="909"/>
      <c r="H483" s="910"/>
      <c r="I483" s="907"/>
      <c r="J483" s="912"/>
      <c r="K483" s="909"/>
      <c r="L483" s="913"/>
      <c r="M483" s="620"/>
      <c r="N483" s="620"/>
      <c r="O483" s="620"/>
      <c r="P483" s="620"/>
      <c r="Q483" s="620"/>
      <c r="R483" s="620"/>
      <c r="S483" s="620"/>
      <c r="T483" s="620"/>
      <c r="U483" s="620"/>
    </row>
    <row r="484">
      <c r="A484" s="905"/>
      <c r="B484" s="905"/>
      <c r="C484" s="520"/>
      <c r="D484" s="906"/>
      <c r="E484" s="907"/>
      <c r="F484" s="908"/>
      <c r="G484" s="909"/>
      <c r="H484" s="910"/>
      <c r="I484" s="907"/>
      <c r="J484" s="912"/>
      <c r="K484" s="909"/>
      <c r="L484" s="913"/>
      <c r="M484" s="620"/>
      <c r="N484" s="620"/>
      <c r="O484" s="620"/>
      <c r="P484" s="620"/>
      <c r="Q484" s="620"/>
      <c r="R484" s="620"/>
      <c r="S484" s="620"/>
      <c r="T484" s="620"/>
      <c r="U484" s="620"/>
    </row>
    <row r="485">
      <c r="A485" s="905"/>
      <c r="B485" s="905"/>
      <c r="C485" s="520"/>
      <c r="D485" s="906"/>
      <c r="E485" s="907"/>
      <c r="F485" s="908"/>
      <c r="G485" s="909"/>
      <c r="H485" s="910"/>
      <c r="I485" s="907"/>
      <c r="J485" s="912"/>
      <c r="K485" s="909"/>
      <c r="L485" s="913"/>
      <c r="M485" s="620"/>
      <c r="N485" s="620"/>
      <c r="O485" s="620"/>
      <c r="P485" s="620"/>
      <c r="Q485" s="620"/>
      <c r="R485" s="620"/>
      <c r="S485" s="620"/>
      <c r="T485" s="620"/>
      <c r="U485" s="620"/>
    </row>
    <row r="486">
      <c r="A486" s="905"/>
      <c r="B486" s="905"/>
      <c r="C486" s="520"/>
      <c r="D486" s="906"/>
      <c r="E486" s="907"/>
      <c r="F486" s="908"/>
      <c r="G486" s="909"/>
      <c r="H486" s="910"/>
      <c r="I486" s="907"/>
      <c r="J486" s="912"/>
      <c r="K486" s="909"/>
      <c r="L486" s="913"/>
      <c r="M486" s="620"/>
      <c r="N486" s="620"/>
      <c r="O486" s="620"/>
      <c r="P486" s="620"/>
      <c r="Q486" s="620"/>
      <c r="R486" s="620"/>
      <c r="S486" s="620"/>
      <c r="T486" s="620"/>
      <c r="U486" s="620"/>
    </row>
    <row r="487">
      <c r="A487" s="905"/>
      <c r="B487" s="905"/>
      <c r="C487" s="520"/>
      <c r="D487" s="906"/>
      <c r="E487" s="907"/>
      <c r="F487" s="908"/>
      <c r="G487" s="909"/>
      <c r="H487" s="910"/>
      <c r="I487" s="907"/>
      <c r="J487" s="912"/>
      <c r="K487" s="909"/>
      <c r="L487" s="913"/>
      <c r="M487" s="620"/>
      <c r="N487" s="620"/>
      <c r="O487" s="620"/>
      <c r="P487" s="620"/>
      <c r="Q487" s="620"/>
      <c r="R487" s="620"/>
      <c r="S487" s="620"/>
      <c r="T487" s="620"/>
      <c r="U487" s="620"/>
    </row>
    <row r="488">
      <c r="A488" s="905"/>
      <c r="B488" s="905"/>
      <c r="C488" s="520"/>
      <c r="D488" s="906"/>
      <c r="E488" s="907"/>
      <c r="F488" s="908"/>
      <c r="G488" s="909"/>
      <c r="H488" s="910"/>
      <c r="I488" s="907"/>
      <c r="J488" s="912"/>
      <c r="K488" s="909"/>
      <c r="L488" s="913"/>
      <c r="M488" s="620"/>
      <c r="N488" s="620"/>
      <c r="O488" s="620"/>
      <c r="P488" s="620"/>
      <c r="Q488" s="620"/>
      <c r="R488" s="620"/>
      <c r="S488" s="620"/>
      <c r="T488" s="620"/>
      <c r="U488" s="620"/>
    </row>
    <row r="489">
      <c r="A489" s="905"/>
      <c r="B489" s="905"/>
      <c r="C489" s="520"/>
      <c r="D489" s="906"/>
      <c r="E489" s="907"/>
      <c r="F489" s="908"/>
      <c r="G489" s="909"/>
      <c r="H489" s="910"/>
      <c r="I489" s="907"/>
      <c r="J489" s="912"/>
      <c r="K489" s="909"/>
      <c r="L489" s="913"/>
      <c r="M489" s="620"/>
      <c r="N489" s="620"/>
      <c r="O489" s="620"/>
      <c r="P489" s="620"/>
      <c r="Q489" s="620"/>
      <c r="R489" s="620"/>
      <c r="S489" s="620"/>
      <c r="T489" s="620"/>
      <c r="U489" s="620"/>
    </row>
    <row r="490">
      <c r="A490" s="905"/>
      <c r="B490" s="905"/>
      <c r="C490" s="520"/>
      <c r="D490" s="906"/>
      <c r="E490" s="907"/>
      <c r="F490" s="908"/>
      <c r="G490" s="909"/>
      <c r="H490" s="910"/>
      <c r="I490" s="907"/>
      <c r="J490" s="912"/>
      <c r="K490" s="909"/>
      <c r="L490" s="913"/>
      <c r="M490" s="620"/>
      <c r="N490" s="620"/>
      <c r="O490" s="620"/>
      <c r="P490" s="620"/>
      <c r="Q490" s="620"/>
      <c r="R490" s="620"/>
      <c r="S490" s="620"/>
      <c r="T490" s="620"/>
      <c r="U490" s="620"/>
    </row>
    <row r="491">
      <c r="A491" s="905"/>
      <c r="B491" s="905"/>
      <c r="C491" s="520"/>
      <c r="D491" s="906"/>
      <c r="E491" s="907"/>
      <c r="F491" s="908"/>
      <c r="G491" s="909"/>
      <c r="H491" s="910"/>
      <c r="I491" s="907"/>
      <c r="J491" s="912"/>
      <c r="K491" s="909"/>
      <c r="L491" s="913"/>
      <c r="M491" s="620"/>
      <c r="N491" s="620"/>
      <c r="O491" s="620"/>
      <c r="P491" s="620"/>
      <c r="Q491" s="620"/>
      <c r="R491" s="620"/>
      <c r="S491" s="620"/>
      <c r="T491" s="620"/>
      <c r="U491" s="620"/>
    </row>
    <row r="492">
      <c r="A492" s="905"/>
      <c r="B492" s="905"/>
      <c r="C492" s="520"/>
      <c r="D492" s="906"/>
      <c r="E492" s="907"/>
      <c r="F492" s="908"/>
      <c r="G492" s="909"/>
      <c r="H492" s="910"/>
      <c r="I492" s="907"/>
      <c r="J492" s="912"/>
      <c r="K492" s="909"/>
      <c r="L492" s="913"/>
      <c r="M492" s="620"/>
      <c r="N492" s="620"/>
      <c r="O492" s="620"/>
      <c r="P492" s="620"/>
      <c r="Q492" s="620"/>
      <c r="R492" s="620"/>
      <c r="S492" s="620"/>
      <c r="T492" s="620"/>
      <c r="U492" s="620"/>
    </row>
    <row r="493">
      <c r="A493" s="905"/>
      <c r="B493" s="905"/>
      <c r="C493" s="520"/>
      <c r="D493" s="906"/>
      <c r="E493" s="907"/>
      <c r="F493" s="908"/>
      <c r="G493" s="909"/>
      <c r="H493" s="910"/>
      <c r="I493" s="907"/>
      <c r="J493" s="912"/>
      <c r="K493" s="909"/>
      <c r="L493" s="913"/>
      <c r="M493" s="620"/>
      <c r="N493" s="620"/>
      <c r="O493" s="620"/>
      <c r="P493" s="620"/>
      <c r="Q493" s="620"/>
      <c r="R493" s="620"/>
      <c r="S493" s="620"/>
      <c r="T493" s="620"/>
      <c r="U493" s="620"/>
    </row>
    <row r="494">
      <c r="A494" s="905"/>
      <c r="B494" s="905"/>
      <c r="C494" s="520"/>
      <c r="D494" s="906"/>
      <c r="E494" s="907"/>
      <c r="F494" s="908"/>
      <c r="G494" s="909"/>
      <c r="H494" s="910"/>
      <c r="I494" s="907"/>
      <c r="J494" s="912"/>
      <c r="K494" s="909"/>
      <c r="L494" s="913"/>
      <c r="M494" s="620"/>
      <c r="N494" s="620"/>
      <c r="O494" s="620"/>
      <c r="P494" s="620"/>
      <c r="Q494" s="620"/>
      <c r="R494" s="620"/>
      <c r="S494" s="620"/>
      <c r="T494" s="620"/>
      <c r="U494" s="620"/>
    </row>
    <row r="495">
      <c r="A495" s="905"/>
      <c r="B495" s="905"/>
      <c r="C495" s="520"/>
      <c r="D495" s="906"/>
      <c r="E495" s="907"/>
      <c r="F495" s="908"/>
      <c r="G495" s="909"/>
      <c r="H495" s="910"/>
      <c r="I495" s="907"/>
      <c r="J495" s="912"/>
      <c r="K495" s="909"/>
      <c r="L495" s="913"/>
      <c r="M495" s="620"/>
      <c r="N495" s="620"/>
      <c r="O495" s="620"/>
      <c r="P495" s="620"/>
      <c r="Q495" s="620"/>
      <c r="R495" s="620"/>
      <c r="S495" s="620"/>
      <c r="T495" s="620"/>
      <c r="U495" s="620"/>
    </row>
    <row r="496">
      <c r="A496" s="905"/>
      <c r="B496" s="905"/>
      <c r="C496" s="520"/>
      <c r="D496" s="906"/>
      <c r="E496" s="907"/>
      <c r="F496" s="908"/>
      <c r="G496" s="909"/>
      <c r="H496" s="910"/>
      <c r="I496" s="907"/>
      <c r="J496" s="912"/>
      <c r="K496" s="909"/>
      <c r="L496" s="913"/>
      <c r="M496" s="620"/>
      <c r="N496" s="620"/>
      <c r="O496" s="620"/>
      <c r="P496" s="620"/>
      <c r="Q496" s="620"/>
      <c r="R496" s="620"/>
      <c r="S496" s="620"/>
      <c r="T496" s="620"/>
      <c r="U496" s="620"/>
    </row>
    <row r="497">
      <c r="A497" s="905"/>
      <c r="B497" s="905"/>
      <c r="C497" s="520"/>
      <c r="D497" s="906"/>
      <c r="E497" s="907"/>
      <c r="F497" s="908"/>
      <c r="G497" s="909"/>
      <c r="H497" s="910"/>
      <c r="I497" s="907"/>
      <c r="J497" s="912"/>
      <c r="K497" s="909"/>
      <c r="L497" s="913"/>
      <c r="M497" s="620"/>
      <c r="N497" s="620"/>
      <c r="O497" s="620"/>
      <c r="P497" s="620"/>
      <c r="Q497" s="620"/>
      <c r="R497" s="620"/>
      <c r="S497" s="620"/>
      <c r="T497" s="620"/>
      <c r="U497" s="620"/>
    </row>
    <row r="498">
      <c r="A498" s="905"/>
      <c r="B498" s="905"/>
      <c r="C498" s="520"/>
      <c r="D498" s="906"/>
      <c r="E498" s="907"/>
      <c r="F498" s="908"/>
      <c r="G498" s="909"/>
      <c r="H498" s="910"/>
      <c r="I498" s="907"/>
      <c r="J498" s="912"/>
      <c r="K498" s="909"/>
      <c r="L498" s="913"/>
      <c r="M498" s="620"/>
      <c r="N498" s="620"/>
      <c r="O498" s="620"/>
      <c r="P498" s="620"/>
      <c r="Q498" s="620"/>
      <c r="R498" s="620"/>
      <c r="S498" s="620"/>
      <c r="T498" s="620"/>
      <c r="U498" s="620"/>
    </row>
    <row r="499">
      <c r="A499" s="905"/>
      <c r="B499" s="905"/>
      <c r="C499" s="520"/>
      <c r="D499" s="906"/>
      <c r="E499" s="907"/>
      <c r="F499" s="908"/>
      <c r="G499" s="909"/>
      <c r="H499" s="910"/>
      <c r="I499" s="907"/>
      <c r="J499" s="912"/>
      <c r="K499" s="909"/>
      <c r="L499" s="913"/>
      <c r="M499" s="620"/>
      <c r="N499" s="620"/>
      <c r="O499" s="620"/>
      <c r="P499" s="620"/>
      <c r="Q499" s="620"/>
      <c r="R499" s="620"/>
      <c r="S499" s="620"/>
      <c r="T499" s="620"/>
      <c r="U499" s="620"/>
    </row>
    <row r="500">
      <c r="A500" s="905"/>
      <c r="B500" s="905"/>
      <c r="C500" s="520"/>
      <c r="D500" s="906"/>
      <c r="E500" s="907"/>
      <c r="F500" s="908"/>
      <c r="G500" s="909"/>
      <c r="H500" s="910"/>
      <c r="I500" s="907"/>
      <c r="J500" s="912"/>
      <c r="K500" s="909"/>
      <c r="L500" s="913"/>
      <c r="M500" s="620"/>
      <c r="N500" s="620"/>
      <c r="O500" s="620"/>
      <c r="P500" s="620"/>
      <c r="Q500" s="620"/>
      <c r="R500" s="620"/>
      <c r="S500" s="620"/>
      <c r="T500" s="620"/>
      <c r="U500" s="620"/>
    </row>
    <row r="501">
      <c r="A501" s="905"/>
      <c r="B501" s="905"/>
      <c r="C501" s="520"/>
      <c r="D501" s="906"/>
      <c r="E501" s="907"/>
      <c r="F501" s="908"/>
      <c r="G501" s="909"/>
      <c r="H501" s="910"/>
      <c r="I501" s="907"/>
      <c r="J501" s="912"/>
      <c r="K501" s="909"/>
      <c r="L501" s="913"/>
      <c r="M501" s="620"/>
      <c r="N501" s="620"/>
      <c r="O501" s="620"/>
      <c r="P501" s="620"/>
      <c r="Q501" s="620"/>
      <c r="R501" s="620"/>
      <c r="S501" s="620"/>
      <c r="T501" s="620"/>
      <c r="U501" s="620"/>
    </row>
    <row r="502">
      <c r="A502" s="905"/>
      <c r="B502" s="905"/>
      <c r="C502" s="520"/>
      <c r="D502" s="906"/>
      <c r="E502" s="907"/>
      <c r="F502" s="908"/>
      <c r="G502" s="909"/>
      <c r="H502" s="910"/>
      <c r="I502" s="907"/>
      <c r="J502" s="912"/>
      <c r="K502" s="909"/>
      <c r="L502" s="913"/>
      <c r="M502" s="620"/>
      <c r="N502" s="620"/>
      <c r="O502" s="620"/>
      <c r="P502" s="620"/>
      <c r="Q502" s="620"/>
      <c r="R502" s="620"/>
      <c r="S502" s="620"/>
      <c r="T502" s="620"/>
      <c r="U502" s="620"/>
    </row>
    <row r="503">
      <c r="A503" s="905"/>
      <c r="B503" s="905"/>
      <c r="C503" s="520"/>
      <c r="D503" s="906"/>
      <c r="E503" s="907"/>
      <c r="F503" s="908"/>
      <c r="G503" s="909"/>
      <c r="H503" s="910"/>
      <c r="I503" s="907"/>
      <c r="J503" s="912"/>
      <c r="K503" s="909"/>
      <c r="L503" s="913"/>
      <c r="M503" s="620"/>
      <c r="N503" s="620"/>
      <c r="O503" s="620"/>
      <c r="P503" s="620"/>
      <c r="Q503" s="620"/>
      <c r="R503" s="620"/>
      <c r="S503" s="620"/>
      <c r="T503" s="620"/>
      <c r="U503" s="620"/>
    </row>
    <row r="504">
      <c r="A504" s="905"/>
      <c r="B504" s="905"/>
      <c r="C504" s="520"/>
      <c r="D504" s="906"/>
      <c r="E504" s="907"/>
      <c r="F504" s="908"/>
      <c r="G504" s="909"/>
      <c r="H504" s="910"/>
      <c r="I504" s="907"/>
      <c r="J504" s="912"/>
      <c r="K504" s="909"/>
      <c r="L504" s="913"/>
      <c r="M504" s="620"/>
      <c r="N504" s="620"/>
      <c r="O504" s="620"/>
      <c r="P504" s="620"/>
      <c r="Q504" s="620"/>
      <c r="R504" s="620"/>
      <c r="S504" s="620"/>
      <c r="T504" s="620"/>
      <c r="U504" s="620"/>
    </row>
    <row r="505">
      <c r="A505" s="905"/>
      <c r="B505" s="905"/>
      <c r="C505" s="520"/>
      <c r="D505" s="906"/>
      <c r="E505" s="907"/>
      <c r="F505" s="908"/>
      <c r="G505" s="909"/>
      <c r="H505" s="910"/>
      <c r="I505" s="907"/>
      <c r="J505" s="912"/>
      <c r="K505" s="909"/>
      <c r="L505" s="913"/>
      <c r="M505" s="620"/>
      <c r="N505" s="620"/>
      <c r="O505" s="620"/>
      <c r="P505" s="620"/>
      <c r="Q505" s="620"/>
      <c r="R505" s="620"/>
      <c r="S505" s="620"/>
      <c r="T505" s="620"/>
      <c r="U505" s="620"/>
    </row>
    <row r="506">
      <c r="A506" s="905"/>
      <c r="B506" s="905"/>
      <c r="C506" s="520"/>
      <c r="D506" s="906"/>
      <c r="E506" s="907"/>
      <c r="F506" s="908"/>
      <c r="G506" s="909"/>
      <c r="H506" s="910"/>
      <c r="I506" s="907"/>
      <c r="J506" s="912"/>
      <c r="K506" s="909"/>
      <c r="L506" s="913"/>
      <c r="M506" s="620"/>
      <c r="N506" s="620"/>
      <c r="O506" s="620"/>
      <c r="P506" s="620"/>
      <c r="Q506" s="620"/>
      <c r="R506" s="620"/>
      <c r="S506" s="620"/>
      <c r="T506" s="620"/>
      <c r="U506" s="620"/>
    </row>
    <row r="507">
      <c r="A507" s="905"/>
      <c r="B507" s="905"/>
      <c r="C507" s="520"/>
      <c r="D507" s="906"/>
      <c r="E507" s="907"/>
      <c r="F507" s="908"/>
      <c r="G507" s="909"/>
      <c r="H507" s="910"/>
      <c r="I507" s="907"/>
      <c r="J507" s="912"/>
      <c r="K507" s="909"/>
      <c r="L507" s="913"/>
      <c r="M507" s="620"/>
      <c r="N507" s="620"/>
      <c r="O507" s="620"/>
      <c r="P507" s="620"/>
      <c r="Q507" s="620"/>
      <c r="R507" s="620"/>
      <c r="S507" s="620"/>
      <c r="T507" s="620"/>
      <c r="U507" s="620"/>
    </row>
    <row r="508">
      <c r="A508" s="905"/>
      <c r="B508" s="905"/>
      <c r="C508" s="520"/>
      <c r="D508" s="906"/>
      <c r="E508" s="907"/>
      <c r="F508" s="908"/>
      <c r="G508" s="909"/>
      <c r="H508" s="910"/>
      <c r="I508" s="907"/>
      <c r="J508" s="912"/>
      <c r="K508" s="909"/>
      <c r="L508" s="913"/>
      <c r="M508" s="620"/>
      <c r="N508" s="620"/>
      <c r="O508" s="620"/>
      <c r="P508" s="620"/>
      <c r="Q508" s="620"/>
      <c r="R508" s="620"/>
      <c r="S508" s="620"/>
      <c r="T508" s="620"/>
      <c r="U508" s="620"/>
    </row>
    <row r="509">
      <c r="A509" s="905"/>
      <c r="B509" s="905"/>
      <c r="C509" s="520"/>
      <c r="D509" s="906"/>
      <c r="E509" s="907"/>
      <c r="F509" s="908"/>
      <c r="G509" s="909"/>
      <c r="H509" s="910"/>
      <c r="I509" s="907"/>
      <c r="J509" s="912"/>
      <c r="K509" s="909"/>
      <c r="L509" s="913"/>
      <c r="M509" s="620"/>
      <c r="N509" s="620"/>
      <c r="O509" s="620"/>
      <c r="P509" s="620"/>
      <c r="Q509" s="620"/>
      <c r="R509" s="620"/>
      <c r="S509" s="620"/>
      <c r="T509" s="620"/>
      <c r="U509" s="620"/>
    </row>
    <row r="510">
      <c r="A510" s="905"/>
      <c r="B510" s="905"/>
      <c r="C510" s="520"/>
      <c r="D510" s="906"/>
      <c r="E510" s="907"/>
      <c r="F510" s="908"/>
      <c r="G510" s="909"/>
      <c r="H510" s="910"/>
      <c r="I510" s="907"/>
      <c r="J510" s="912"/>
      <c r="K510" s="909"/>
      <c r="L510" s="913"/>
      <c r="M510" s="620"/>
      <c r="N510" s="620"/>
      <c r="O510" s="620"/>
      <c r="P510" s="620"/>
      <c r="Q510" s="620"/>
      <c r="R510" s="620"/>
      <c r="S510" s="620"/>
      <c r="T510" s="620"/>
      <c r="U510" s="620"/>
    </row>
    <row r="511">
      <c r="A511" s="905"/>
      <c r="B511" s="905"/>
      <c r="C511" s="520"/>
      <c r="D511" s="906"/>
      <c r="E511" s="907"/>
      <c r="F511" s="908"/>
      <c r="G511" s="909"/>
      <c r="H511" s="910"/>
      <c r="I511" s="907"/>
      <c r="J511" s="912"/>
      <c r="K511" s="909"/>
      <c r="L511" s="913"/>
      <c r="M511" s="620"/>
      <c r="N511" s="620"/>
      <c r="O511" s="620"/>
      <c r="P511" s="620"/>
      <c r="Q511" s="620"/>
      <c r="R511" s="620"/>
      <c r="S511" s="620"/>
      <c r="T511" s="620"/>
      <c r="U511" s="620"/>
    </row>
    <row r="512">
      <c r="A512" s="905"/>
      <c r="B512" s="905"/>
      <c r="C512" s="520"/>
      <c r="D512" s="906"/>
      <c r="E512" s="907"/>
      <c r="F512" s="908"/>
      <c r="G512" s="909"/>
      <c r="H512" s="910"/>
      <c r="I512" s="907"/>
      <c r="J512" s="912"/>
      <c r="K512" s="909"/>
      <c r="L512" s="913"/>
      <c r="M512" s="620"/>
      <c r="N512" s="620"/>
      <c r="O512" s="620"/>
      <c r="P512" s="620"/>
      <c r="Q512" s="620"/>
      <c r="R512" s="620"/>
      <c r="S512" s="620"/>
      <c r="T512" s="620"/>
      <c r="U512" s="620"/>
    </row>
    <row r="513">
      <c r="A513" s="905"/>
      <c r="B513" s="905"/>
      <c r="C513" s="520"/>
      <c r="D513" s="906"/>
      <c r="E513" s="907"/>
      <c r="F513" s="908"/>
      <c r="G513" s="909"/>
      <c r="H513" s="910"/>
      <c r="I513" s="907"/>
      <c r="J513" s="912"/>
      <c r="K513" s="909"/>
      <c r="L513" s="913"/>
      <c r="M513" s="620"/>
      <c r="N513" s="620"/>
      <c r="O513" s="620"/>
      <c r="P513" s="620"/>
      <c r="Q513" s="620"/>
      <c r="R513" s="620"/>
      <c r="S513" s="620"/>
      <c r="T513" s="620"/>
      <c r="U513" s="620"/>
    </row>
    <row r="514">
      <c r="A514" s="905"/>
      <c r="B514" s="905"/>
      <c r="C514" s="520"/>
      <c r="D514" s="906"/>
      <c r="E514" s="907"/>
      <c r="F514" s="908"/>
      <c r="G514" s="909"/>
      <c r="H514" s="910"/>
      <c r="I514" s="907"/>
      <c r="J514" s="912"/>
      <c r="K514" s="909"/>
      <c r="L514" s="913"/>
      <c r="M514" s="620"/>
      <c r="N514" s="620"/>
      <c r="O514" s="620"/>
      <c r="P514" s="620"/>
      <c r="Q514" s="620"/>
      <c r="R514" s="620"/>
      <c r="S514" s="620"/>
      <c r="T514" s="620"/>
      <c r="U514" s="620"/>
    </row>
    <row r="515">
      <c r="A515" s="905"/>
      <c r="B515" s="905"/>
      <c r="C515" s="520"/>
      <c r="D515" s="906"/>
      <c r="E515" s="907"/>
      <c r="F515" s="908"/>
      <c r="G515" s="909"/>
      <c r="H515" s="910"/>
      <c r="I515" s="907"/>
      <c r="J515" s="912"/>
      <c r="K515" s="909"/>
      <c r="L515" s="913"/>
      <c r="M515" s="620"/>
      <c r="N515" s="620"/>
      <c r="O515" s="620"/>
      <c r="P515" s="620"/>
      <c r="Q515" s="620"/>
      <c r="R515" s="620"/>
      <c r="S515" s="620"/>
      <c r="T515" s="620"/>
      <c r="U515" s="620"/>
    </row>
    <row r="516">
      <c r="A516" s="905"/>
      <c r="B516" s="905"/>
      <c r="C516" s="520"/>
      <c r="D516" s="906"/>
      <c r="E516" s="907"/>
      <c r="F516" s="908"/>
      <c r="G516" s="909"/>
      <c r="H516" s="910"/>
      <c r="I516" s="907"/>
      <c r="J516" s="912"/>
      <c r="K516" s="909"/>
      <c r="L516" s="913"/>
      <c r="M516" s="620"/>
      <c r="N516" s="620"/>
      <c r="O516" s="620"/>
      <c r="P516" s="620"/>
      <c r="Q516" s="620"/>
      <c r="R516" s="620"/>
      <c r="S516" s="620"/>
      <c r="T516" s="620"/>
      <c r="U516" s="620"/>
    </row>
    <row r="517">
      <c r="A517" s="905"/>
      <c r="B517" s="905"/>
      <c r="C517" s="520"/>
      <c r="D517" s="906"/>
      <c r="E517" s="907"/>
      <c r="F517" s="908"/>
      <c r="G517" s="909"/>
      <c r="H517" s="910"/>
      <c r="I517" s="907"/>
      <c r="J517" s="912"/>
      <c r="K517" s="909"/>
      <c r="L517" s="913"/>
      <c r="M517" s="620"/>
      <c r="N517" s="620"/>
      <c r="O517" s="620"/>
      <c r="P517" s="620"/>
      <c r="Q517" s="620"/>
      <c r="R517" s="620"/>
      <c r="S517" s="620"/>
      <c r="T517" s="620"/>
      <c r="U517" s="620"/>
    </row>
    <row r="518">
      <c r="A518" s="905"/>
      <c r="B518" s="905"/>
      <c r="C518" s="520"/>
      <c r="D518" s="906"/>
      <c r="E518" s="907"/>
      <c r="F518" s="908"/>
      <c r="G518" s="909"/>
      <c r="H518" s="910"/>
      <c r="I518" s="907"/>
      <c r="J518" s="912"/>
      <c r="K518" s="909"/>
      <c r="L518" s="913"/>
      <c r="M518" s="620"/>
      <c r="N518" s="620"/>
      <c r="O518" s="620"/>
      <c r="P518" s="620"/>
      <c r="Q518" s="620"/>
      <c r="R518" s="620"/>
      <c r="S518" s="620"/>
      <c r="T518" s="620"/>
      <c r="U518" s="620"/>
    </row>
    <row r="519">
      <c r="A519" s="905"/>
      <c r="B519" s="905"/>
      <c r="C519" s="520"/>
      <c r="D519" s="906"/>
      <c r="E519" s="907"/>
      <c r="F519" s="908"/>
      <c r="G519" s="909"/>
      <c r="H519" s="910"/>
      <c r="I519" s="907"/>
      <c r="J519" s="912"/>
      <c r="K519" s="909"/>
      <c r="L519" s="913"/>
      <c r="M519" s="620"/>
      <c r="N519" s="620"/>
      <c r="O519" s="620"/>
      <c r="P519" s="620"/>
      <c r="Q519" s="620"/>
      <c r="R519" s="620"/>
      <c r="S519" s="620"/>
      <c r="T519" s="620"/>
      <c r="U519" s="620"/>
    </row>
    <row r="520">
      <c r="A520" s="905"/>
      <c r="B520" s="905"/>
      <c r="C520" s="520"/>
      <c r="D520" s="906"/>
      <c r="E520" s="907"/>
      <c r="F520" s="908"/>
      <c r="G520" s="909"/>
      <c r="H520" s="910"/>
      <c r="I520" s="907"/>
      <c r="J520" s="912"/>
      <c r="K520" s="909"/>
      <c r="L520" s="913"/>
      <c r="M520" s="620"/>
      <c r="N520" s="620"/>
      <c r="O520" s="620"/>
      <c r="P520" s="620"/>
      <c r="Q520" s="620"/>
      <c r="R520" s="620"/>
      <c r="S520" s="620"/>
      <c r="T520" s="620"/>
      <c r="U520" s="620"/>
    </row>
    <row r="521">
      <c r="A521" s="905"/>
      <c r="B521" s="905"/>
      <c r="C521" s="520"/>
      <c r="D521" s="906"/>
      <c r="E521" s="907"/>
      <c r="F521" s="908"/>
      <c r="G521" s="909"/>
      <c r="H521" s="910"/>
      <c r="I521" s="907"/>
      <c r="J521" s="912"/>
      <c r="K521" s="909"/>
      <c r="L521" s="913"/>
      <c r="M521" s="620"/>
      <c r="N521" s="620"/>
      <c r="O521" s="620"/>
      <c r="P521" s="620"/>
      <c r="Q521" s="620"/>
      <c r="R521" s="620"/>
      <c r="S521" s="620"/>
      <c r="T521" s="620"/>
      <c r="U521" s="620"/>
    </row>
    <row r="522">
      <c r="A522" s="905"/>
      <c r="B522" s="905"/>
      <c r="C522" s="520"/>
      <c r="D522" s="906"/>
      <c r="E522" s="907"/>
      <c r="F522" s="908"/>
      <c r="G522" s="909"/>
      <c r="H522" s="910"/>
      <c r="I522" s="907"/>
      <c r="J522" s="912"/>
      <c r="K522" s="909"/>
      <c r="L522" s="913"/>
      <c r="M522" s="620"/>
      <c r="N522" s="620"/>
      <c r="O522" s="620"/>
      <c r="P522" s="620"/>
      <c r="Q522" s="620"/>
      <c r="R522" s="620"/>
      <c r="S522" s="620"/>
      <c r="T522" s="620"/>
      <c r="U522" s="620"/>
    </row>
    <row r="523">
      <c r="A523" s="905"/>
      <c r="B523" s="905"/>
      <c r="C523" s="520"/>
      <c r="D523" s="906"/>
      <c r="E523" s="907"/>
      <c r="F523" s="908"/>
      <c r="G523" s="909"/>
      <c r="H523" s="910"/>
      <c r="I523" s="907"/>
      <c r="J523" s="912"/>
      <c r="K523" s="909"/>
      <c r="L523" s="913"/>
      <c r="M523" s="620"/>
      <c r="N523" s="620"/>
      <c r="O523" s="620"/>
      <c r="P523" s="620"/>
      <c r="Q523" s="620"/>
      <c r="R523" s="620"/>
      <c r="S523" s="620"/>
      <c r="T523" s="620"/>
      <c r="U523" s="620"/>
    </row>
    <row r="524">
      <c r="A524" s="905"/>
      <c r="B524" s="905"/>
      <c r="C524" s="520"/>
      <c r="D524" s="906"/>
      <c r="E524" s="907"/>
      <c r="F524" s="908"/>
      <c r="G524" s="909"/>
      <c r="H524" s="910"/>
      <c r="I524" s="907"/>
      <c r="J524" s="912"/>
      <c r="K524" s="909"/>
      <c r="L524" s="913"/>
      <c r="M524" s="620"/>
      <c r="N524" s="620"/>
      <c r="O524" s="620"/>
      <c r="P524" s="620"/>
      <c r="Q524" s="620"/>
      <c r="R524" s="620"/>
      <c r="S524" s="620"/>
      <c r="T524" s="620"/>
      <c r="U524" s="620"/>
    </row>
    <row r="525">
      <c r="A525" s="905"/>
      <c r="B525" s="905"/>
      <c r="C525" s="520"/>
      <c r="D525" s="906"/>
      <c r="E525" s="907"/>
      <c r="F525" s="908"/>
      <c r="G525" s="909"/>
      <c r="H525" s="910"/>
      <c r="I525" s="907"/>
      <c r="J525" s="912"/>
      <c r="K525" s="909"/>
      <c r="L525" s="913"/>
      <c r="M525" s="620"/>
      <c r="N525" s="620"/>
      <c r="O525" s="620"/>
      <c r="P525" s="620"/>
      <c r="Q525" s="620"/>
      <c r="R525" s="620"/>
      <c r="S525" s="620"/>
      <c r="T525" s="620"/>
      <c r="U525" s="620"/>
    </row>
    <row r="526">
      <c r="A526" s="905"/>
      <c r="B526" s="905"/>
      <c r="C526" s="520"/>
      <c r="D526" s="906"/>
      <c r="E526" s="907"/>
      <c r="F526" s="908"/>
      <c r="G526" s="909"/>
      <c r="H526" s="910"/>
      <c r="I526" s="907"/>
      <c r="J526" s="912"/>
      <c r="K526" s="909"/>
      <c r="L526" s="913"/>
      <c r="M526" s="620"/>
      <c r="N526" s="620"/>
      <c r="O526" s="620"/>
      <c r="P526" s="620"/>
      <c r="Q526" s="620"/>
      <c r="R526" s="620"/>
      <c r="S526" s="620"/>
      <c r="T526" s="620"/>
      <c r="U526" s="620"/>
    </row>
    <row r="527">
      <c r="A527" s="905"/>
      <c r="B527" s="905"/>
      <c r="C527" s="520"/>
      <c r="D527" s="906"/>
      <c r="E527" s="907"/>
      <c r="F527" s="908"/>
      <c r="G527" s="909"/>
      <c r="H527" s="910"/>
      <c r="I527" s="907"/>
      <c r="J527" s="912"/>
      <c r="K527" s="909"/>
      <c r="L527" s="913"/>
      <c r="M527" s="620"/>
      <c r="N527" s="620"/>
      <c r="O527" s="620"/>
      <c r="P527" s="620"/>
      <c r="Q527" s="620"/>
      <c r="R527" s="620"/>
      <c r="S527" s="620"/>
      <c r="T527" s="620"/>
      <c r="U527" s="620"/>
    </row>
    <row r="528">
      <c r="A528" s="905"/>
      <c r="B528" s="905"/>
      <c r="C528" s="520"/>
      <c r="D528" s="906"/>
      <c r="E528" s="907"/>
      <c r="F528" s="908"/>
      <c r="G528" s="909"/>
      <c r="H528" s="910"/>
      <c r="I528" s="907"/>
      <c r="J528" s="912"/>
      <c r="K528" s="909"/>
      <c r="L528" s="913"/>
      <c r="M528" s="620"/>
      <c r="N528" s="620"/>
      <c r="O528" s="620"/>
      <c r="P528" s="620"/>
      <c r="Q528" s="620"/>
      <c r="R528" s="620"/>
      <c r="S528" s="620"/>
      <c r="T528" s="620"/>
      <c r="U528" s="620"/>
    </row>
    <row r="529">
      <c r="A529" s="905"/>
      <c r="B529" s="905"/>
      <c r="C529" s="520"/>
      <c r="D529" s="906"/>
      <c r="E529" s="907"/>
      <c r="F529" s="908"/>
      <c r="G529" s="909"/>
      <c r="H529" s="910"/>
      <c r="I529" s="907"/>
      <c r="J529" s="912"/>
      <c r="K529" s="909"/>
      <c r="L529" s="913"/>
      <c r="M529" s="620"/>
      <c r="N529" s="620"/>
      <c r="O529" s="620"/>
      <c r="P529" s="620"/>
      <c r="Q529" s="620"/>
      <c r="R529" s="620"/>
      <c r="S529" s="620"/>
      <c r="T529" s="620"/>
      <c r="U529" s="620"/>
    </row>
    <row r="530">
      <c r="A530" s="905"/>
      <c r="B530" s="905"/>
      <c r="C530" s="520"/>
      <c r="D530" s="906"/>
      <c r="E530" s="907"/>
      <c r="F530" s="908"/>
      <c r="G530" s="909"/>
      <c r="H530" s="910"/>
      <c r="I530" s="907"/>
      <c r="J530" s="912"/>
      <c r="K530" s="909"/>
      <c r="L530" s="913"/>
      <c r="M530" s="620"/>
      <c r="N530" s="620"/>
      <c r="O530" s="620"/>
      <c r="P530" s="620"/>
      <c r="Q530" s="620"/>
      <c r="R530" s="620"/>
      <c r="S530" s="620"/>
      <c r="T530" s="620"/>
      <c r="U530" s="620"/>
    </row>
    <row r="531">
      <c r="A531" s="905"/>
      <c r="B531" s="905"/>
      <c r="C531" s="520"/>
      <c r="D531" s="906"/>
      <c r="E531" s="907"/>
      <c r="F531" s="908"/>
      <c r="G531" s="909"/>
      <c r="H531" s="910"/>
      <c r="I531" s="907"/>
      <c r="J531" s="912"/>
      <c r="K531" s="909"/>
      <c r="L531" s="913"/>
      <c r="M531" s="620"/>
      <c r="N531" s="620"/>
      <c r="O531" s="620"/>
      <c r="P531" s="620"/>
      <c r="Q531" s="620"/>
      <c r="R531" s="620"/>
      <c r="S531" s="620"/>
      <c r="T531" s="620"/>
      <c r="U531" s="620"/>
    </row>
    <row r="532">
      <c r="A532" s="905"/>
      <c r="B532" s="905"/>
      <c r="C532" s="520"/>
      <c r="D532" s="906"/>
      <c r="E532" s="907"/>
      <c r="F532" s="908"/>
      <c r="G532" s="909"/>
      <c r="H532" s="910"/>
      <c r="I532" s="907"/>
      <c r="J532" s="912"/>
      <c r="K532" s="909"/>
      <c r="L532" s="913"/>
      <c r="M532" s="620"/>
      <c r="N532" s="620"/>
      <c r="O532" s="620"/>
      <c r="P532" s="620"/>
      <c r="Q532" s="620"/>
      <c r="R532" s="620"/>
      <c r="S532" s="620"/>
      <c r="T532" s="620"/>
      <c r="U532" s="620"/>
    </row>
    <row r="533">
      <c r="A533" s="905"/>
      <c r="B533" s="905"/>
      <c r="C533" s="520"/>
      <c r="D533" s="906"/>
      <c r="E533" s="907"/>
      <c r="F533" s="908"/>
      <c r="G533" s="909"/>
      <c r="H533" s="910"/>
      <c r="I533" s="907"/>
      <c r="J533" s="912"/>
      <c r="K533" s="909"/>
      <c r="L533" s="913"/>
      <c r="M533" s="620"/>
      <c r="N533" s="620"/>
      <c r="O533" s="620"/>
      <c r="P533" s="620"/>
      <c r="Q533" s="620"/>
      <c r="R533" s="620"/>
      <c r="S533" s="620"/>
      <c r="T533" s="620"/>
      <c r="U533" s="620"/>
    </row>
    <row r="534">
      <c r="A534" s="905"/>
      <c r="B534" s="905"/>
      <c r="C534" s="520"/>
      <c r="D534" s="906"/>
      <c r="E534" s="907"/>
      <c r="F534" s="908"/>
      <c r="G534" s="909"/>
      <c r="H534" s="910"/>
      <c r="I534" s="907"/>
      <c r="J534" s="912"/>
      <c r="K534" s="909"/>
      <c r="L534" s="913"/>
      <c r="M534" s="620"/>
      <c r="N534" s="620"/>
      <c r="O534" s="620"/>
      <c r="P534" s="620"/>
      <c r="Q534" s="620"/>
      <c r="R534" s="620"/>
      <c r="S534" s="620"/>
      <c r="T534" s="620"/>
      <c r="U534" s="620"/>
    </row>
    <row r="535">
      <c r="A535" s="905"/>
      <c r="B535" s="905"/>
      <c r="C535" s="520"/>
      <c r="D535" s="906"/>
      <c r="E535" s="907"/>
      <c r="F535" s="908"/>
      <c r="G535" s="909"/>
      <c r="H535" s="910"/>
      <c r="I535" s="907"/>
      <c r="J535" s="912"/>
      <c r="K535" s="909"/>
      <c r="L535" s="913"/>
      <c r="M535" s="620"/>
      <c r="N535" s="620"/>
      <c r="O535" s="620"/>
      <c r="P535" s="620"/>
      <c r="Q535" s="620"/>
      <c r="R535" s="620"/>
      <c r="S535" s="620"/>
      <c r="T535" s="620"/>
      <c r="U535" s="620"/>
    </row>
    <row r="536">
      <c r="A536" s="905"/>
      <c r="B536" s="905"/>
      <c r="C536" s="520"/>
      <c r="D536" s="906"/>
      <c r="E536" s="907"/>
      <c r="F536" s="908"/>
      <c r="G536" s="909"/>
      <c r="H536" s="910"/>
      <c r="I536" s="907"/>
      <c r="J536" s="912"/>
      <c r="K536" s="909"/>
      <c r="L536" s="913"/>
      <c r="M536" s="620"/>
      <c r="N536" s="620"/>
      <c r="O536" s="620"/>
      <c r="P536" s="620"/>
      <c r="Q536" s="620"/>
      <c r="R536" s="620"/>
      <c r="S536" s="620"/>
      <c r="T536" s="620"/>
      <c r="U536" s="620"/>
    </row>
    <row r="537">
      <c r="A537" s="905"/>
      <c r="B537" s="905"/>
      <c r="C537" s="520"/>
      <c r="D537" s="906"/>
      <c r="E537" s="907"/>
      <c r="F537" s="908"/>
      <c r="G537" s="909"/>
      <c r="H537" s="910"/>
      <c r="I537" s="907"/>
      <c r="J537" s="912"/>
      <c r="K537" s="909"/>
      <c r="L537" s="913"/>
      <c r="M537" s="620"/>
      <c r="N537" s="620"/>
      <c r="O537" s="620"/>
      <c r="P537" s="620"/>
      <c r="Q537" s="620"/>
      <c r="R537" s="620"/>
      <c r="S537" s="620"/>
      <c r="T537" s="620"/>
      <c r="U537" s="620"/>
    </row>
    <row r="538">
      <c r="A538" s="905"/>
      <c r="B538" s="905"/>
      <c r="C538" s="520"/>
      <c r="D538" s="906"/>
      <c r="E538" s="907"/>
      <c r="F538" s="908"/>
      <c r="G538" s="909"/>
      <c r="H538" s="910"/>
      <c r="I538" s="907"/>
      <c r="J538" s="912"/>
      <c r="K538" s="909"/>
      <c r="L538" s="913"/>
      <c r="M538" s="620"/>
      <c r="N538" s="620"/>
      <c r="O538" s="620"/>
      <c r="P538" s="620"/>
      <c r="Q538" s="620"/>
      <c r="R538" s="620"/>
      <c r="S538" s="620"/>
      <c r="T538" s="620"/>
      <c r="U538" s="620"/>
    </row>
    <row r="539">
      <c r="A539" s="905"/>
      <c r="B539" s="905"/>
      <c r="C539" s="520"/>
      <c r="D539" s="906"/>
      <c r="E539" s="907"/>
      <c r="F539" s="908"/>
      <c r="G539" s="909"/>
      <c r="H539" s="910"/>
      <c r="I539" s="907"/>
      <c r="J539" s="912"/>
      <c r="K539" s="909"/>
      <c r="L539" s="913"/>
      <c r="M539" s="620"/>
      <c r="N539" s="620"/>
      <c r="O539" s="620"/>
      <c r="P539" s="620"/>
      <c r="Q539" s="620"/>
      <c r="R539" s="620"/>
      <c r="S539" s="620"/>
      <c r="T539" s="620"/>
      <c r="U539" s="620"/>
    </row>
    <row r="540">
      <c r="A540" s="905"/>
      <c r="B540" s="905"/>
      <c r="C540" s="520"/>
      <c r="D540" s="906"/>
      <c r="E540" s="907"/>
      <c r="F540" s="908"/>
      <c r="G540" s="909"/>
      <c r="H540" s="910"/>
      <c r="I540" s="907"/>
      <c r="J540" s="912"/>
      <c r="K540" s="909"/>
      <c r="L540" s="913"/>
      <c r="M540" s="620"/>
      <c r="N540" s="620"/>
      <c r="O540" s="620"/>
      <c r="P540" s="620"/>
      <c r="Q540" s="620"/>
      <c r="R540" s="620"/>
      <c r="S540" s="620"/>
      <c r="T540" s="620"/>
      <c r="U540" s="620"/>
    </row>
    <row r="541">
      <c r="A541" s="905"/>
      <c r="B541" s="905"/>
      <c r="C541" s="520"/>
      <c r="D541" s="906"/>
      <c r="E541" s="907"/>
      <c r="F541" s="908"/>
      <c r="G541" s="909"/>
      <c r="H541" s="910"/>
      <c r="I541" s="907"/>
      <c r="J541" s="912"/>
      <c r="K541" s="909"/>
      <c r="L541" s="913"/>
      <c r="M541" s="620"/>
      <c r="N541" s="620"/>
      <c r="O541" s="620"/>
      <c r="P541" s="620"/>
      <c r="Q541" s="620"/>
      <c r="R541" s="620"/>
      <c r="S541" s="620"/>
      <c r="T541" s="620"/>
      <c r="U541" s="620"/>
    </row>
    <row r="542">
      <c r="A542" s="905"/>
      <c r="B542" s="905"/>
      <c r="C542" s="520"/>
      <c r="D542" s="906"/>
      <c r="E542" s="907"/>
      <c r="F542" s="908"/>
      <c r="G542" s="909"/>
      <c r="H542" s="910"/>
      <c r="I542" s="907"/>
      <c r="J542" s="912"/>
      <c r="K542" s="909"/>
      <c r="L542" s="913"/>
      <c r="M542" s="620"/>
      <c r="N542" s="620"/>
      <c r="O542" s="620"/>
      <c r="P542" s="620"/>
      <c r="Q542" s="620"/>
      <c r="R542" s="620"/>
      <c r="S542" s="620"/>
      <c r="T542" s="620"/>
      <c r="U542" s="620"/>
    </row>
    <row r="543">
      <c r="A543" s="905"/>
      <c r="B543" s="905"/>
      <c r="C543" s="520"/>
      <c r="D543" s="906"/>
      <c r="E543" s="907"/>
      <c r="F543" s="908"/>
      <c r="G543" s="909"/>
      <c r="H543" s="910"/>
      <c r="I543" s="907"/>
      <c r="J543" s="912"/>
      <c r="K543" s="909"/>
      <c r="L543" s="913"/>
      <c r="M543" s="620"/>
      <c r="N543" s="620"/>
      <c r="O543" s="620"/>
      <c r="P543" s="620"/>
      <c r="Q543" s="620"/>
      <c r="R543" s="620"/>
      <c r="S543" s="620"/>
      <c r="T543" s="620"/>
      <c r="U543" s="620"/>
    </row>
    <row r="544">
      <c r="A544" s="905"/>
      <c r="B544" s="905"/>
      <c r="C544" s="520"/>
      <c r="D544" s="906"/>
      <c r="E544" s="907"/>
      <c r="F544" s="908"/>
      <c r="G544" s="909"/>
      <c r="H544" s="910"/>
      <c r="I544" s="907"/>
      <c r="J544" s="912"/>
      <c r="K544" s="909"/>
      <c r="L544" s="913"/>
      <c r="M544" s="620"/>
      <c r="N544" s="620"/>
      <c r="O544" s="620"/>
      <c r="P544" s="620"/>
      <c r="Q544" s="620"/>
      <c r="R544" s="620"/>
      <c r="S544" s="620"/>
      <c r="T544" s="620"/>
      <c r="U544" s="620"/>
    </row>
    <row r="545">
      <c r="A545" s="905"/>
      <c r="B545" s="905"/>
      <c r="C545" s="520"/>
      <c r="D545" s="906"/>
      <c r="E545" s="907"/>
      <c r="F545" s="908"/>
      <c r="G545" s="909"/>
      <c r="H545" s="910"/>
      <c r="I545" s="907"/>
      <c r="J545" s="912"/>
      <c r="K545" s="909"/>
      <c r="L545" s="913"/>
      <c r="M545" s="620"/>
      <c r="N545" s="620"/>
      <c r="O545" s="620"/>
      <c r="P545" s="620"/>
      <c r="Q545" s="620"/>
      <c r="R545" s="620"/>
      <c r="S545" s="620"/>
      <c r="T545" s="620"/>
      <c r="U545" s="620"/>
    </row>
    <row r="546">
      <c r="A546" s="905"/>
      <c r="B546" s="905"/>
      <c r="C546" s="520"/>
      <c r="D546" s="906"/>
      <c r="E546" s="907"/>
      <c r="F546" s="908"/>
      <c r="G546" s="909"/>
      <c r="H546" s="910"/>
      <c r="I546" s="907"/>
      <c r="J546" s="912"/>
      <c r="K546" s="909"/>
      <c r="L546" s="913"/>
      <c r="M546" s="620"/>
      <c r="N546" s="620"/>
      <c r="O546" s="620"/>
      <c r="P546" s="620"/>
      <c r="Q546" s="620"/>
      <c r="R546" s="620"/>
      <c r="S546" s="620"/>
      <c r="T546" s="620"/>
      <c r="U546" s="620"/>
    </row>
    <row r="547">
      <c r="A547" s="905"/>
      <c r="B547" s="905"/>
      <c r="C547" s="520"/>
      <c r="D547" s="906"/>
      <c r="E547" s="907"/>
      <c r="F547" s="908"/>
      <c r="G547" s="909"/>
      <c r="H547" s="910"/>
      <c r="I547" s="907"/>
      <c r="J547" s="912"/>
      <c r="K547" s="909"/>
      <c r="L547" s="913"/>
      <c r="M547" s="620"/>
      <c r="N547" s="620"/>
      <c r="O547" s="620"/>
      <c r="P547" s="620"/>
      <c r="Q547" s="620"/>
      <c r="R547" s="620"/>
      <c r="S547" s="620"/>
      <c r="T547" s="620"/>
      <c r="U547" s="620"/>
    </row>
    <row r="548">
      <c r="A548" s="905"/>
      <c r="B548" s="905"/>
      <c r="C548" s="520"/>
      <c r="D548" s="906"/>
      <c r="E548" s="907"/>
      <c r="F548" s="908"/>
      <c r="G548" s="909"/>
      <c r="H548" s="910"/>
      <c r="I548" s="907"/>
      <c r="J548" s="912"/>
      <c r="K548" s="909"/>
      <c r="L548" s="913"/>
      <c r="M548" s="620"/>
      <c r="N548" s="620"/>
      <c r="O548" s="620"/>
      <c r="P548" s="620"/>
      <c r="Q548" s="620"/>
      <c r="R548" s="620"/>
      <c r="S548" s="620"/>
      <c r="T548" s="620"/>
      <c r="U548" s="620"/>
    </row>
    <row r="549">
      <c r="A549" s="905"/>
      <c r="B549" s="905"/>
      <c r="C549" s="520"/>
      <c r="D549" s="906"/>
      <c r="E549" s="907"/>
      <c r="F549" s="908"/>
      <c r="G549" s="909"/>
      <c r="H549" s="910"/>
      <c r="I549" s="907"/>
      <c r="J549" s="912"/>
      <c r="K549" s="909"/>
      <c r="L549" s="913"/>
      <c r="M549" s="620"/>
      <c r="N549" s="620"/>
      <c r="O549" s="620"/>
      <c r="P549" s="620"/>
      <c r="Q549" s="620"/>
      <c r="R549" s="620"/>
      <c r="S549" s="620"/>
      <c r="T549" s="620"/>
      <c r="U549" s="620"/>
    </row>
    <row r="550">
      <c r="A550" s="905"/>
      <c r="B550" s="905"/>
      <c r="C550" s="520"/>
      <c r="D550" s="906"/>
      <c r="E550" s="907"/>
      <c r="F550" s="908"/>
      <c r="G550" s="909"/>
      <c r="H550" s="910"/>
      <c r="I550" s="907"/>
      <c r="J550" s="912"/>
      <c r="K550" s="909"/>
      <c r="L550" s="913"/>
      <c r="M550" s="620"/>
      <c r="N550" s="620"/>
      <c r="O550" s="620"/>
      <c r="P550" s="620"/>
      <c r="Q550" s="620"/>
      <c r="R550" s="620"/>
      <c r="S550" s="620"/>
      <c r="T550" s="620"/>
      <c r="U550" s="620"/>
    </row>
    <row r="551">
      <c r="A551" s="905"/>
      <c r="B551" s="905"/>
      <c r="C551" s="520"/>
      <c r="D551" s="906"/>
      <c r="E551" s="907"/>
      <c r="F551" s="908"/>
      <c r="G551" s="909"/>
      <c r="H551" s="910"/>
      <c r="I551" s="907"/>
      <c r="J551" s="912"/>
      <c r="K551" s="909"/>
      <c r="L551" s="913"/>
      <c r="M551" s="620"/>
      <c r="N551" s="620"/>
      <c r="O551" s="620"/>
      <c r="P551" s="620"/>
      <c r="Q551" s="620"/>
      <c r="R551" s="620"/>
      <c r="S551" s="620"/>
      <c r="T551" s="620"/>
      <c r="U551" s="620"/>
    </row>
    <row r="552">
      <c r="A552" s="905"/>
      <c r="B552" s="905"/>
      <c r="C552" s="520"/>
      <c r="D552" s="906"/>
      <c r="E552" s="907"/>
      <c r="F552" s="908"/>
      <c r="G552" s="909"/>
      <c r="H552" s="910"/>
      <c r="I552" s="907"/>
      <c r="J552" s="912"/>
      <c r="K552" s="909"/>
      <c r="L552" s="913"/>
      <c r="M552" s="620"/>
      <c r="N552" s="620"/>
      <c r="O552" s="620"/>
      <c r="P552" s="620"/>
      <c r="Q552" s="620"/>
      <c r="R552" s="620"/>
      <c r="S552" s="620"/>
      <c r="T552" s="620"/>
      <c r="U552" s="620"/>
    </row>
    <row r="553">
      <c r="A553" s="905"/>
      <c r="B553" s="905"/>
      <c r="C553" s="520"/>
      <c r="D553" s="906"/>
      <c r="E553" s="907"/>
      <c r="F553" s="908"/>
      <c r="G553" s="909"/>
      <c r="H553" s="910"/>
      <c r="I553" s="907"/>
      <c r="J553" s="912"/>
      <c r="K553" s="909"/>
      <c r="L553" s="913"/>
      <c r="M553" s="620"/>
      <c r="N553" s="620"/>
      <c r="O553" s="620"/>
      <c r="P553" s="620"/>
      <c r="Q553" s="620"/>
      <c r="R553" s="620"/>
      <c r="S553" s="620"/>
      <c r="T553" s="620"/>
      <c r="U553" s="620"/>
    </row>
    <row r="554">
      <c r="A554" s="905"/>
      <c r="B554" s="905"/>
      <c r="C554" s="520"/>
      <c r="D554" s="906"/>
      <c r="E554" s="907"/>
      <c r="F554" s="908"/>
      <c r="G554" s="909"/>
      <c r="H554" s="910"/>
      <c r="I554" s="907"/>
      <c r="J554" s="912"/>
      <c r="K554" s="909"/>
      <c r="L554" s="913"/>
      <c r="M554" s="620"/>
      <c r="N554" s="620"/>
      <c r="O554" s="620"/>
      <c r="P554" s="620"/>
      <c r="Q554" s="620"/>
      <c r="R554" s="620"/>
      <c r="S554" s="620"/>
      <c r="T554" s="620"/>
      <c r="U554" s="620"/>
    </row>
    <row r="555">
      <c r="A555" s="905"/>
      <c r="B555" s="905"/>
      <c r="C555" s="520"/>
      <c r="D555" s="906"/>
      <c r="E555" s="907"/>
      <c r="F555" s="908"/>
      <c r="G555" s="909"/>
      <c r="H555" s="910"/>
      <c r="I555" s="907"/>
      <c r="J555" s="912"/>
      <c r="K555" s="909"/>
      <c r="L555" s="913"/>
      <c r="M555" s="620"/>
      <c r="N555" s="620"/>
      <c r="O555" s="620"/>
      <c r="P555" s="620"/>
      <c r="Q555" s="620"/>
      <c r="R555" s="620"/>
      <c r="S555" s="620"/>
      <c r="T555" s="620"/>
      <c r="U555" s="620"/>
    </row>
    <row r="556">
      <c r="A556" s="905"/>
      <c r="B556" s="905"/>
      <c r="C556" s="520"/>
      <c r="D556" s="906"/>
      <c r="E556" s="907"/>
      <c r="F556" s="908"/>
      <c r="G556" s="909"/>
      <c r="H556" s="910"/>
      <c r="I556" s="907"/>
      <c r="J556" s="912"/>
      <c r="K556" s="909"/>
      <c r="L556" s="913"/>
      <c r="M556" s="620"/>
      <c r="N556" s="620"/>
      <c r="O556" s="620"/>
      <c r="P556" s="620"/>
      <c r="Q556" s="620"/>
      <c r="R556" s="620"/>
      <c r="S556" s="620"/>
      <c r="T556" s="620"/>
      <c r="U556" s="620"/>
    </row>
    <row r="557">
      <c r="A557" s="905"/>
      <c r="B557" s="905"/>
      <c r="C557" s="520"/>
      <c r="D557" s="906"/>
      <c r="E557" s="907"/>
      <c r="F557" s="908"/>
      <c r="G557" s="909"/>
      <c r="H557" s="910"/>
      <c r="I557" s="907"/>
      <c r="J557" s="912"/>
      <c r="K557" s="909"/>
      <c r="L557" s="913"/>
      <c r="M557" s="620"/>
      <c r="N557" s="620"/>
      <c r="O557" s="620"/>
      <c r="P557" s="620"/>
      <c r="Q557" s="620"/>
      <c r="R557" s="620"/>
      <c r="S557" s="620"/>
      <c r="T557" s="620"/>
      <c r="U557" s="620"/>
    </row>
    <row r="558">
      <c r="A558" s="905"/>
      <c r="B558" s="905"/>
      <c r="C558" s="520"/>
      <c r="D558" s="906"/>
      <c r="E558" s="907"/>
      <c r="F558" s="908"/>
      <c r="G558" s="909"/>
      <c r="H558" s="910"/>
      <c r="I558" s="907"/>
      <c r="J558" s="912"/>
      <c r="K558" s="909"/>
      <c r="L558" s="913"/>
      <c r="M558" s="620"/>
      <c r="N558" s="620"/>
      <c r="O558" s="620"/>
      <c r="P558" s="620"/>
      <c r="Q558" s="620"/>
      <c r="R558" s="620"/>
      <c r="S558" s="620"/>
      <c r="T558" s="620"/>
      <c r="U558" s="620"/>
    </row>
    <row r="559">
      <c r="A559" s="905"/>
      <c r="B559" s="905"/>
      <c r="C559" s="520"/>
      <c r="D559" s="906"/>
      <c r="E559" s="907"/>
      <c r="F559" s="908"/>
      <c r="G559" s="909"/>
      <c r="H559" s="910"/>
      <c r="I559" s="907"/>
      <c r="J559" s="912"/>
      <c r="K559" s="909"/>
      <c r="L559" s="913"/>
      <c r="M559" s="620"/>
      <c r="N559" s="620"/>
      <c r="O559" s="620"/>
      <c r="P559" s="620"/>
      <c r="Q559" s="620"/>
      <c r="R559" s="620"/>
      <c r="S559" s="620"/>
      <c r="T559" s="620"/>
      <c r="U559" s="620"/>
    </row>
    <row r="560">
      <c r="A560" s="905"/>
      <c r="B560" s="905"/>
      <c r="C560" s="520"/>
      <c r="D560" s="906"/>
      <c r="E560" s="907"/>
      <c r="F560" s="908"/>
      <c r="G560" s="909"/>
      <c r="H560" s="910"/>
      <c r="I560" s="907"/>
      <c r="J560" s="912"/>
      <c r="K560" s="909"/>
      <c r="L560" s="913"/>
      <c r="M560" s="620"/>
      <c r="N560" s="620"/>
      <c r="O560" s="620"/>
      <c r="P560" s="620"/>
      <c r="Q560" s="620"/>
      <c r="R560" s="620"/>
      <c r="S560" s="620"/>
      <c r="T560" s="620"/>
      <c r="U560" s="620"/>
    </row>
    <row r="561">
      <c r="A561" s="905"/>
      <c r="B561" s="905"/>
      <c r="C561" s="520"/>
      <c r="D561" s="906"/>
      <c r="E561" s="907"/>
      <c r="F561" s="908"/>
      <c r="G561" s="909"/>
      <c r="H561" s="910"/>
      <c r="I561" s="907"/>
      <c r="J561" s="912"/>
      <c r="K561" s="909"/>
      <c r="L561" s="913"/>
      <c r="M561" s="620"/>
      <c r="N561" s="620"/>
      <c r="O561" s="620"/>
      <c r="P561" s="620"/>
      <c r="Q561" s="620"/>
      <c r="R561" s="620"/>
      <c r="S561" s="620"/>
      <c r="T561" s="620"/>
      <c r="U561" s="620"/>
    </row>
    <row r="562">
      <c r="A562" s="905"/>
      <c r="B562" s="905"/>
      <c r="C562" s="520"/>
      <c r="D562" s="906"/>
      <c r="E562" s="907"/>
      <c r="F562" s="908"/>
      <c r="G562" s="909"/>
      <c r="H562" s="910"/>
      <c r="I562" s="907"/>
      <c r="J562" s="912"/>
      <c r="K562" s="909"/>
      <c r="L562" s="913"/>
      <c r="M562" s="620"/>
      <c r="N562" s="620"/>
      <c r="O562" s="620"/>
      <c r="P562" s="620"/>
      <c r="Q562" s="620"/>
      <c r="R562" s="620"/>
      <c r="S562" s="620"/>
      <c r="T562" s="620"/>
      <c r="U562" s="620"/>
    </row>
    <row r="563">
      <c r="A563" s="905"/>
      <c r="B563" s="905"/>
      <c r="C563" s="520"/>
      <c r="D563" s="906"/>
      <c r="E563" s="907"/>
      <c r="F563" s="908"/>
      <c r="G563" s="909"/>
      <c r="H563" s="910"/>
      <c r="I563" s="907"/>
      <c r="J563" s="912"/>
      <c r="K563" s="909"/>
      <c r="L563" s="913"/>
      <c r="M563" s="620"/>
      <c r="N563" s="620"/>
      <c r="O563" s="620"/>
      <c r="P563" s="620"/>
      <c r="Q563" s="620"/>
      <c r="R563" s="620"/>
      <c r="S563" s="620"/>
      <c r="T563" s="620"/>
      <c r="U563" s="620"/>
    </row>
    <row r="564">
      <c r="A564" s="905"/>
      <c r="B564" s="905"/>
      <c r="C564" s="520"/>
      <c r="D564" s="906"/>
      <c r="E564" s="907"/>
      <c r="F564" s="908"/>
      <c r="G564" s="909"/>
      <c r="H564" s="910"/>
      <c r="I564" s="907"/>
      <c r="J564" s="912"/>
      <c r="K564" s="909"/>
      <c r="L564" s="913"/>
      <c r="M564" s="620"/>
      <c r="N564" s="620"/>
      <c r="O564" s="620"/>
      <c r="P564" s="620"/>
      <c r="Q564" s="620"/>
      <c r="R564" s="620"/>
      <c r="S564" s="620"/>
      <c r="T564" s="620"/>
      <c r="U564" s="620"/>
    </row>
    <row r="565">
      <c r="A565" s="905"/>
      <c r="B565" s="905"/>
      <c r="C565" s="520"/>
      <c r="D565" s="906"/>
      <c r="E565" s="907"/>
      <c r="F565" s="908"/>
      <c r="G565" s="909"/>
      <c r="H565" s="910"/>
      <c r="I565" s="907"/>
      <c r="J565" s="912"/>
      <c r="K565" s="909"/>
      <c r="L565" s="913"/>
      <c r="M565" s="620"/>
      <c r="N565" s="620"/>
      <c r="O565" s="620"/>
      <c r="P565" s="620"/>
      <c r="Q565" s="620"/>
      <c r="R565" s="620"/>
      <c r="S565" s="620"/>
      <c r="T565" s="620"/>
      <c r="U565" s="620"/>
    </row>
    <row r="566">
      <c r="A566" s="905"/>
      <c r="B566" s="905"/>
      <c r="C566" s="520"/>
      <c r="D566" s="906"/>
      <c r="E566" s="907"/>
      <c r="F566" s="908"/>
      <c r="G566" s="909"/>
      <c r="H566" s="910"/>
      <c r="I566" s="907"/>
      <c r="J566" s="912"/>
      <c r="K566" s="909"/>
      <c r="L566" s="913"/>
      <c r="M566" s="620"/>
      <c r="N566" s="620"/>
      <c r="O566" s="620"/>
      <c r="P566" s="620"/>
      <c r="Q566" s="620"/>
      <c r="R566" s="620"/>
      <c r="S566" s="620"/>
      <c r="T566" s="620"/>
      <c r="U566" s="620"/>
    </row>
    <row r="567">
      <c r="A567" s="905"/>
      <c r="B567" s="905"/>
      <c r="C567" s="520"/>
      <c r="D567" s="906"/>
      <c r="E567" s="907"/>
      <c r="F567" s="908"/>
      <c r="G567" s="909"/>
      <c r="H567" s="910"/>
      <c r="I567" s="907"/>
      <c r="J567" s="912"/>
      <c r="K567" s="909"/>
      <c r="L567" s="913"/>
      <c r="M567" s="620"/>
      <c r="N567" s="620"/>
      <c r="O567" s="620"/>
      <c r="P567" s="620"/>
      <c r="Q567" s="620"/>
      <c r="R567" s="620"/>
      <c r="S567" s="620"/>
      <c r="T567" s="620"/>
      <c r="U567" s="620"/>
    </row>
    <row r="568">
      <c r="A568" s="905"/>
      <c r="B568" s="905"/>
      <c r="C568" s="520"/>
      <c r="D568" s="906"/>
      <c r="E568" s="907"/>
      <c r="F568" s="908"/>
      <c r="G568" s="909"/>
      <c r="H568" s="910"/>
      <c r="I568" s="907"/>
      <c r="J568" s="912"/>
      <c r="K568" s="909"/>
      <c r="L568" s="913"/>
      <c r="M568" s="620"/>
      <c r="N568" s="620"/>
      <c r="O568" s="620"/>
      <c r="P568" s="620"/>
      <c r="Q568" s="620"/>
      <c r="R568" s="620"/>
      <c r="S568" s="620"/>
      <c r="T568" s="620"/>
      <c r="U568" s="620"/>
    </row>
    <row r="569">
      <c r="A569" s="905"/>
      <c r="B569" s="905"/>
      <c r="C569" s="520"/>
      <c r="D569" s="906"/>
      <c r="E569" s="907"/>
      <c r="F569" s="908"/>
      <c r="G569" s="909"/>
      <c r="H569" s="910"/>
      <c r="I569" s="907"/>
      <c r="J569" s="912"/>
      <c r="K569" s="909"/>
      <c r="L569" s="913"/>
      <c r="M569" s="620"/>
      <c r="N569" s="620"/>
      <c r="O569" s="620"/>
      <c r="P569" s="620"/>
      <c r="Q569" s="620"/>
      <c r="R569" s="620"/>
      <c r="S569" s="620"/>
      <c r="T569" s="620"/>
      <c r="U569" s="620"/>
    </row>
    <row r="570">
      <c r="A570" s="905"/>
      <c r="B570" s="905"/>
      <c r="C570" s="520"/>
      <c r="D570" s="906"/>
      <c r="E570" s="907"/>
      <c r="F570" s="908"/>
      <c r="G570" s="909"/>
      <c r="H570" s="910"/>
      <c r="I570" s="907"/>
      <c r="J570" s="912"/>
      <c r="K570" s="909"/>
      <c r="L570" s="913"/>
      <c r="M570" s="620"/>
      <c r="N570" s="620"/>
      <c r="O570" s="620"/>
      <c r="P570" s="620"/>
      <c r="Q570" s="620"/>
      <c r="R570" s="620"/>
      <c r="S570" s="620"/>
      <c r="T570" s="620"/>
      <c r="U570" s="620"/>
    </row>
    <row r="571">
      <c r="A571" s="905"/>
      <c r="B571" s="905"/>
      <c r="C571" s="520"/>
      <c r="D571" s="906"/>
      <c r="E571" s="907"/>
      <c r="F571" s="908"/>
      <c r="G571" s="909"/>
      <c r="H571" s="910"/>
      <c r="I571" s="907"/>
      <c r="J571" s="912"/>
      <c r="K571" s="909"/>
      <c r="L571" s="913"/>
      <c r="M571" s="620"/>
      <c r="N571" s="620"/>
      <c r="O571" s="620"/>
      <c r="P571" s="620"/>
      <c r="Q571" s="620"/>
      <c r="R571" s="620"/>
      <c r="S571" s="620"/>
      <c r="T571" s="620"/>
      <c r="U571" s="620"/>
    </row>
    <row r="572">
      <c r="A572" s="905"/>
      <c r="B572" s="905"/>
      <c r="C572" s="520"/>
      <c r="D572" s="906"/>
      <c r="E572" s="907"/>
      <c r="F572" s="908"/>
      <c r="G572" s="909"/>
      <c r="H572" s="910"/>
      <c r="I572" s="907"/>
      <c r="J572" s="912"/>
      <c r="K572" s="909"/>
      <c r="L572" s="913"/>
      <c r="M572" s="620"/>
      <c r="N572" s="620"/>
      <c r="O572" s="620"/>
      <c r="P572" s="620"/>
      <c r="Q572" s="620"/>
      <c r="R572" s="620"/>
      <c r="S572" s="620"/>
      <c r="T572" s="620"/>
      <c r="U572" s="620"/>
    </row>
    <row r="573">
      <c r="A573" s="905"/>
      <c r="B573" s="905"/>
      <c r="C573" s="520"/>
      <c r="D573" s="906"/>
      <c r="E573" s="907"/>
      <c r="F573" s="908"/>
      <c r="G573" s="909"/>
      <c r="H573" s="910"/>
      <c r="I573" s="907"/>
      <c r="J573" s="912"/>
      <c r="K573" s="909"/>
      <c r="L573" s="913"/>
      <c r="M573" s="620"/>
      <c r="N573" s="620"/>
      <c r="O573" s="620"/>
      <c r="P573" s="620"/>
      <c r="Q573" s="620"/>
      <c r="R573" s="620"/>
      <c r="S573" s="620"/>
      <c r="T573" s="620"/>
      <c r="U573" s="620"/>
    </row>
    <row r="574">
      <c r="A574" s="905"/>
      <c r="B574" s="905"/>
      <c r="C574" s="520"/>
      <c r="D574" s="906"/>
      <c r="E574" s="907"/>
      <c r="F574" s="908"/>
      <c r="G574" s="909"/>
      <c r="H574" s="910"/>
      <c r="I574" s="907"/>
      <c r="J574" s="912"/>
      <c r="K574" s="909"/>
      <c r="L574" s="913"/>
      <c r="M574" s="620"/>
      <c r="N574" s="620"/>
      <c r="O574" s="620"/>
      <c r="P574" s="620"/>
      <c r="Q574" s="620"/>
      <c r="R574" s="620"/>
      <c r="S574" s="620"/>
      <c r="T574" s="620"/>
      <c r="U574" s="620"/>
    </row>
    <row r="575">
      <c r="A575" s="905"/>
      <c r="B575" s="905"/>
      <c r="C575" s="520"/>
      <c r="D575" s="906"/>
      <c r="E575" s="907"/>
      <c r="F575" s="908"/>
      <c r="G575" s="909"/>
      <c r="H575" s="910"/>
      <c r="I575" s="907"/>
      <c r="J575" s="912"/>
      <c r="K575" s="909"/>
      <c r="L575" s="913"/>
      <c r="M575" s="620"/>
      <c r="N575" s="620"/>
      <c r="O575" s="620"/>
      <c r="P575" s="620"/>
      <c r="Q575" s="620"/>
      <c r="R575" s="620"/>
      <c r="S575" s="620"/>
      <c r="T575" s="620"/>
      <c r="U575" s="620"/>
    </row>
    <row r="576">
      <c r="A576" s="905"/>
      <c r="B576" s="905"/>
      <c r="C576" s="520"/>
      <c r="D576" s="906"/>
      <c r="E576" s="907"/>
      <c r="F576" s="908"/>
      <c r="G576" s="909"/>
      <c r="H576" s="910"/>
      <c r="I576" s="907"/>
      <c r="J576" s="912"/>
      <c r="K576" s="909"/>
      <c r="L576" s="913"/>
      <c r="M576" s="620"/>
      <c r="N576" s="620"/>
      <c r="O576" s="620"/>
      <c r="P576" s="620"/>
      <c r="Q576" s="620"/>
      <c r="R576" s="620"/>
      <c r="S576" s="620"/>
      <c r="T576" s="620"/>
      <c r="U576" s="620"/>
    </row>
    <row r="577">
      <c r="A577" s="905"/>
      <c r="B577" s="905"/>
      <c r="C577" s="520"/>
      <c r="D577" s="906"/>
      <c r="E577" s="907"/>
      <c r="F577" s="908"/>
      <c r="G577" s="909"/>
      <c r="H577" s="910"/>
      <c r="I577" s="907"/>
      <c r="J577" s="912"/>
      <c r="K577" s="909"/>
      <c r="L577" s="913"/>
      <c r="M577" s="620"/>
      <c r="N577" s="620"/>
      <c r="O577" s="620"/>
      <c r="P577" s="620"/>
      <c r="Q577" s="620"/>
      <c r="R577" s="620"/>
      <c r="S577" s="620"/>
      <c r="T577" s="620"/>
      <c r="U577" s="620"/>
    </row>
    <row r="578">
      <c r="A578" s="905"/>
      <c r="B578" s="905"/>
      <c r="C578" s="520"/>
      <c r="D578" s="906"/>
      <c r="E578" s="907"/>
      <c r="F578" s="908"/>
      <c r="G578" s="909"/>
      <c r="H578" s="910"/>
      <c r="I578" s="907"/>
      <c r="J578" s="912"/>
      <c r="K578" s="909"/>
      <c r="L578" s="913"/>
      <c r="M578" s="620"/>
      <c r="N578" s="620"/>
      <c r="O578" s="620"/>
      <c r="P578" s="620"/>
      <c r="Q578" s="620"/>
      <c r="R578" s="620"/>
      <c r="S578" s="620"/>
      <c r="T578" s="620"/>
      <c r="U578" s="620"/>
    </row>
    <row r="579">
      <c r="A579" s="905"/>
      <c r="B579" s="905"/>
      <c r="C579" s="520"/>
      <c r="D579" s="906"/>
      <c r="E579" s="907"/>
      <c r="F579" s="908"/>
      <c r="G579" s="909"/>
      <c r="H579" s="910"/>
      <c r="I579" s="907"/>
      <c r="J579" s="912"/>
      <c r="K579" s="909"/>
      <c r="L579" s="913"/>
      <c r="M579" s="620"/>
      <c r="N579" s="620"/>
      <c r="O579" s="620"/>
      <c r="P579" s="620"/>
      <c r="Q579" s="620"/>
      <c r="R579" s="620"/>
      <c r="S579" s="620"/>
      <c r="T579" s="620"/>
      <c r="U579" s="620"/>
    </row>
    <row r="580">
      <c r="A580" s="905"/>
      <c r="B580" s="905"/>
      <c r="C580" s="520"/>
      <c r="D580" s="906"/>
      <c r="E580" s="907"/>
      <c r="F580" s="908"/>
      <c r="G580" s="909"/>
      <c r="H580" s="910"/>
      <c r="I580" s="907"/>
      <c r="J580" s="912"/>
      <c r="K580" s="909"/>
      <c r="L580" s="913"/>
      <c r="M580" s="620"/>
      <c r="N580" s="620"/>
      <c r="O580" s="620"/>
      <c r="P580" s="620"/>
      <c r="Q580" s="620"/>
      <c r="R580" s="620"/>
      <c r="S580" s="620"/>
      <c r="T580" s="620"/>
      <c r="U580" s="620"/>
    </row>
    <row r="581">
      <c r="A581" s="905"/>
      <c r="B581" s="905"/>
      <c r="C581" s="520"/>
      <c r="D581" s="906"/>
      <c r="E581" s="907"/>
      <c r="F581" s="908"/>
      <c r="G581" s="909"/>
      <c r="H581" s="910"/>
      <c r="I581" s="907"/>
      <c r="J581" s="912"/>
      <c r="K581" s="909"/>
      <c r="L581" s="913"/>
      <c r="M581" s="620"/>
      <c r="N581" s="620"/>
      <c r="O581" s="620"/>
      <c r="P581" s="620"/>
      <c r="Q581" s="620"/>
      <c r="R581" s="620"/>
      <c r="S581" s="620"/>
      <c r="T581" s="620"/>
      <c r="U581" s="620"/>
    </row>
    <row r="582">
      <c r="A582" s="905"/>
      <c r="B582" s="905"/>
      <c r="C582" s="520"/>
      <c r="D582" s="906"/>
      <c r="E582" s="907"/>
      <c r="F582" s="908"/>
      <c r="G582" s="909"/>
      <c r="H582" s="910"/>
      <c r="I582" s="907"/>
      <c r="J582" s="912"/>
      <c r="K582" s="909"/>
      <c r="L582" s="913"/>
      <c r="M582" s="620"/>
      <c r="N582" s="620"/>
      <c r="O582" s="620"/>
      <c r="P582" s="620"/>
      <c r="Q582" s="620"/>
      <c r="R582" s="620"/>
      <c r="S582" s="620"/>
      <c r="T582" s="620"/>
      <c r="U582" s="620"/>
    </row>
    <row r="583">
      <c r="A583" s="905"/>
      <c r="B583" s="905"/>
      <c r="C583" s="520"/>
      <c r="D583" s="906"/>
      <c r="E583" s="907"/>
      <c r="F583" s="908"/>
      <c r="G583" s="909"/>
      <c r="H583" s="910"/>
      <c r="I583" s="907"/>
      <c r="J583" s="912"/>
      <c r="K583" s="909"/>
      <c r="L583" s="913"/>
      <c r="M583" s="620"/>
      <c r="N583" s="620"/>
      <c r="O583" s="620"/>
      <c r="P583" s="620"/>
      <c r="Q583" s="620"/>
      <c r="R583" s="620"/>
      <c r="S583" s="620"/>
      <c r="T583" s="620"/>
      <c r="U583" s="620"/>
    </row>
    <row r="584">
      <c r="A584" s="905"/>
      <c r="B584" s="905"/>
      <c r="C584" s="520"/>
      <c r="D584" s="906"/>
      <c r="E584" s="907"/>
      <c r="F584" s="908"/>
      <c r="G584" s="909"/>
      <c r="H584" s="910"/>
      <c r="I584" s="907"/>
      <c r="J584" s="912"/>
      <c r="K584" s="909"/>
      <c r="L584" s="913"/>
      <c r="M584" s="620"/>
      <c r="N584" s="620"/>
      <c r="O584" s="620"/>
      <c r="P584" s="620"/>
      <c r="Q584" s="620"/>
      <c r="R584" s="620"/>
      <c r="S584" s="620"/>
      <c r="T584" s="620"/>
      <c r="U584" s="620"/>
    </row>
    <row r="585">
      <c r="A585" s="905"/>
      <c r="B585" s="905"/>
      <c r="C585" s="520"/>
      <c r="D585" s="906"/>
      <c r="E585" s="907"/>
      <c r="F585" s="908"/>
      <c r="G585" s="909"/>
      <c r="H585" s="910"/>
      <c r="I585" s="907"/>
      <c r="J585" s="912"/>
      <c r="K585" s="909"/>
      <c r="L585" s="913"/>
      <c r="M585" s="620"/>
      <c r="N585" s="620"/>
      <c r="O585" s="620"/>
      <c r="P585" s="620"/>
      <c r="Q585" s="620"/>
      <c r="R585" s="620"/>
      <c r="S585" s="620"/>
      <c r="T585" s="620"/>
      <c r="U585" s="620"/>
    </row>
    <row r="586">
      <c r="A586" s="905"/>
      <c r="B586" s="905"/>
      <c r="C586" s="520"/>
      <c r="D586" s="906"/>
      <c r="E586" s="907"/>
      <c r="F586" s="908"/>
      <c r="G586" s="909"/>
      <c r="H586" s="910"/>
      <c r="I586" s="907"/>
      <c r="J586" s="912"/>
      <c r="K586" s="909"/>
      <c r="L586" s="913"/>
      <c r="M586" s="620"/>
      <c r="N586" s="620"/>
      <c r="O586" s="620"/>
      <c r="P586" s="620"/>
      <c r="Q586" s="620"/>
      <c r="R586" s="620"/>
      <c r="S586" s="620"/>
      <c r="T586" s="620"/>
      <c r="U586" s="620"/>
    </row>
    <row r="587">
      <c r="A587" s="905"/>
      <c r="B587" s="905"/>
      <c r="C587" s="520"/>
      <c r="D587" s="906"/>
      <c r="E587" s="907"/>
      <c r="F587" s="908"/>
      <c r="G587" s="909"/>
      <c r="H587" s="910"/>
      <c r="I587" s="907"/>
      <c r="J587" s="912"/>
      <c r="K587" s="909"/>
      <c r="L587" s="913"/>
      <c r="M587" s="620"/>
      <c r="N587" s="620"/>
      <c r="O587" s="620"/>
      <c r="P587" s="620"/>
      <c r="Q587" s="620"/>
      <c r="R587" s="620"/>
      <c r="S587" s="620"/>
      <c r="T587" s="620"/>
      <c r="U587" s="620"/>
    </row>
    <row r="588">
      <c r="A588" s="905"/>
      <c r="B588" s="905"/>
      <c r="C588" s="520"/>
      <c r="D588" s="906"/>
      <c r="E588" s="907"/>
      <c r="F588" s="908"/>
      <c r="G588" s="909"/>
      <c r="H588" s="910"/>
      <c r="I588" s="907"/>
      <c r="J588" s="912"/>
      <c r="K588" s="909"/>
      <c r="L588" s="913"/>
      <c r="M588" s="620"/>
      <c r="N588" s="620"/>
      <c r="O588" s="620"/>
      <c r="P588" s="620"/>
      <c r="Q588" s="620"/>
      <c r="R588" s="620"/>
      <c r="S588" s="620"/>
      <c r="T588" s="620"/>
      <c r="U588" s="620"/>
    </row>
    <row r="589">
      <c r="A589" s="905"/>
      <c r="B589" s="905"/>
      <c r="C589" s="520"/>
      <c r="D589" s="906"/>
      <c r="E589" s="907"/>
      <c r="F589" s="908"/>
      <c r="G589" s="909"/>
      <c r="H589" s="910"/>
      <c r="I589" s="907"/>
      <c r="J589" s="912"/>
      <c r="K589" s="909"/>
      <c r="L589" s="913"/>
      <c r="M589" s="620"/>
      <c r="N589" s="620"/>
      <c r="O589" s="620"/>
      <c r="P589" s="620"/>
      <c r="Q589" s="620"/>
      <c r="R589" s="620"/>
      <c r="S589" s="620"/>
      <c r="T589" s="620"/>
      <c r="U589" s="620"/>
    </row>
    <row r="590">
      <c r="A590" s="905"/>
      <c r="B590" s="905"/>
      <c r="C590" s="520"/>
      <c r="D590" s="906"/>
      <c r="E590" s="907"/>
      <c r="F590" s="908"/>
      <c r="G590" s="909"/>
      <c r="H590" s="910"/>
      <c r="I590" s="907"/>
      <c r="J590" s="912"/>
      <c r="K590" s="909"/>
      <c r="L590" s="913"/>
      <c r="M590" s="620"/>
      <c r="N590" s="620"/>
      <c r="O590" s="620"/>
      <c r="P590" s="620"/>
      <c r="Q590" s="620"/>
      <c r="R590" s="620"/>
      <c r="S590" s="620"/>
      <c r="T590" s="620"/>
      <c r="U590" s="620"/>
    </row>
    <row r="591">
      <c r="A591" s="905"/>
      <c r="B591" s="905"/>
      <c r="C591" s="520"/>
      <c r="D591" s="906"/>
      <c r="E591" s="907"/>
      <c r="F591" s="908"/>
      <c r="G591" s="909"/>
      <c r="H591" s="910"/>
      <c r="I591" s="907"/>
      <c r="J591" s="912"/>
      <c r="K591" s="909"/>
      <c r="L591" s="913"/>
      <c r="M591" s="620"/>
      <c r="N591" s="620"/>
      <c r="O591" s="620"/>
      <c r="P591" s="620"/>
      <c r="Q591" s="620"/>
      <c r="R591" s="620"/>
      <c r="S591" s="620"/>
      <c r="T591" s="620"/>
      <c r="U591" s="620"/>
    </row>
    <row r="592">
      <c r="A592" s="905"/>
      <c r="B592" s="905"/>
      <c r="C592" s="520"/>
      <c r="D592" s="906"/>
      <c r="E592" s="907"/>
      <c r="F592" s="908"/>
      <c r="G592" s="909"/>
      <c r="H592" s="910"/>
      <c r="I592" s="907"/>
      <c r="J592" s="912"/>
      <c r="K592" s="909"/>
      <c r="L592" s="913"/>
      <c r="M592" s="620"/>
      <c r="N592" s="620"/>
      <c r="O592" s="620"/>
      <c r="P592" s="620"/>
      <c r="Q592" s="620"/>
      <c r="R592" s="620"/>
      <c r="S592" s="620"/>
      <c r="T592" s="620"/>
      <c r="U592" s="620"/>
    </row>
    <row r="593">
      <c r="A593" s="905"/>
      <c r="B593" s="905"/>
      <c r="C593" s="520"/>
      <c r="D593" s="906"/>
      <c r="E593" s="907"/>
      <c r="F593" s="908"/>
      <c r="G593" s="909"/>
      <c r="H593" s="910"/>
      <c r="I593" s="907"/>
      <c r="J593" s="912"/>
      <c r="K593" s="909"/>
      <c r="L593" s="913"/>
      <c r="M593" s="620"/>
      <c r="N593" s="620"/>
      <c r="O593" s="620"/>
      <c r="P593" s="620"/>
      <c r="Q593" s="620"/>
      <c r="R593" s="620"/>
      <c r="S593" s="620"/>
      <c r="T593" s="620"/>
      <c r="U593" s="620"/>
    </row>
    <row r="594">
      <c r="A594" s="905"/>
      <c r="B594" s="905"/>
      <c r="C594" s="520"/>
      <c r="D594" s="906"/>
      <c r="E594" s="907"/>
      <c r="F594" s="908"/>
      <c r="G594" s="909"/>
      <c r="H594" s="910"/>
      <c r="I594" s="907"/>
      <c r="J594" s="912"/>
      <c r="K594" s="909"/>
      <c r="L594" s="913"/>
      <c r="M594" s="620"/>
      <c r="N594" s="620"/>
      <c r="O594" s="620"/>
      <c r="P594" s="620"/>
      <c r="Q594" s="620"/>
      <c r="R594" s="620"/>
      <c r="S594" s="620"/>
      <c r="T594" s="620"/>
      <c r="U594" s="620"/>
    </row>
    <row r="595">
      <c r="A595" s="905"/>
      <c r="B595" s="905"/>
      <c r="C595" s="520"/>
      <c r="D595" s="906"/>
      <c r="E595" s="907"/>
      <c r="F595" s="908"/>
      <c r="G595" s="909"/>
      <c r="H595" s="910"/>
      <c r="I595" s="907"/>
      <c r="J595" s="912"/>
      <c r="K595" s="909"/>
      <c r="L595" s="913"/>
      <c r="M595" s="620"/>
      <c r="N595" s="620"/>
      <c r="O595" s="620"/>
      <c r="P595" s="620"/>
      <c r="Q595" s="620"/>
      <c r="R595" s="620"/>
      <c r="S595" s="620"/>
      <c r="T595" s="620"/>
      <c r="U595" s="620"/>
    </row>
    <row r="596">
      <c r="A596" s="905"/>
      <c r="B596" s="905"/>
      <c r="C596" s="520"/>
      <c r="D596" s="906"/>
      <c r="E596" s="907"/>
      <c r="F596" s="908"/>
      <c r="G596" s="909"/>
      <c r="H596" s="910"/>
      <c r="I596" s="907"/>
      <c r="J596" s="912"/>
      <c r="K596" s="909"/>
      <c r="L596" s="913"/>
      <c r="M596" s="620"/>
      <c r="N596" s="620"/>
      <c r="O596" s="620"/>
      <c r="P596" s="620"/>
      <c r="Q596" s="620"/>
      <c r="R596" s="620"/>
      <c r="S596" s="620"/>
      <c r="T596" s="620"/>
      <c r="U596" s="620"/>
    </row>
    <row r="597">
      <c r="A597" s="905"/>
      <c r="B597" s="905"/>
      <c r="C597" s="520"/>
      <c r="D597" s="906"/>
      <c r="E597" s="907"/>
      <c r="F597" s="908"/>
      <c r="G597" s="909"/>
      <c r="H597" s="910"/>
      <c r="I597" s="907"/>
      <c r="J597" s="912"/>
      <c r="K597" s="909"/>
      <c r="L597" s="913"/>
      <c r="M597" s="620"/>
      <c r="N597" s="620"/>
      <c r="O597" s="620"/>
      <c r="P597" s="620"/>
      <c r="Q597" s="620"/>
      <c r="R597" s="620"/>
      <c r="S597" s="620"/>
      <c r="T597" s="620"/>
      <c r="U597" s="620"/>
    </row>
    <row r="598">
      <c r="A598" s="905"/>
      <c r="B598" s="905"/>
      <c r="C598" s="520"/>
      <c r="D598" s="906"/>
      <c r="E598" s="907"/>
      <c r="F598" s="908"/>
      <c r="G598" s="909"/>
      <c r="H598" s="910"/>
      <c r="I598" s="907"/>
      <c r="J598" s="912"/>
      <c r="K598" s="909"/>
      <c r="L598" s="913"/>
      <c r="M598" s="620"/>
      <c r="N598" s="620"/>
      <c r="O598" s="620"/>
      <c r="P598" s="620"/>
      <c r="Q598" s="620"/>
      <c r="R598" s="620"/>
      <c r="S598" s="620"/>
      <c r="T598" s="620"/>
      <c r="U598" s="620"/>
    </row>
    <row r="599">
      <c r="A599" s="905"/>
      <c r="B599" s="905"/>
      <c r="C599" s="520"/>
      <c r="D599" s="906"/>
      <c r="E599" s="907"/>
      <c r="F599" s="908"/>
      <c r="G599" s="909"/>
      <c r="H599" s="910"/>
      <c r="I599" s="907"/>
      <c r="J599" s="912"/>
      <c r="K599" s="909"/>
      <c r="L599" s="913"/>
      <c r="M599" s="620"/>
      <c r="N599" s="620"/>
      <c r="O599" s="620"/>
      <c r="P599" s="620"/>
      <c r="Q599" s="620"/>
      <c r="R599" s="620"/>
      <c r="S599" s="620"/>
      <c r="T599" s="620"/>
      <c r="U599" s="620"/>
    </row>
    <row r="600">
      <c r="A600" s="905"/>
      <c r="B600" s="905"/>
      <c r="C600" s="520"/>
      <c r="D600" s="906"/>
      <c r="E600" s="907"/>
      <c r="F600" s="908"/>
      <c r="G600" s="909"/>
      <c r="H600" s="910"/>
      <c r="I600" s="907"/>
      <c r="J600" s="912"/>
      <c r="K600" s="909"/>
      <c r="L600" s="913"/>
      <c r="M600" s="620"/>
      <c r="N600" s="620"/>
      <c r="O600" s="620"/>
      <c r="P600" s="620"/>
      <c r="Q600" s="620"/>
      <c r="R600" s="620"/>
      <c r="S600" s="620"/>
      <c r="T600" s="620"/>
      <c r="U600" s="620"/>
    </row>
    <row r="601">
      <c r="A601" s="905"/>
      <c r="B601" s="905"/>
      <c r="C601" s="520"/>
      <c r="D601" s="906"/>
      <c r="E601" s="907"/>
      <c r="F601" s="908"/>
      <c r="G601" s="909"/>
      <c r="H601" s="910"/>
      <c r="I601" s="907"/>
      <c r="J601" s="912"/>
      <c r="K601" s="909"/>
      <c r="L601" s="913"/>
      <c r="M601" s="620"/>
      <c r="N601" s="620"/>
      <c r="O601" s="620"/>
      <c r="P601" s="620"/>
      <c r="Q601" s="620"/>
      <c r="R601" s="620"/>
      <c r="S601" s="620"/>
      <c r="T601" s="620"/>
      <c r="U601" s="620"/>
    </row>
    <row r="602">
      <c r="A602" s="905"/>
      <c r="B602" s="905"/>
      <c r="C602" s="520"/>
      <c r="D602" s="906"/>
      <c r="E602" s="907"/>
      <c r="F602" s="908"/>
      <c r="G602" s="909"/>
      <c r="H602" s="910"/>
      <c r="I602" s="907"/>
      <c r="J602" s="912"/>
      <c r="K602" s="909"/>
      <c r="L602" s="913"/>
      <c r="M602" s="620"/>
      <c r="N602" s="620"/>
      <c r="O602" s="620"/>
      <c r="P602" s="620"/>
      <c r="Q602" s="620"/>
      <c r="R602" s="620"/>
      <c r="S602" s="620"/>
      <c r="T602" s="620"/>
      <c r="U602" s="620"/>
    </row>
    <row r="603">
      <c r="A603" s="905"/>
      <c r="B603" s="905"/>
      <c r="C603" s="520"/>
      <c r="D603" s="906"/>
      <c r="E603" s="907"/>
      <c r="F603" s="908"/>
      <c r="G603" s="909"/>
      <c r="H603" s="910"/>
      <c r="I603" s="907"/>
      <c r="J603" s="912"/>
      <c r="K603" s="909"/>
      <c r="L603" s="913"/>
      <c r="M603" s="620"/>
      <c r="N603" s="620"/>
      <c r="O603" s="620"/>
      <c r="P603" s="620"/>
      <c r="Q603" s="620"/>
      <c r="R603" s="620"/>
      <c r="S603" s="620"/>
      <c r="T603" s="620"/>
      <c r="U603" s="620"/>
    </row>
    <row r="604">
      <c r="A604" s="905"/>
      <c r="B604" s="905"/>
      <c r="C604" s="520"/>
      <c r="D604" s="906"/>
      <c r="E604" s="907"/>
      <c r="F604" s="908"/>
      <c r="G604" s="909"/>
      <c r="H604" s="910"/>
      <c r="I604" s="907"/>
      <c r="J604" s="912"/>
      <c r="K604" s="909"/>
      <c r="L604" s="913"/>
      <c r="M604" s="620"/>
      <c r="N604" s="620"/>
      <c r="O604" s="620"/>
      <c r="P604" s="620"/>
      <c r="Q604" s="620"/>
      <c r="R604" s="620"/>
      <c r="S604" s="620"/>
      <c r="T604" s="620"/>
      <c r="U604" s="620"/>
    </row>
    <row r="605">
      <c r="A605" s="905"/>
      <c r="B605" s="905"/>
      <c r="C605" s="520"/>
      <c r="D605" s="906"/>
      <c r="E605" s="907"/>
      <c r="F605" s="908"/>
      <c r="G605" s="909"/>
      <c r="H605" s="910"/>
      <c r="I605" s="907"/>
      <c r="J605" s="912"/>
      <c r="K605" s="909"/>
      <c r="L605" s="913"/>
      <c r="M605" s="620"/>
      <c r="N605" s="620"/>
      <c r="O605" s="620"/>
      <c r="P605" s="620"/>
      <c r="Q605" s="620"/>
      <c r="R605" s="620"/>
      <c r="S605" s="620"/>
      <c r="T605" s="620"/>
      <c r="U605" s="620"/>
    </row>
    <row r="606">
      <c r="A606" s="905"/>
      <c r="B606" s="905"/>
      <c r="C606" s="520"/>
      <c r="D606" s="906"/>
      <c r="E606" s="907"/>
      <c r="F606" s="908"/>
      <c r="G606" s="909"/>
      <c r="H606" s="910"/>
      <c r="I606" s="907"/>
      <c r="J606" s="912"/>
      <c r="K606" s="909"/>
      <c r="L606" s="913"/>
      <c r="M606" s="620"/>
      <c r="N606" s="620"/>
      <c r="O606" s="620"/>
      <c r="P606" s="620"/>
      <c r="Q606" s="620"/>
      <c r="R606" s="620"/>
      <c r="S606" s="620"/>
      <c r="T606" s="620"/>
      <c r="U606" s="620"/>
    </row>
    <row r="607">
      <c r="A607" s="905"/>
      <c r="B607" s="905"/>
      <c r="C607" s="520"/>
      <c r="D607" s="906"/>
      <c r="E607" s="907"/>
      <c r="F607" s="908"/>
      <c r="G607" s="909"/>
      <c r="H607" s="910"/>
      <c r="I607" s="907"/>
      <c r="J607" s="912"/>
      <c r="K607" s="909"/>
      <c r="L607" s="913"/>
      <c r="M607" s="620"/>
      <c r="N607" s="620"/>
      <c r="O607" s="620"/>
      <c r="P607" s="620"/>
      <c r="Q607" s="620"/>
      <c r="R607" s="620"/>
      <c r="S607" s="620"/>
      <c r="T607" s="620"/>
      <c r="U607" s="620"/>
    </row>
    <row r="608">
      <c r="A608" s="905"/>
      <c r="B608" s="905"/>
      <c r="C608" s="520"/>
      <c r="D608" s="906"/>
      <c r="E608" s="907"/>
      <c r="F608" s="908"/>
      <c r="G608" s="909"/>
      <c r="H608" s="910"/>
      <c r="I608" s="907"/>
      <c r="J608" s="912"/>
      <c r="K608" s="909"/>
      <c r="L608" s="913"/>
      <c r="M608" s="620"/>
      <c r="N608" s="620"/>
      <c r="O608" s="620"/>
      <c r="P608" s="620"/>
      <c r="Q608" s="620"/>
      <c r="R608" s="620"/>
      <c r="S608" s="620"/>
      <c r="T608" s="620"/>
      <c r="U608" s="620"/>
    </row>
    <row r="609">
      <c r="A609" s="905"/>
      <c r="B609" s="905"/>
      <c r="C609" s="520"/>
      <c r="D609" s="906"/>
      <c r="E609" s="907"/>
      <c r="F609" s="908"/>
      <c r="G609" s="909"/>
      <c r="H609" s="910"/>
      <c r="I609" s="907"/>
      <c r="J609" s="912"/>
      <c r="K609" s="909"/>
      <c r="L609" s="913"/>
      <c r="M609" s="620"/>
      <c r="N609" s="620"/>
      <c r="O609" s="620"/>
      <c r="P609" s="620"/>
      <c r="Q609" s="620"/>
      <c r="R609" s="620"/>
      <c r="S609" s="620"/>
      <c r="T609" s="620"/>
      <c r="U609" s="620"/>
    </row>
    <row r="610">
      <c r="A610" s="905"/>
      <c r="B610" s="905"/>
      <c r="C610" s="520"/>
      <c r="D610" s="906"/>
      <c r="E610" s="907"/>
      <c r="F610" s="908"/>
      <c r="G610" s="909"/>
      <c r="H610" s="910"/>
      <c r="I610" s="907"/>
      <c r="J610" s="912"/>
      <c r="K610" s="909"/>
      <c r="L610" s="913"/>
      <c r="M610" s="620"/>
      <c r="N610" s="620"/>
      <c r="O610" s="620"/>
      <c r="P610" s="620"/>
      <c r="Q610" s="620"/>
      <c r="R610" s="620"/>
      <c r="S610" s="620"/>
      <c r="T610" s="620"/>
      <c r="U610" s="620"/>
    </row>
    <row r="611">
      <c r="A611" s="905"/>
      <c r="B611" s="905"/>
      <c r="C611" s="520"/>
      <c r="D611" s="906"/>
      <c r="E611" s="907"/>
      <c r="F611" s="908"/>
      <c r="G611" s="909"/>
      <c r="H611" s="910"/>
      <c r="I611" s="907"/>
      <c r="J611" s="912"/>
      <c r="K611" s="909"/>
      <c r="L611" s="913"/>
      <c r="M611" s="620"/>
      <c r="N611" s="620"/>
      <c r="O611" s="620"/>
      <c r="P611" s="620"/>
      <c r="Q611" s="620"/>
      <c r="R611" s="620"/>
      <c r="S611" s="620"/>
      <c r="T611" s="620"/>
      <c r="U611" s="620"/>
    </row>
    <row r="612">
      <c r="A612" s="905"/>
      <c r="B612" s="905"/>
      <c r="C612" s="520"/>
      <c r="D612" s="906"/>
      <c r="E612" s="907"/>
      <c r="F612" s="908"/>
      <c r="G612" s="909"/>
      <c r="H612" s="910"/>
      <c r="I612" s="907"/>
      <c r="J612" s="912"/>
      <c r="K612" s="909"/>
      <c r="L612" s="913"/>
      <c r="M612" s="620"/>
      <c r="N612" s="620"/>
      <c r="O612" s="620"/>
      <c r="P612" s="620"/>
      <c r="Q612" s="620"/>
      <c r="R612" s="620"/>
      <c r="S612" s="620"/>
      <c r="T612" s="620"/>
      <c r="U612" s="620"/>
    </row>
    <row r="613">
      <c r="A613" s="905"/>
      <c r="B613" s="905"/>
      <c r="C613" s="520"/>
      <c r="D613" s="906"/>
      <c r="E613" s="907"/>
      <c r="F613" s="908"/>
      <c r="G613" s="909"/>
      <c r="H613" s="910"/>
      <c r="I613" s="907"/>
      <c r="J613" s="912"/>
      <c r="K613" s="909"/>
      <c r="L613" s="913"/>
      <c r="M613" s="620"/>
      <c r="N613" s="620"/>
      <c r="O613" s="620"/>
      <c r="P613" s="620"/>
      <c r="Q613" s="620"/>
      <c r="R613" s="620"/>
      <c r="S613" s="620"/>
      <c r="T613" s="620"/>
      <c r="U613" s="620"/>
    </row>
    <row r="614">
      <c r="A614" s="905"/>
      <c r="B614" s="905"/>
      <c r="C614" s="520"/>
      <c r="D614" s="906"/>
      <c r="E614" s="907"/>
      <c r="F614" s="908"/>
      <c r="G614" s="909"/>
      <c r="H614" s="910"/>
      <c r="I614" s="907"/>
      <c r="J614" s="912"/>
      <c r="K614" s="909"/>
      <c r="L614" s="913"/>
      <c r="M614" s="620"/>
      <c r="N614" s="620"/>
      <c r="O614" s="620"/>
      <c r="P614" s="620"/>
      <c r="Q614" s="620"/>
      <c r="R614" s="620"/>
      <c r="S614" s="620"/>
      <c r="T614" s="620"/>
      <c r="U614" s="620"/>
    </row>
    <row r="615">
      <c r="A615" s="905"/>
      <c r="B615" s="905"/>
      <c r="C615" s="520"/>
      <c r="D615" s="906"/>
      <c r="E615" s="907"/>
      <c r="F615" s="908"/>
      <c r="G615" s="909"/>
      <c r="H615" s="910"/>
      <c r="I615" s="907"/>
      <c r="J615" s="912"/>
      <c r="K615" s="909"/>
      <c r="L615" s="913"/>
      <c r="M615" s="620"/>
      <c r="N615" s="620"/>
      <c r="O615" s="620"/>
      <c r="P615" s="620"/>
      <c r="Q615" s="620"/>
      <c r="R615" s="620"/>
      <c r="S615" s="620"/>
      <c r="T615" s="620"/>
      <c r="U615" s="620"/>
    </row>
    <row r="616">
      <c r="A616" s="905"/>
      <c r="B616" s="905"/>
      <c r="C616" s="520"/>
      <c r="D616" s="906"/>
      <c r="E616" s="907"/>
      <c r="F616" s="908"/>
      <c r="G616" s="909"/>
      <c r="H616" s="910"/>
      <c r="I616" s="907"/>
      <c r="J616" s="912"/>
      <c r="K616" s="909"/>
      <c r="L616" s="913"/>
      <c r="M616" s="620"/>
      <c r="N616" s="620"/>
      <c r="O616" s="620"/>
      <c r="P616" s="620"/>
      <c r="Q616" s="620"/>
      <c r="R616" s="620"/>
      <c r="S616" s="620"/>
      <c r="T616" s="620"/>
      <c r="U616" s="620"/>
    </row>
    <row r="617">
      <c r="A617" s="905"/>
      <c r="B617" s="905"/>
      <c r="C617" s="520"/>
      <c r="D617" s="906"/>
      <c r="E617" s="907"/>
      <c r="F617" s="908"/>
      <c r="G617" s="909"/>
      <c r="H617" s="910"/>
      <c r="I617" s="907"/>
      <c r="J617" s="912"/>
      <c r="K617" s="909"/>
      <c r="L617" s="913"/>
      <c r="M617" s="620"/>
      <c r="N617" s="620"/>
      <c r="O617" s="620"/>
      <c r="P617" s="620"/>
      <c r="Q617" s="620"/>
      <c r="R617" s="620"/>
      <c r="S617" s="620"/>
      <c r="T617" s="620"/>
      <c r="U617" s="620"/>
    </row>
    <row r="618">
      <c r="A618" s="905"/>
      <c r="B618" s="905"/>
      <c r="C618" s="520"/>
      <c r="D618" s="906"/>
      <c r="E618" s="907"/>
      <c r="F618" s="908"/>
      <c r="G618" s="909"/>
      <c r="H618" s="910"/>
      <c r="I618" s="907"/>
      <c r="J618" s="912"/>
      <c r="K618" s="909"/>
      <c r="L618" s="913"/>
      <c r="M618" s="620"/>
      <c r="N618" s="620"/>
      <c r="O618" s="620"/>
      <c r="P618" s="620"/>
      <c r="Q618" s="620"/>
      <c r="R618" s="620"/>
      <c r="S618" s="620"/>
      <c r="T618" s="620"/>
      <c r="U618" s="620"/>
    </row>
    <row r="619">
      <c r="A619" s="905"/>
      <c r="B619" s="905"/>
      <c r="C619" s="520"/>
      <c r="D619" s="906"/>
      <c r="E619" s="907"/>
      <c r="F619" s="908"/>
      <c r="G619" s="909"/>
      <c r="H619" s="910"/>
      <c r="I619" s="907"/>
      <c r="J619" s="912"/>
      <c r="K619" s="909"/>
      <c r="L619" s="913"/>
      <c r="M619" s="620"/>
      <c r="N619" s="620"/>
      <c r="O619" s="620"/>
      <c r="P619" s="620"/>
      <c r="Q619" s="620"/>
      <c r="R619" s="620"/>
      <c r="S619" s="620"/>
      <c r="T619" s="620"/>
      <c r="U619" s="620"/>
    </row>
    <row r="620">
      <c r="A620" s="905"/>
      <c r="B620" s="905"/>
      <c r="C620" s="520"/>
      <c r="D620" s="906"/>
      <c r="E620" s="907"/>
      <c r="F620" s="908"/>
      <c r="G620" s="909"/>
      <c r="H620" s="910"/>
      <c r="I620" s="907"/>
      <c r="J620" s="912"/>
      <c r="K620" s="909"/>
      <c r="L620" s="913"/>
      <c r="M620" s="620"/>
      <c r="N620" s="620"/>
      <c r="O620" s="620"/>
      <c r="P620" s="620"/>
      <c r="Q620" s="620"/>
      <c r="R620" s="620"/>
      <c r="S620" s="620"/>
      <c r="T620" s="620"/>
      <c r="U620" s="620"/>
    </row>
    <row r="621">
      <c r="A621" s="905"/>
      <c r="B621" s="905"/>
      <c r="C621" s="520"/>
      <c r="D621" s="906"/>
      <c r="E621" s="907"/>
      <c r="F621" s="908"/>
      <c r="G621" s="909"/>
      <c r="H621" s="910"/>
      <c r="I621" s="907"/>
      <c r="J621" s="912"/>
      <c r="K621" s="909"/>
      <c r="L621" s="913"/>
      <c r="M621" s="620"/>
      <c r="N621" s="620"/>
      <c r="O621" s="620"/>
      <c r="P621" s="620"/>
      <c r="Q621" s="620"/>
      <c r="R621" s="620"/>
      <c r="S621" s="620"/>
      <c r="T621" s="620"/>
      <c r="U621" s="620"/>
    </row>
    <row r="622">
      <c r="A622" s="905"/>
      <c r="B622" s="905"/>
      <c r="C622" s="520"/>
      <c r="D622" s="906"/>
      <c r="E622" s="907"/>
      <c r="F622" s="908"/>
      <c r="G622" s="909"/>
      <c r="H622" s="910"/>
      <c r="I622" s="907"/>
      <c r="J622" s="912"/>
      <c r="K622" s="909"/>
      <c r="L622" s="913"/>
      <c r="M622" s="620"/>
      <c r="N622" s="620"/>
      <c r="O622" s="620"/>
      <c r="P622" s="620"/>
      <c r="Q622" s="620"/>
      <c r="R622" s="620"/>
      <c r="S622" s="620"/>
      <c r="T622" s="620"/>
      <c r="U622" s="620"/>
    </row>
    <row r="623">
      <c r="A623" s="905"/>
      <c r="B623" s="905"/>
      <c r="C623" s="520"/>
      <c r="D623" s="906"/>
      <c r="E623" s="907"/>
      <c r="F623" s="908"/>
      <c r="G623" s="909"/>
      <c r="H623" s="910"/>
      <c r="I623" s="907"/>
      <c r="J623" s="912"/>
      <c r="K623" s="909"/>
      <c r="L623" s="913"/>
      <c r="M623" s="620"/>
      <c r="N623" s="620"/>
      <c r="O623" s="620"/>
      <c r="P623" s="620"/>
      <c r="Q623" s="620"/>
      <c r="R623" s="620"/>
      <c r="S623" s="620"/>
      <c r="T623" s="620"/>
      <c r="U623" s="620"/>
    </row>
    <row r="624">
      <c r="A624" s="905"/>
      <c r="B624" s="905"/>
      <c r="C624" s="520"/>
      <c r="D624" s="906"/>
      <c r="E624" s="907"/>
      <c r="F624" s="908"/>
      <c r="G624" s="909"/>
      <c r="H624" s="910"/>
      <c r="I624" s="907"/>
      <c r="J624" s="912"/>
      <c r="K624" s="909"/>
      <c r="L624" s="913"/>
      <c r="M624" s="620"/>
      <c r="N624" s="620"/>
      <c r="O624" s="620"/>
      <c r="P624" s="620"/>
      <c r="Q624" s="620"/>
      <c r="R624" s="620"/>
      <c r="S624" s="620"/>
      <c r="T624" s="620"/>
      <c r="U624" s="620"/>
    </row>
    <row r="625">
      <c r="A625" s="905"/>
      <c r="B625" s="905"/>
      <c r="C625" s="520"/>
      <c r="D625" s="906"/>
      <c r="E625" s="907"/>
      <c r="F625" s="908"/>
      <c r="G625" s="909"/>
      <c r="H625" s="910"/>
      <c r="I625" s="907"/>
      <c r="J625" s="912"/>
      <c r="K625" s="909"/>
      <c r="L625" s="913"/>
      <c r="M625" s="620"/>
      <c r="N625" s="620"/>
      <c r="O625" s="620"/>
      <c r="P625" s="620"/>
      <c r="Q625" s="620"/>
      <c r="R625" s="620"/>
      <c r="S625" s="620"/>
      <c r="T625" s="620"/>
      <c r="U625" s="620"/>
    </row>
    <row r="626">
      <c r="A626" s="905"/>
      <c r="B626" s="905"/>
      <c r="C626" s="520"/>
      <c r="D626" s="906"/>
      <c r="E626" s="907"/>
      <c r="F626" s="908"/>
      <c r="G626" s="909"/>
      <c r="H626" s="910"/>
      <c r="I626" s="907"/>
      <c r="J626" s="912"/>
      <c r="K626" s="909"/>
      <c r="L626" s="913"/>
      <c r="M626" s="620"/>
      <c r="N626" s="620"/>
      <c r="O626" s="620"/>
      <c r="P626" s="620"/>
      <c r="Q626" s="620"/>
      <c r="R626" s="620"/>
      <c r="S626" s="620"/>
      <c r="T626" s="620"/>
      <c r="U626" s="620"/>
    </row>
    <row r="627">
      <c r="A627" s="905"/>
      <c r="B627" s="905"/>
      <c r="C627" s="520"/>
      <c r="D627" s="906"/>
      <c r="E627" s="907"/>
      <c r="F627" s="908"/>
      <c r="G627" s="909"/>
      <c r="H627" s="910"/>
      <c r="I627" s="907"/>
      <c r="J627" s="912"/>
      <c r="K627" s="909"/>
      <c r="L627" s="913"/>
      <c r="M627" s="620"/>
      <c r="N627" s="620"/>
      <c r="O627" s="620"/>
      <c r="P627" s="620"/>
      <c r="Q627" s="620"/>
      <c r="R627" s="620"/>
      <c r="S627" s="620"/>
      <c r="T627" s="620"/>
      <c r="U627" s="620"/>
    </row>
    <row r="628">
      <c r="A628" s="905"/>
      <c r="B628" s="905"/>
      <c r="C628" s="520"/>
      <c r="D628" s="906"/>
      <c r="E628" s="907"/>
      <c r="F628" s="908"/>
      <c r="G628" s="909"/>
      <c r="H628" s="910"/>
      <c r="I628" s="907"/>
      <c r="J628" s="912"/>
      <c r="K628" s="909"/>
      <c r="L628" s="913"/>
      <c r="M628" s="620"/>
      <c r="N628" s="620"/>
      <c r="O628" s="620"/>
      <c r="P628" s="620"/>
      <c r="Q628" s="620"/>
      <c r="R628" s="620"/>
      <c r="S628" s="620"/>
      <c r="T628" s="620"/>
      <c r="U628" s="620"/>
    </row>
    <row r="629">
      <c r="A629" s="905"/>
      <c r="B629" s="905"/>
      <c r="C629" s="520"/>
      <c r="D629" s="906"/>
      <c r="E629" s="907"/>
      <c r="F629" s="908"/>
      <c r="G629" s="909"/>
      <c r="H629" s="910"/>
      <c r="I629" s="907"/>
      <c r="J629" s="912"/>
      <c r="K629" s="909"/>
      <c r="L629" s="913"/>
      <c r="M629" s="620"/>
      <c r="N629" s="620"/>
      <c r="O629" s="620"/>
      <c r="P629" s="620"/>
      <c r="Q629" s="620"/>
      <c r="R629" s="620"/>
      <c r="S629" s="620"/>
      <c r="T629" s="620"/>
      <c r="U629" s="620"/>
    </row>
    <row r="630">
      <c r="A630" s="905"/>
      <c r="B630" s="905"/>
      <c r="C630" s="520"/>
      <c r="D630" s="906"/>
      <c r="E630" s="907"/>
      <c r="F630" s="908"/>
      <c r="G630" s="909"/>
      <c r="H630" s="910"/>
      <c r="I630" s="907"/>
      <c r="J630" s="912"/>
      <c r="K630" s="909"/>
      <c r="L630" s="913"/>
      <c r="M630" s="620"/>
      <c r="N630" s="620"/>
      <c r="O630" s="620"/>
      <c r="P630" s="620"/>
      <c r="Q630" s="620"/>
      <c r="R630" s="620"/>
      <c r="S630" s="620"/>
      <c r="T630" s="620"/>
      <c r="U630" s="620"/>
    </row>
    <row r="631">
      <c r="A631" s="905"/>
      <c r="B631" s="905"/>
      <c r="C631" s="520"/>
      <c r="D631" s="906"/>
      <c r="E631" s="907"/>
      <c r="F631" s="908"/>
      <c r="G631" s="909"/>
      <c r="H631" s="910"/>
      <c r="I631" s="907"/>
      <c r="J631" s="912"/>
      <c r="K631" s="909"/>
      <c r="L631" s="913"/>
      <c r="M631" s="620"/>
      <c r="N631" s="620"/>
      <c r="O631" s="620"/>
      <c r="P631" s="620"/>
      <c r="Q631" s="620"/>
      <c r="R631" s="620"/>
      <c r="S631" s="620"/>
      <c r="T631" s="620"/>
      <c r="U631" s="620"/>
    </row>
    <row r="632">
      <c r="A632" s="905"/>
      <c r="B632" s="905"/>
      <c r="C632" s="520"/>
      <c r="D632" s="906"/>
      <c r="E632" s="907"/>
      <c r="F632" s="908"/>
      <c r="G632" s="909"/>
      <c r="H632" s="910"/>
      <c r="I632" s="907"/>
      <c r="J632" s="912"/>
      <c r="K632" s="909"/>
      <c r="L632" s="913"/>
      <c r="M632" s="620"/>
      <c r="N632" s="620"/>
      <c r="O632" s="620"/>
      <c r="P632" s="620"/>
      <c r="Q632" s="620"/>
      <c r="R632" s="620"/>
      <c r="S632" s="620"/>
      <c r="T632" s="620"/>
      <c r="U632" s="620"/>
    </row>
    <row r="633">
      <c r="A633" s="905"/>
      <c r="B633" s="905"/>
      <c r="C633" s="520"/>
      <c r="D633" s="906"/>
      <c r="E633" s="907"/>
      <c r="F633" s="908"/>
      <c r="G633" s="909"/>
      <c r="H633" s="910"/>
      <c r="I633" s="907"/>
      <c r="J633" s="912"/>
      <c r="K633" s="909"/>
      <c r="L633" s="913"/>
      <c r="M633" s="620"/>
      <c r="N633" s="620"/>
      <c r="O633" s="620"/>
      <c r="P633" s="620"/>
      <c r="Q633" s="620"/>
      <c r="R633" s="620"/>
      <c r="S633" s="620"/>
      <c r="T633" s="620"/>
      <c r="U633" s="620"/>
    </row>
    <row r="634">
      <c r="A634" s="905"/>
      <c r="B634" s="905"/>
      <c r="C634" s="520"/>
      <c r="D634" s="906"/>
      <c r="E634" s="907"/>
      <c r="F634" s="908"/>
      <c r="G634" s="909"/>
      <c r="H634" s="910"/>
      <c r="I634" s="907"/>
      <c r="J634" s="912"/>
      <c r="K634" s="909"/>
      <c r="L634" s="913"/>
      <c r="M634" s="620"/>
      <c r="N634" s="620"/>
      <c r="O634" s="620"/>
      <c r="P634" s="620"/>
      <c r="Q634" s="620"/>
      <c r="R634" s="620"/>
      <c r="S634" s="620"/>
      <c r="T634" s="620"/>
      <c r="U634" s="620"/>
    </row>
    <row r="635">
      <c r="A635" s="905"/>
      <c r="B635" s="905"/>
      <c r="C635" s="520"/>
      <c r="D635" s="906"/>
      <c r="E635" s="907"/>
      <c r="F635" s="908"/>
      <c r="G635" s="909"/>
      <c r="H635" s="910"/>
      <c r="I635" s="907"/>
      <c r="J635" s="912"/>
      <c r="K635" s="909"/>
      <c r="L635" s="913"/>
      <c r="M635" s="620"/>
      <c r="N635" s="620"/>
      <c r="O635" s="620"/>
      <c r="P635" s="620"/>
      <c r="Q635" s="620"/>
      <c r="R635" s="620"/>
      <c r="S635" s="620"/>
      <c r="T635" s="620"/>
      <c r="U635" s="620"/>
    </row>
    <row r="636">
      <c r="A636" s="905"/>
      <c r="B636" s="905"/>
      <c r="C636" s="520"/>
      <c r="D636" s="906"/>
      <c r="E636" s="907"/>
      <c r="F636" s="908"/>
      <c r="G636" s="909"/>
      <c r="H636" s="910"/>
      <c r="I636" s="907"/>
      <c r="J636" s="912"/>
      <c r="K636" s="909"/>
      <c r="L636" s="913"/>
      <c r="M636" s="620"/>
      <c r="N636" s="620"/>
      <c r="O636" s="620"/>
      <c r="P636" s="620"/>
      <c r="Q636" s="620"/>
      <c r="R636" s="620"/>
      <c r="S636" s="620"/>
      <c r="T636" s="620"/>
      <c r="U636" s="620"/>
    </row>
    <row r="637">
      <c r="A637" s="905"/>
      <c r="B637" s="905"/>
      <c r="C637" s="520"/>
      <c r="D637" s="906"/>
      <c r="E637" s="907"/>
      <c r="F637" s="908"/>
      <c r="G637" s="909"/>
      <c r="H637" s="910"/>
      <c r="I637" s="907"/>
      <c r="J637" s="912"/>
      <c r="K637" s="909"/>
      <c r="L637" s="913"/>
      <c r="M637" s="620"/>
      <c r="N637" s="620"/>
      <c r="O637" s="620"/>
      <c r="P637" s="620"/>
      <c r="Q637" s="620"/>
      <c r="R637" s="620"/>
      <c r="S637" s="620"/>
      <c r="T637" s="620"/>
      <c r="U637" s="620"/>
    </row>
    <row r="638">
      <c r="A638" s="905"/>
      <c r="B638" s="905"/>
      <c r="C638" s="520"/>
      <c r="D638" s="906"/>
      <c r="E638" s="907"/>
      <c r="F638" s="908"/>
      <c r="G638" s="909"/>
      <c r="H638" s="910"/>
      <c r="I638" s="907"/>
      <c r="J638" s="912"/>
      <c r="K638" s="909"/>
      <c r="L638" s="913"/>
      <c r="M638" s="620"/>
      <c r="N638" s="620"/>
      <c r="O638" s="620"/>
      <c r="P638" s="620"/>
      <c r="Q638" s="620"/>
      <c r="R638" s="620"/>
      <c r="S638" s="620"/>
      <c r="T638" s="620"/>
      <c r="U638" s="620"/>
    </row>
    <row r="639">
      <c r="A639" s="905"/>
      <c r="B639" s="905"/>
      <c r="C639" s="520"/>
      <c r="D639" s="906"/>
      <c r="E639" s="907"/>
      <c r="F639" s="908"/>
      <c r="G639" s="909"/>
      <c r="H639" s="910"/>
      <c r="I639" s="907"/>
      <c r="J639" s="912"/>
      <c r="K639" s="909"/>
      <c r="L639" s="913"/>
      <c r="M639" s="620"/>
      <c r="N639" s="620"/>
      <c r="O639" s="620"/>
      <c r="P639" s="620"/>
      <c r="Q639" s="620"/>
      <c r="R639" s="620"/>
      <c r="S639" s="620"/>
      <c r="T639" s="620"/>
      <c r="U639" s="620"/>
    </row>
    <row r="640">
      <c r="A640" s="905"/>
      <c r="B640" s="905"/>
      <c r="C640" s="520"/>
      <c r="D640" s="906"/>
      <c r="E640" s="907"/>
      <c r="F640" s="908"/>
      <c r="G640" s="909"/>
      <c r="H640" s="910"/>
      <c r="I640" s="907"/>
      <c r="J640" s="912"/>
      <c r="K640" s="909"/>
      <c r="L640" s="913"/>
      <c r="M640" s="620"/>
      <c r="N640" s="620"/>
      <c r="O640" s="620"/>
      <c r="P640" s="620"/>
      <c r="Q640" s="620"/>
      <c r="R640" s="620"/>
      <c r="S640" s="620"/>
      <c r="T640" s="620"/>
      <c r="U640" s="620"/>
    </row>
    <row r="641">
      <c r="A641" s="905"/>
      <c r="B641" s="905"/>
      <c r="C641" s="520"/>
      <c r="D641" s="906"/>
      <c r="E641" s="907"/>
      <c r="F641" s="908"/>
      <c r="G641" s="909"/>
      <c r="H641" s="910"/>
      <c r="I641" s="907"/>
      <c r="J641" s="912"/>
      <c r="K641" s="909"/>
      <c r="L641" s="913"/>
      <c r="M641" s="620"/>
      <c r="N641" s="620"/>
      <c r="O641" s="620"/>
      <c r="P641" s="620"/>
      <c r="Q641" s="620"/>
      <c r="R641" s="620"/>
      <c r="S641" s="620"/>
      <c r="T641" s="620"/>
      <c r="U641" s="620"/>
    </row>
    <row r="642">
      <c r="A642" s="905"/>
      <c r="B642" s="905"/>
      <c r="C642" s="520"/>
      <c r="D642" s="906"/>
      <c r="E642" s="907"/>
      <c r="F642" s="908"/>
      <c r="G642" s="909"/>
      <c r="H642" s="910"/>
      <c r="I642" s="907"/>
      <c r="J642" s="912"/>
      <c r="K642" s="909"/>
      <c r="L642" s="913"/>
      <c r="M642" s="620"/>
      <c r="N642" s="620"/>
      <c r="O642" s="620"/>
      <c r="P642" s="620"/>
      <c r="Q642" s="620"/>
      <c r="R642" s="620"/>
      <c r="S642" s="620"/>
      <c r="T642" s="620"/>
      <c r="U642" s="620"/>
    </row>
    <row r="643">
      <c r="A643" s="905"/>
      <c r="B643" s="905"/>
      <c r="C643" s="520"/>
      <c r="D643" s="906"/>
      <c r="E643" s="907"/>
      <c r="F643" s="908"/>
      <c r="G643" s="909"/>
      <c r="H643" s="910"/>
      <c r="I643" s="907"/>
      <c r="J643" s="912"/>
      <c r="K643" s="909"/>
      <c r="L643" s="913"/>
      <c r="M643" s="620"/>
      <c r="N643" s="620"/>
      <c r="O643" s="620"/>
      <c r="P643" s="620"/>
      <c r="Q643" s="620"/>
      <c r="R643" s="620"/>
      <c r="S643" s="620"/>
      <c r="T643" s="620"/>
      <c r="U643" s="620"/>
    </row>
    <row r="644">
      <c r="A644" s="905"/>
      <c r="B644" s="905"/>
      <c r="C644" s="520"/>
      <c r="D644" s="906"/>
      <c r="E644" s="907"/>
      <c r="F644" s="908"/>
      <c r="G644" s="909"/>
      <c r="H644" s="910"/>
      <c r="I644" s="907"/>
      <c r="J644" s="912"/>
      <c r="K644" s="909"/>
      <c r="L644" s="913"/>
      <c r="M644" s="620"/>
      <c r="N644" s="620"/>
      <c r="O644" s="620"/>
      <c r="P644" s="620"/>
      <c r="Q644" s="620"/>
      <c r="R644" s="620"/>
      <c r="S644" s="620"/>
      <c r="T644" s="620"/>
      <c r="U644" s="620"/>
    </row>
    <row r="645">
      <c r="A645" s="905"/>
      <c r="B645" s="905"/>
      <c r="C645" s="520"/>
      <c r="D645" s="906"/>
      <c r="E645" s="907"/>
      <c r="F645" s="908"/>
      <c r="G645" s="909"/>
      <c r="H645" s="910"/>
      <c r="I645" s="907"/>
      <c r="J645" s="912"/>
      <c r="K645" s="909"/>
      <c r="L645" s="913"/>
      <c r="M645" s="620"/>
      <c r="N645" s="620"/>
      <c r="O645" s="620"/>
      <c r="P645" s="620"/>
      <c r="Q645" s="620"/>
      <c r="R645" s="620"/>
      <c r="S645" s="620"/>
      <c r="T645" s="620"/>
      <c r="U645" s="620"/>
    </row>
    <row r="646">
      <c r="A646" s="905"/>
      <c r="B646" s="905"/>
      <c r="C646" s="520"/>
      <c r="D646" s="906"/>
      <c r="E646" s="907"/>
      <c r="F646" s="908"/>
      <c r="G646" s="909"/>
      <c r="H646" s="910"/>
      <c r="I646" s="907"/>
      <c r="J646" s="912"/>
      <c r="K646" s="909"/>
      <c r="L646" s="913"/>
      <c r="M646" s="620"/>
      <c r="N646" s="620"/>
      <c r="O646" s="620"/>
      <c r="P646" s="620"/>
      <c r="Q646" s="620"/>
      <c r="R646" s="620"/>
      <c r="S646" s="620"/>
      <c r="T646" s="620"/>
      <c r="U646" s="620"/>
    </row>
    <row r="647">
      <c r="A647" s="905"/>
      <c r="B647" s="905"/>
      <c r="C647" s="520"/>
      <c r="D647" s="906"/>
      <c r="E647" s="907"/>
      <c r="F647" s="908"/>
      <c r="G647" s="909"/>
      <c r="H647" s="910"/>
      <c r="I647" s="907"/>
      <c r="J647" s="912"/>
      <c r="K647" s="909"/>
      <c r="L647" s="913"/>
      <c r="M647" s="620"/>
      <c r="N647" s="620"/>
      <c r="O647" s="620"/>
      <c r="P647" s="620"/>
      <c r="Q647" s="620"/>
      <c r="R647" s="620"/>
      <c r="S647" s="620"/>
      <c r="T647" s="620"/>
      <c r="U647" s="620"/>
    </row>
    <row r="648">
      <c r="A648" s="905"/>
      <c r="B648" s="905"/>
      <c r="C648" s="520"/>
      <c r="D648" s="906"/>
      <c r="E648" s="907"/>
      <c r="F648" s="908"/>
      <c r="G648" s="909"/>
      <c r="H648" s="910"/>
      <c r="I648" s="907"/>
      <c r="J648" s="912"/>
      <c r="K648" s="909"/>
      <c r="L648" s="913"/>
      <c r="M648" s="620"/>
      <c r="N648" s="620"/>
      <c r="O648" s="620"/>
      <c r="P648" s="620"/>
      <c r="Q648" s="620"/>
      <c r="R648" s="620"/>
      <c r="S648" s="620"/>
      <c r="T648" s="620"/>
      <c r="U648" s="620"/>
    </row>
    <row r="649">
      <c r="A649" s="905"/>
      <c r="B649" s="905"/>
      <c r="C649" s="520"/>
      <c r="D649" s="906"/>
      <c r="E649" s="907"/>
      <c r="F649" s="908"/>
      <c r="G649" s="909"/>
      <c r="H649" s="910"/>
      <c r="I649" s="907"/>
      <c r="J649" s="912"/>
      <c r="K649" s="909"/>
      <c r="L649" s="913"/>
      <c r="M649" s="620"/>
      <c r="N649" s="620"/>
      <c r="O649" s="620"/>
      <c r="P649" s="620"/>
      <c r="Q649" s="620"/>
      <c r="R649" s="620"/>
      <c r="S649" s="620"/>
      <c r="T649" s="620"/>
      <c r="U649" s="620"/>
    </row>
    <row r="650">
      <c r="A650" s="905"/>
      <c r="B650" s="905"/>
      <c r="C650" s="520"/>
      <c r="D650" s="906"/>
      <c r="E650" s="907"/>
      <c r="F650" s="908"/>
      <c r="G650" s="909"/>
      <c r="H650" s="910"/>
      <c r="I650" s="907"/>
      <c r="J650" s="912"/>
      <c r="K650" s="909"/>
      <c r="L650" s="913"/>
      <c r="M650" s="620"/>
      <c r="N650" s="620"/>
      <c r="O650" s="620"/>
      <c r="P650" s="620"/>
      <c r="Q650" s="620"/>
      <c r="R650" s="620"/>
      <c r="S650" s="620"/>
      <c r="T650" s="620"/>
      <c r="U650" s="620"/>
    </row>
    <row r="651">
      <c r="A651" s="905"/>
      <c r="B651" s="905"/>
      <c r="C651" s="520"/>
      <c r="D651" s="906"/>
      <c r="E651" s="907"/>
      <c r="F651" s="908"/>
      <c r="G651" s="909"/>
      <c r="H651" s="910"/>
      <c r="I651" s="907"/>
      <c r="J651" s="912"/>
      <c r="K651" s="909"/>
      <c r="L651" s="913"/>
      <c r="M651" s="620"/>
      <c r="N651" s="620"/>
      <c r="O651" s="620"/>
      <c r="P651" s="620"/>
      <c r="Q651" s="620"/>
      <c r="R651" s="620"/>
      <c r="S651" s="620"/>
      <c r="T651" s="620"/>
      <c r="U651" s="620"/>
    </row>
    <row r="652">
      <c r="A652" s="905"/>
      <c r="B652" s="905"/>
      <c r="C652" s="520"/>
      <c r="D652" s="906"/>
      <c r="E652" s="907"/>
      <c r="F652" s="908"/>
      <c r="G652" s="909"/>
      <c r="H652" s="910"/>
      <c r="I652" s="907"/>
      <c r="J652" s="912"/>
      <c r="K652" s="909"/>
      <c r="L652" s="913"/>
      <c r="M652" s="620"/>
      <c r="N652" s="620"/>
      <c r="O652" s="620"/>
      <c r="P652" s="620"/>
      <c r="Q652" s="620"/>
      <c r="R652" s="620"/>
      <c r="S652" s="620"/>
      <c r="T652" s="620"/>
      <c r="U652" s="620"/>
    </row>
    <row r="653">
      <c r="A653" s="905"/>
      <c r="B653" s="905"/>
      <c r="C653" s="520"/>
      <c r="D653" s="906"/>
      <c r="E653" s="907"/>
      <c r="F653" s="908"/>
      <c r="G653" s="909"/>
      <c r="H653" s="910"/>
      <c r="I653" s="907"/>
      <c r="J653" s="912"/>
      <c r="K653" s="909"/>
      <c r="L653" s="913"/>
      <c r="M653" s="620"/>
      <c r="N653" s="620"/>
      <c r="O653" s="620"/>
      <c r="P653" s="620"/>
      <c r="Q653" s="620"/>
      <c r="R653" s="620"/>
      <c r="S653" s="620"/>
      <c r="T653" s="620"/>
      <c r="U653" s="620"/>
    </row>
    <row r="654">
      <c r="A654" s="905"/>
      <c r="B654" s="905"/>
      <c r="C654" s="520"/>
      <c r="D654" s="906"/>
      <c r="E654" s="907"/>
      <c r="F654" s="908"/>
      <c r="G654" s="909"/>
      <c r="H654" s="910"/>
      <c r="I654" s="907"/>
      <c r="J654" s="912"/>
      <c r="K654" s="909"/>
      <c r="L654" s="913"/>
      <c r="M654" s="620"/>
      <c r="N654" s="620"/>
      <c r="O654" s="620"/>
      <c r="P654" s="620"/>
      <c r="Q654" s="620"/>
      <c r="R654" s="620"/>
      <c r="S654" s="620"/>
      <c r="T654" s="620"/>
      <c r="U654" s="620"/>
    </row>
    <row r="655">
      <c r="A655" s="905"/>
      <c r="B655" s="905"/>
      <c r="C655" s="520"/>
      <c r="D655" s="906"/>
      <c r="E655" s="907"/>
      <c r="F655" s="908"/>
      <c r="G655" s="909"/>
      <c r="H655" s="910"/>
      <c r="I655" s="907"/>
      <c r="J655" s="912"/>
      <c r="K655" s="909"/>
      <c r="L655" s="913"/>
      <c r="M655" s="620"/>
      <c r="N655" s="620"/>
      <c r="O655" s="620"/>
      <c r="P655" s="620"/>
      <c r="Q655" s="620"/>
      <c r="R655" s="620"/>
      <c r="S655" s="620"/>
      <c r="T655" s="620"/>
      <c r="U655" s="620"/>
    </row>
    <row r="656">
      <c r="A656" s="905"/>
      <c r="B656" s="905"/>
      <c r="C656" s="520"/>
      <c r="D656" s="906"/>
      <c r="E656" s="907"/>
      <c r="F656" s="908"/>
      <c r="G656" s="909"/>
      <c r="H656" s="910"/>
      <c r="I656" s="907"/>
      <c r="J656" s="912"/>
      <c r="K656" s="909"/>
      <c r="L656" s="913"/>
      <c r="M656" s="620"/>
      <c r="N656" s="620"/>
      <c r="O656" s="620"/>
      <c r="P656" s="620"/>
      <c r="Q656" s="620"/>
      <c r="R656" s="620"/>
      <c r="S656" s="620"/>
      <c r="T656" s="620"/>
      <c r="U656" s="620"/>
    </row>
    <row r="657">
      <c r="A657" s="905"/>
      <c r="B657" s="905"/>
      <c r="C657" s="520"/>
      <c r="D657" s="906"/>
      <c r="E657" s="907"/>
      <c r="F657" s="908"/>
      <c r="G657" s="909"/>
      <c r="H657" s="910"/>
      <c r="I657" s="907"/>
      <c r="J657" s="912"/>
      <c r="K657" s="909"/>
      <c r="L657" s="913"/>
      <c r="M657" s="620"/>
      <c r="N657" s="620"/>
      <c r="O657" s="620"/>
      <c r="P657" s="620"/>
      <c r="Q657" s="620"/>
      <c r="R657" s="620"/>
      <c r="S657" s="620"/>
      <c r="T657" s="620"/>
      <c r="U657" s="620"/>
    </row>
    <row r="658">
      <c r="A658" s="905"/>
      <c r="B658" s="905"/>
      <c r="C658" s="520"/>
      <c r="D658" s="906"/>
      <c r="E658" s="907"/>
      <c r="F658" s="908"/>
      <c r="G658" s="909"/>
      <c r="H658" s="910"/>
      <c r="I658" s="907"/>
      <c r="J658" s="912"/>
      <c r="K658" s="909"/>
      <c r="L658" s="913"/>
      <c r="M658" s="620"/>
      <c r="N658" s="620"/>
      <c r="O658" s="620"/>
      <c r="P658" s="620"/>
      <c r="Q658" s="620"/>
      <c r="R658" s="620"/>
      <c r="S658" s="620"/>
      <c r="T658" s="620"/>
      <c r="U658" s="620"/>
    </row>
    <row r="659">
      <c r="A659" s="905"/>
      <c r="B659" s="905"/>
      <c r="C659" s="520"/>
      <c r="D659" s="906"/>
      <c r="E659" s="907"/>
      <c r="F659" s="908"/>
      <c r="G659" s="909"/>
      <c r="H659" s="910"/>
      <c r="I659" s="907"/>
      <c r="J659" s="912"/>
      <c r="K659" s="909"/>
      <c r="L659" s="913"/>
      <c r="M659" s="620"/>
      <c r="N659" s="620"/>
      <c r="O659" s="620"/>
      <c r="P659" s="620"/>
      <c r="Q659" s="620"/>
      <c r="R659" s="620"/>
      <c r="S659" s="620"/>
      <c r="T659" s="620"/>
      <c r="U659" s="620"/>
    </row>
    <row r="660">
      <c r="A660" s="905"/>
      <c r="B660" s="905"/>
      <c r="C660" s="520"/>
      <c r="D660" s="906"/>
      <c r="E660" s="907"/>
      <c r="F660" s="908"/>
      <c r="G660" s="909"/>
      <c r="H660" s="910"/>
      <c r="I660" s="907"/>
      <c r="J660" s="912"/>
      <c r="K660" s="909"/>
      <c r="L660" s="913"/>
      <c r="M660" s="620"/>
      <c r="N660" s="620"/>
      <c r="O660" s="620"/>
      <c r="P660" s="620"/>
      <c r="Q660" s="620"/>
      <c r="R660" s="620"/>
      <c r="S660" s="620"/>
      <c r="T660" s="620"/>
      <c r="U660" s="620"/>
    </row>
    <row r="661">
      <c r="A661" s="905"/>
      <c r="B661" s="905"/>
      <c r="C661" s="520"/>
      <c r="D661" s="906"/>
      <c r="E661" s="907"/>
      <c r="F661" s="908"/>
      <c r="G661" s="909"/>
      <c r="H661" s="910"/>
      <c r="I661" s="907"/>
      <c r="J661" s="912"/>
      <c r="K661" s="909"/>
      <c r="L661" s="913"/>
      <c r="M661" s="620"/>
      <c r="N661" s="620"/>
      <c r="O661" s="620"/>
      <c r="P661" s="620"/>
      <c r="Q661" s="620"/>
      <c r="R661" s="620"/>
      <c r="S661" s="620"/>
      <c r="T661" s="620"/>
      <c r="U661" s="620"/>
    </row>
    <row r="662">
      <c r="A662" s="905"/>
      <c r="B662" s="905"/>
      <c r="C662" s="520"/>
      <c r="D662" s="906"/>
      <c r="E662" s="907"/>
      <c r="F662" s="908"/>
      <c r="G662" s="909"/>
      <c r="H662" s="910"/>
      <c r="I662" s="907"/>
      <c r="J662" s="912"/>
      <c r="K662" s="909"/>
      <c r="L662" s="913"/>
      <c r="M662" s="620"/>
      <c r="N662" s="620"/>
      <c r="O662" s="620"/>
      <c r="P662" s="620"/>
      <c r="Q662" s="620"/>
      <c r="R662" s="620"/>
      <c r="S662" s="620"/>
      <c r="T662" s="620"/>
      <c r="U662" s="620"/>
    </row>
    <row r="663">
      <c r="A663" s="905"/>
      <c r="B663" s="905"/>
      <c r="C663" s="520"/>
      <c r="D663" s="906"/>
      <c r="E663" s="907"/>
      <c r="F663" s="908"/>
      <c r="G663" s="909"/>
      <c r="H663" s="910"/>
      <c r="I663" s="907"/>
      <c r="J663" s="912"/>
      <c r="K663" s="909"/>
      <c r="L663" s="913"/>
      <c r="M663" s="620"/>
      <c r="N663" s="620"/>
      <c r="O663" s="620"/>
      <c r="P663" s="620"/>
      <c r="Q663" s="620"/>
      <c r="R663" s="620"/>
      <c r="S663" s="620"/>
      <c r="T663" s="620"/>
      <c r="U663" s="620"/>
    </row>
    <row r="664">
      <c r="A664" s="905"/>
      <c r="B664" s="905"/>
      <c r="C664" s="520"/>
      <c r="D664" s="906"/>
      <c r="E664" s="907"/>
      <c r="F664" s="908"/>
      <c r="G664" s="909"/>
      <c r="H664" s="910"/>
      <c r="I664" s="907"/>
      <c r="J664" s="912"/>
      <c r="K664" s="909"/>
      <c r="L664" s="913"/>
      <c r="M664" s="620"/>
      <c r="N664" s="620"/>
      <c r="O664" s="620"/>
      <c r="P664" s="620"/>
      <c r="Q664" s="620"/>
      <c r="R664" s="620"/>
      <c r="S664" s="620"/>
      <c r="T664" s="620"/>
      <c r="U664" s="620"/>
    </row>
    <row r="665">
      <c r="A665" s="905"/>
      <c r="B665" s="905"/>
      <c r="C665" s="520"/>
      <c r="D665" s="906"/>
      <c r="E665" s="907"/>
      <c r="F665" s="908"/>
      <c r="G665" s="909"/>
      <c r="H665" s="910"/>
      <c r="I665" s="907"/>
      <c r="J665" s="912"/>
      <c r="K665" s="909"/>
      <c r="L665" s="913"/>
      <c r="M665" s="620"/>
      <c r="N665" s="620"/>
      <c r="O665" s="620"/>
      <c r="P665" s="620"/>
      <c r="Q665" s="620"/>
      <c r="R665" s="620"/>
      <c r="S665" s="620"/>
      <c r="T665" s="620"/>
      <c r="U665" s="620"/>
    </row>
    <row r="666">
      <c r="A666" s="905"/>
      <c r="B666" s="905"/>
      <c r="C666" s="520"/>
      <c r="D666" s="906"/>
      <c r="E666" s="907"/>
      <c r="F666" s="908"/>
      <c r="G666" s="909"/>
      <c r="H666" s="910"/>
      <c r="I666" s="907"/>
      <c r="J666" s="912"/>
      <c r="K666" s="909"/>
      <c r="L666" s="913"/>
      <c r="M666" s="620"/>
      <c r="N666" s="620"/>
      <c r="O666" s="620"/>
      <c r="P666" s="620"/>
      <c r="Q666" s="620"/>
      <c r="R666" s="620"/>
      <c r="S666" s="620"/>
      <c r="T666" s="620"/>
      <c r="U666" s="620"/>
    </row>
    <row r="667">
      <c r="A667" s="905"/>
      <c r="B667" s="905"/>
      <c r="C667" s="520"/>
      <c r="D667" s="906"/>
      <c r="E667" s="907"/>
      <c r="F667" s="908"/>
      <c r="G667" s="909"/>
      <c r="H667" s="910"/>
      <c r="I667" s="907"/>
      <c r="J667" s="912"/>
      <c r="K667" s="909"/>
      <c r="L667" s="913"/>
      <c r="M667" s="620"/>
      <c r="N667" s="620"/>
      <c r="O667" s="620"/>
      <c r="P667" s="620"/>
      <c r="Q667" s="620"/>
      <c r="R667" s="620"/>
      <c r="S667" s="620"/>
      <c r="T667" s="620"/>
      <c r="U667" s="620"/>
    </row>
    <row r="668">
      <c r="A668" s="905"/>
      <c r="B668" s="905"/>
      <c r="C668" s="520"/>
      <c r="D668" s="906"/>
      <c r="E668" s="907"/>
      <c r="F668" s="908"/>
      <c r="G668" s="909"/>
      <c r="H668" s="910"/>
      <c r="I668" s="907"/>
      <c r="J668" s="912"/>
      <c r="K668" s="909"/>
      <c r="L668" s="913"/>
      <c r="M668" s="620"/>
      <c r="N668" s="620"/>
      <c r="O668" s="620"/>
      <c r="P668" s="620"/>
      <c r="Q668" s="620"/>
      <c r="R668" s="620"/>
      <c r="S668" s="620"/>
      <c r="T668" s="620"/>
      <c r="U668" s="620"/>
    </row>
    <row r="669">
      <c r="A669" s="905"/>
      <c r="B669" s="905"/>
      <c r="C669" s="520"/>
      <c r="D669" s="906"/>
      <c r="E669" s="907"/>
      <c r="F669" s="908"/>
      <c r="G669" s="909"/>
      <c r="H669" s="910"/>
      <c r="I669" s="907"/>
      <c r="J669" s="912"/>
      <c r="K669" s="909"/>
      <c r="L669" s="913"/>
      <c r="M669" s="620"/>
      <c r="N669" s="620"/>
      <c r="O669" s="620"/>
      <c r="P669" s="620"/>
      <c r="Q669" s="620"/>
      <c r="R669" s="620"/>
      <c r="S669" s="620"/>
      <c r="T669" s="620"/>
      <c r="U669" s="620"/>
    </row>
    <row r="670">
      <c r="A670" s="905"/>
      <c r="B670" s="905"/>
      <c r="C670" s="520"/>
      <c r="D670" s="906"/>
      <c r="E670" s="907"/>
      <c r="F670" s="908"/>
      <c r="G670" s="909"/>
      <c r="H670" s="910"/>
      <c r="I670" s="907"/>
      <c r="J670" s="912"/>
      <c r="K670" s="909"/>
      <c r="L670" s="913"/>
      <c r="M670" s="620"/>
      <c r="N670" s="620"/>
      <c r="O670" s="620"/>
      <c r="P670" s="620"/>
      <c r="Q670" s="620"/>
      <c r="R670" s="620"/>
      <c r="S670" s="620"/>
      <c r="T670" s="620"/>
      <c r="U670" s="620"/>
    </row>
    <row r="671">
      <c r="A671" s="905"/>
      <c r="B671" s="905"/>
      <c r="C671" s="520"/>
      <c r="D671" s="906"/>
      <c r="E671" s="907"/>
      <c r="F671" s="908"/>
      <c r="G671" s="909"/>
      <c r="H671" s="910"/>
      <c r="I671" s="907"/>
      <c r="J671" s="912"/>
      <c r="K671" s="909"/>
      <c r="L671" s="913"/>
      <c r="M671" s="620"/>
      <c r="N671" s="620"/>
      <c r="O671" s="620"/>
      <c r="P671" s="620"/>
      <c r="Q671" s="620"/>
      <c r="R671" s="620"/>
      <c r="S671" s="620"/>
      <c r="T671" s="620"/>
      <c r="U671" s="620"/>
    </row>
    <row r="672">
      <c r="A672" s="905"/>
      <c r="B672" s="905"/>
      <c r="C672" s="520"/>
      <c r="D672" s="906"/>
      <c r="E672" s="907"/>
      <c r="F672" s="908"/>
      <c r="G672" s="909"/>
      <c r="H672" s="910"/>
      <c r="I672" s="907"/>
      <c r="J672" s="912"/>
      <c r="K672" s="909"/>
      <c r="L672" s="913"/>
      <c r="M672" s="620"/>
      <c r="N672" s="620"/>
      <c r="O672" s="620"/>
      <c r="P672" s="620"/>
      <c r="Q672" s="620"/>
      <c r="R672" s="620"/>
      <c r="S672" s="620"/>
      <c r="T672" s="620"/>
      <c r="U672" s="620"/>
    </row>
    <row r="673">
      <c r="A673" s="905"/>
      <c r="B673" s="905"/>
      <c r="C673" s="520"/>
      <c r="D673" s="906"/>
      <c r="E673" s="907"/>
      <c r="F673" s="908"/>
      <c r="G673" s="909"/>
      <c r="H673" s="910"/>
      <c r="I673" s="907"/>
      <c r="J673" s="912"/>
      <c r="K673" s="909"/>
      <c r="L673" s="913"/>
      <c r="M673" s="620"/>
      <c r="N673" s="620"/>
      <c r="O673" s="620"/>
      <c r="P673" s="620"/>
      <c r="Q673" s="620"/>
      <c r="R673" s="620"/>
      <c r="S673" s="620"/>
      <c r="T673" s="620"/>
      <c r="U673" s="620"/>
    </row>
    <row r="674">
      <c r="A674" s="905"/>
      <c r="B674" s="905"/>
      <c r="C674" s="520"/>
      <c r="D674" s="906"/>
      <c r="E674" s="907"/>
      <c r="F674" s="908"/>
      <c r="G674" s="909"/>
      <c r="H674" s="910"/>
      <c r="I674" s="907"/>
      <c r="J674" s="912"/>
      <c r="K674" s="909"/>
      <c r="L674" s="913"/>
      <c r="M674" s="620"/>
      <c r="N674" s="620"/>
      <c r="O674" s="620"/>
      <c r="P674" s="620"/>
      <c r="Q674" s="620"/>
      <c r="R674" s="620"/>
      <c r="S674" s="620"/>
      <c r="T674" s="620"/>
      <c r="U674" s="620"/>
    </row>
    <row r="675">
      <c r="A675" s="905"/>
      <c r="B675" s="905"/>
      <c r="C675" s="520"/>
      <c r="D675" s="906"/>
      <c r="E675" s="907"/>
      <c r="F675" s="908"/>
      <c r="G675" s="909"/>
      <c r="H675" s="910"/>
      <c r="I675" s="907"/>
      <c r="J675" s="912"/>
      <c r="K675" s="909"/>
      <c r="L675" s="913"/>
      <c r="M675" s="620"/>
      <c r="N675" s="620"/>
      <c r="O675" s="620"/>
      <c r="P675" s="620"/>
      <c r="Q675" s="620"/>
      <c r="R675" s="620"/>
      <c r="S675" s="620"/>
      <c r="T675" s="620"/>
      <c r="U675" s="620"/>
    </row>
    <row r="676">
      <c r="A676" s="905"/>
      <c r="B676" s="905"/>
      <c r="C676" s="520"/>
      <c r="D676" s="906"/>
      <c r="E676" s="907"/>
      <c r="F676" s="908"/>
      <c r="G676" s="909"/>
      <c r="H676" s="910"/>
      <c r="I676" s="907"/>
      <c r="J676" s="912"/>
      <c r="K676" s="909"/>
      <c r="L676" s="913"/>
      <c r="M676" s="620"/>
      <c r="N676" s="620"/>
      <c r="O676" s="620"/>
      <c r="P676" s="620"/>
      <c r="Q676" s="620"/>
      <c r="R676" s="620"/>
      <c r="S676" s="620"/>
      <c r="T676" s="620"/>
      <c r="U676" s="620"/>
    </row>
    <row r="677">
      <c r="A677" s="905"/>
      <c r="B677" s="905"/>
      <c r="C677" s="520"/>
      <c r="D677" s="906"/>
      <c r="E677" s="907"/>
      <c r="F677" s="908"/>
      <c r="G677" s="909"/>
      <c r="H677" s="910"/>
      <c r="I677" s="907"/>
      <c r="J677" s="912"/>
      <c r="K677" s="909"/>
      <c r="L677" s="913"/>
      <c r="M677" s="620"/>
      <c r="N677" s="620"/>
      <c r="O677" s="620"/>
      <c r="P677" s="620"/>
      <c r="Q677" s="620"/>
      <c r="R677" s="620"/>
      <c r="S677" s="620"/>
      <c r="T677" s="620"/>
      <c r="U677" s="620"/>
    </row>
    <row r="678">
      <c r="A678" s="905"/>
      <c r="B678" s="905"/>
      <c r="C678" s="520"/>
      <c r="D678" s="906"/>
      <c r="E678" s="907"/>
      <c r="F678" s="908"/>
      <c r="G678" s="909"/>
      <c r="H678" s="910"/>
      <c r="I678" s="907"/>
      <c r="J678" s="912"/>
      <c r="K678" s="909"/>
      <c r="L678" s="913"/>
      <c r="M678" s="620"/>
      <c r="N678" s="620"/>
      <c r="O678" s="620"/>
      <c r="P678" s="620"/>
      <c r="Q678" s="620"/>
      <c r="R678" s="620"/>
      <c r="S678" s="620"/>
      <c r="T678" s="620"/>
      <c r="U678" s="620"/>
    </row>
    <row r="679">
      <c r="A679" s="905"/>
      <c r="B679" s="905"/>
      <c r="C679" s="520"/>
      <c r="D679" s="906"/>
      <c r="E679" s="907"/>
      <c r="F679" s="908"/>
      <c r="G679" s="909"/>
      <c r="H679" s="910"/>
      <c r="I679" s="907"/>
      <c r="J679" s="912"/>
      <c r="K679" s="909"/>
      <c r="L679" s="913"/>
      <c r="M679" s="620"/>
      <c r="N679" s="620"/>
      <c r="O679" s="620"/>
      <c r="P679" s="620"/>
      <c r="Q679" s="620"/>
      <c r="R679" s="620"/>
      <c r="S679" s="620"/>
      <c r="T679" s="620"/>
      <c r="U679" s="620"/>
    </row>
    <row r="680">
      <c r="A680" s="905"/>
      <c r="B680" s="905"/>
      <c r="C680" s="520"/>
      <c r="D680" s="906"/>
      <c r="E680" s="907"/>
      <c r="F680" s="908"/>
      <c r="G680" s="909"/>
      <c r="H680" s="910"/>
      <c r="I680" s="907"/>
      <c r="J680" s="912"/>
      <c r="K680" s="909"/>
      <c r="L680" s="913"/>
      <c r="M680" s="620"/>
      <c r="N680" s="620"/>
      <c r="O680" s="620"/>
      <c r="P680" s="620"/>
      <c r="Q680" s="620"/>
      <c r="R680" s="620"/>
      <c r="S680" s="620"/>
      <c r="T680" s="620"/>
      <c r="U680" s="620"/>
    </row>
    <row r="681">
      <c r="A681" s="905"/>
      <c r="B681" s="905"/>
      <c r="C681" s="520"/>
      <c r="D681" s="906"/>
      <c r="E681" s="907"/>
      <c r="F681" s="908"/>
      <c r="G681" s="909"/>
      <c r="H681" s="910"/>
      <c r="I681" s="907"/>
      <c r="J681" s="912"/>
      <c r="K681" s="909"/>
      <c r="L681" s="913"/>
      <c r="M681" s="620"/>
      <c r="N681" s="620"/>
      <c r="O681" s="620"/>
      <c r="P681" s="620"/>
      <c r="Q681" s="620"/>
      <c r="R681" s="620"/>
      <c r="S681" s="620"/>
      <c r="T681" s="620"/>
      <c r="U681" s="620"/>
    </row>
    <row r="682">
      <c r="A682" s="905"/>
      <c r="B682" s="905"/>
      <c r="C682" s="520"/>
      <c r="D682" s="906"/>
      <c r="E682" s="907"/>
      <c r="F682" s="908"/>
      <c r="G682" s="909"/>
      <c r="H682" s="910"/>
      <c r="I682" s="907"/>
      <c r="J682" s="912"/>
      <c r="K682" s="909"/>
      <c r="L682" s="913"/>
      <c r="M682" s="620"/>
      <c r="N682" s="620"/>
      <c r="O682" s="620"/>
      <c r="P682" s="620"/>
      <c r="Q682" s="620"/>
      <c r="R682" s="620"/>
      <c r="S682" s="620"/>
      <c r="T682" s="620"/>
      <c r="U682" s="620"/>
    </row>
    <row r="683">
      <c r="A683" s="905"/>
      <c r="B683" s="905"/>
      <c r="C683" s="520"/>
      <c r="D683" s="906"/>
      <c r="E683" s="907"/>
      <c r="F683" s="908"/>
      <c r="G683" s="909"/>
      <c r="H683" s="910"/>
      <c r="I683" s="907"/>
      <c r="J683" s="912"/>
      <c r="K683" s="909"/>
      <c r="L683" s="913"/>
      <c r="M683" s="620"/>
      <c r="N683" s="620"/>
      <c r="O683" s="620"/>
      <c r="P683" s="620"/>
      <c r="Q683" s="620"/>
      <c r="R683" s="620"/>
      <c r="S683" s="620"/>
      <c r="T683" s="620"/>
      <c r="U683" s="620"/>
    </row>
    <row r="684">
      <c r="A684" s="905"/>
      <c r="B684" s="905"/>
      <c r="C684" s="520"/>
      <c r="D684" s="906"/>
      <c r="E684" s="907"/>
      <c r="F684" s="908"/>
      <c r="G684" s="909"/>
      <c r="H684" s="910"/>
      <c r="I684" s="907"/>
      <c r="J684" s="912"/>
      <c r="K684" s="909"/>
      <c r="L684" s="913"/>
      <c r="M684" s="620"/>
      <c r="N684" s="620"/>
      <c r="O684" s="620"/>
      <c r="P684" s="620"/>
      <c r="Q684" s="620"/>
      <c r="R684" s="620"/>
      <c r="S684" s="620"/>
      <c r="T684" s="620"/>
      <c r="U684" s="620"/>
    </row>
    <row r="685">
      <c r="A685" s="905"/>
      <c r="B685" s="905"/>
      <c r="C685" s="520"/>
      <c r="D685" s="906"/>
      <c r="E685" s="907"/>
      <c r="F685" s="908"/>
      <c r="G685" s="909"/>
      <c r="H685" s="910"/>
      <c r="I685" s="907"/>
      <c r="J685" s="912"/>
      <c r="K685" s="909"/>
      <c r="L685" s="913"/>
      <c r="M685" s="620"/>
      <c r="N685" s="620"/>
      <c r="O685" s="620"/>
      <c r="P685" s="620"/>
      <c r="Q685" s="620"/>
      <c r="R685" s="620"/>
      <c r="S685" s="620"/>
      <c r="T685" s="620"/>
      <c r="U685" s="620"/>
    </row>
    <row r="686">
      <c r="A686" s="905"/>
      <c r="B686" s="905"/>
      <c r="C686" s="520"/>
      <c r="D686" s="906"/>
      <c r="E686" s="907"/>
      <c r="F686" s="908"/>
      <c r="G686" s="909"/>
      <c r="H686" s="910"/>
      <c r="I686" s="907"/>
      <c r="J686" s="912"/>
      <c r="K686" s="909"/>
      <c r="L686" s="913"/>
      <c r="M686" s="620"/>
      <c r="N686" s="620"/>
      <c r="O686" s="620"/>
      <c r="P686" s="620"/>
      <c r="Q686" s="620"/>
      <c r="R686" s="620"/>
      <c r="S686" s="620"/>
      <c r="T686" s="620"/>
      <c r="U686" s="620"/>
    </row>
    <row r="687">
      <c r="A687" s="905"/>
      <c r="B687" s="905"/>
      <c r="C687" s="520"/>
      <c r="D687" s="906"/>
      <c r="E687" s="907"/>
      <c r="F687" s="908"/>
      <c r="G687" s="909"/>
      <c r="H687" s="910"/>
      <c r="I687" s="907"/>
      <c r="J687" s="912"/>
      <c r="K687" s="909"/>
      <c r="L687" s="913"/>
      <c r="M687" s="620"/>
      <c r="N687" s="620"/>
      <c r="O687" s="620"/>
      <c r="P687" s="620"/>
      <c r="Q687" s="620"/>
      <c r="R687" s="620"/>
      <c r="S687" s="620"/>
      <c r="T687" s="620"/>
      <c r="U687" s="620"/>
    </row>
    <row r="688">
      <c r="A688" s="905"/>
      <c r="B688" s="905"/>
      <c r="C688" s="520"/>
      <c r="D688" s="906"/>
      <c r="E688" s="907"/>
      <c r="F688" s="908"/>
      <c r="G688" s="909"/>
      <c r="H688" s="910"/>
      <c r="I688" s="907"/>
      <c r="J688" s="912"/>
      <c r="K688" s="909"/>
      <c r="L688" s="913"/>
      <c r="M688" s="620"/>
      <c r="N688" s="620"/>
      <c r="O688" s="620"/>
      <c r="P688" s="620"/>
      <c r="Q688" s="620"/>
      <c r="R688" s="620"/>
      <c r="S688" s="620"/>
      <c r="T688" s="620"/>
      <c r="U688" s="620"/>
    </row>
    <row r="689">
      <c r="A689" s="905"/>
      <c r="B689" s="905"/>
      <c r="C689" s="520"/>
      <c r="D689" s="906"/>
      <c r="E689" s="907"/>
      <c r="F689" s="908"/>
      <c r="G689" s="909"/>
      <c r="H689" s="910"/>
      <c r="I689" s="907"/>
      <c r="J689" s="912"/>
      <c r="K689" s="909"/>
      <c r="L689" s="913"/>
      <c r="M689" s="620"/>
      <c r="N689" s="620"/>
      <c r="O689" s="620"/>
      <c r="P689" s="620"/>
      <c r="Q689" s="620"/>
      <c r="R689" s="620"/>
      <c r="S689" s="620"/>
      <c r="T689" s="620"/>
      <c r="U689" s="620"/>
    </row>
    <row r="690">
      <c r="A690" s="905"/>
      <c r="B690" s="905"/>
      <c r="C690" s="520"/>
      <c r="D690" s="906"/>
      <c r="E690" s="907"/>
      <c r="F690" s="908"/>
      <c r="G690" s="909"/>
      <c r="H690" s="910"/>
      <c r="I690" s="907"/>
      <c r="J690" s="912"/>
      <c r="K690" s="909"/>
      <c r="L690" s="913"/>
      <c r="M690" s="620"/>
      <c r="N690" s="620"/>
      <c r="O690" s="620"/>
      <c r="P690" s="620"/>
      <c r="Q690" s="620"/>
      <c r="R690" s="620"/>
      <c r="S690" s="620"/>
      <c r="T690" s="620"/>
      <c r="U690" s="620"/>
    </row>
    <row r="691">
      <c r="A691" s="905"/>
      <c r="B691" s="905"/>
      <c r="C691" s="520"/>
      <c r="D691" s="906"/>
      <c r="E691" s="907"/>
      <c r="F691" s="908"/>
      <c r="G691" s="909"/>
      <c r="H691" s="910"/>
      <c r="I691" s="907"/>
      <c r="J691" s="912"/>
      <c r="K691" s="909"/>
      <c r="L691" s="913"/>
      <c r="M691" s="620"/>
      <c r="N691" s="620"/>
      <c r="O691" s="620"/>
      <c r="P691" s="620"/>
      <c r="Q691" s="620"/>
      <c r="R691" s="620"/>
      <c r="S691" s="620"/>
      <c r="T691" s="620"/>
      <c r="U691" s="620"/>
    </row>
    <row r="692">
      <c r="A692" s="905"/>
      <c r="B692" s="905"/>
      <c r="C692" s="520"/>
      <c r="D692" s="906"/>
      <c r="E692" s="907"/>
      <c r="F692" s="908"/>
      <c r="G692" s="909"/>
      <c r="H692" s="910"/>
      <c r="I692" s="907"/>
      <c r="J692" s="912"/>
      <c r="K692" s="909"/>
      <c r="L692" s="913"/>
      <c r="M692" s="620"/>
      <c r="N692" s="620"/>
      <c r="O692" s="620"/>
      <c r="P692" s="620"/>
      <c r="Q692" s="620"/>
      <c r="R692" s="620"/>
      <c r="S692" s="620"/>
      <c r="T692" s="620"/>
      <c r="U692" s="620"/>
    </row>
    <row r="693">
      <c r="A693" s="905"/>
      <c r="B693" s="905"/>
      <c r="C693" s="520"/>
      <c r="D693" s="906"/>
      <c r="E693" s="907"/>
      <c r="F693" s="908"/>
      <c r="G693" s="909"/>
      <c r="H693" s="910"/>
      <c r="I693" s="907"/>
      <c r="J693" s="912"/>
      <c r="K693" s="909"/>
      <c r="L693" s="913"/>
      <c r="M693" s="620"/>
      <c r="N693" s="620"/>
      <c r="O693" s="620"/>
      <c r="P693" s="620"/>
      <c r="Q693" s="620"/>
      <c r="R693" s="620"/>
      <c r="S693" s="620"/>
      <c r="T693" s="620"/>
      <c r="U693" s="620"/>
    </row>
    <row r="694">
      <c r="A694" s="905"/>
      <c r="B694" s="905"/>
      <c r="C694" s="520"/>
      <c r="D694" s="906"/>
      <c r="E694" s="907"/>
      <c r="F694" s="908"/>
      <c r="G694" s="909"/>
      <c r="H694" s="910"/>
      <c r="I694" s="907"/>
      <c r="J694" s="912"/>
      <c r="K694" s="909"/>
      <c r="L694" s="913"/>
      <c r="M694" s="620"/>
      <c r="N694" s="620"/>
      <c r="O694" s="620"/>
      <c r="P694" s="620"/>
      <c r="Q694" s="620"/>
      <c r="R694" s="620"/>
      <c r="S694" s="620"/>
      <c r="T694" s="620"/>
      <c r="U694" s="620"/>
    </row>
    <row r="695">
      <c r="A695" s="905"/>
      <c r="B695" s="905"/>
      <c r="C695" s="520"/>
      <c r="D695" s="906"/>
      <c r="E695" s="907"/>
      <c r="F695" s="908"/>
      <c r="G695" s="909"/>
      <c r="H695" s="910"/>
      <c r="I695" s="907"/>
      <c r="J695" s="912"/>
      <c r="K695" s="909"/>
      <c r="L695" s="913"/>
      <c r="M695" s="620"/>
      <c r="N695" s="620"/>
      <c r="O695" s="620"/>
      <c r="P695" s="620"/>
      <c r="Q695" s="620"/>
      <c r="R695" s="620"/>
      <c r="S695" s="620"/>
      <c r="T695" s="620"/>
      <c r="U695" s="620"/>
    </row>
    <row r="696">
      <c r="A696" s="905"/>
      <c r="B696" s="905"/>
      <c r="C696" s="520"/>
      <c r="D696" s="906"/>
      <c r="E696" s="907"/>
      <c r="F696" s="908"/>
      <c r="G696" s="909"/>
      <c r="H696" s="910"/>
      <c r="I696" s="907"/>
      <c r="J696" s="912"/>
      <c r="K696" s="909"/>
      <c r="L696" s="913"/>
      <c r="M696" s="620"/>
      <c r="N696" s="620"/>
      <c r="O696" s="620"/>
      <c r="P696" s="620"/>
      <c r="Q696" s="620"/>
      <c r="R696" s="620"/>
      <c r="S696" s="620"/>
      <c r="T696" s="620"/>
      <c r="U696" s="620"/>
    </row>
    <row r="697">
      <c r="A697" s="905"/>
      <c r="B697" s="905"/>
      <c r="C697" s="520"/>
      <c r="D697" s="906"/>
      <c r="E697" s="907"/>
      <c r="F697" s="908"/>
      <c r="G697" s="909"/>
      <c r="H697" s="910"/>
      <c r="I697" s="907"/>
      <c r="J697" s="912"/>
      <c r="K697" s="909"/>
      <c r="L697" s="913"/>
      <c r="M697" s="620"/>
      <c r="N697" s="620"/>
      <c r="O697" s="620"/>
      <c r="P697" s="620"/>
      <c r="Q697" s="620"/>
      <c r="R697" s="620"/>
      <c r="S697" s="620"/>
      <c r="T697" s="620"/>
      <c r="U697" s="620"/>
    </row>
    <row r="698">
      <c r="A698" s="905"/>
      <c r="B698" s="905"/>
      <c r="C698" s="520"/>
      <c r="D698" s="906"/>
      <c r="E698" s="907"/>
      <c r="F698" s="908"/>
      <c r="G698" s="909"/>
      <c r="H698" s="910"/>
      <c r="I698" s="907"/>
      <c r="J698" s="912"/>
      <c r="K698" s="909"/>
      <c r="L698" s="913"/>
      <c r="M698" s="620"/>
      <c r="N698" s="620"/>
      <c r="O698" s="620"/>
      <c r="P698" s="620"/>
      <c r="Q698" s="620"/>
      <c r="R698" s="620"/>
      <c r="S698" s="620"/>
      <c r="T698" s="620"/>
      <c r="U698" s="620"/>
    </row>
    <row r="699">
      <c r="A699" s="905"/>
      <c r="B699" s="905"/>
      <c r="C699" s="520"/>
      <c r="D699" s="906"/>
      <c r="E699" s="907"/>
      <c r="F699" s="908"/>
      <c r="G699" s="909"/>
      <c r="H699" s="910"/>
      <c r="I699" s="907"/>
      <c r="J699" s="912"/>
      <c r="K699" s="909"/>
      <c r="L699" s="913"/>
      <c r="M699" s="620"/>
      <c r="N699" s="620"/>
      <c r="O699" s="620"/>
      <c r="P699" s="620"/>
      <c r="Q699" s="620"/>
      <c r="R699" s="620"/>
      <c r="S699" s="620"/>
      <c r="T699" s="620"/>
      <c r="U699" s="620"/>
    </row>
    <row r="700">
      <c r="A700" s="905"/>
      <c r="B700" s="905"/>
      <c r="C700" s="520"/>
      <c r="D700" s="906"/>
      <c r="E700" s="907"/>
      <c r="F700" s="908"/>
      <c r="G700" s="909"/>
      <c r="H700" s="910"/>
      <c r="I700" s="907"/>
      <c r="J700" s="912"/>
      <c r="K700" s="909"/>
      <c r="L700" s="913"/>
      <c r="M700" s="620"/>
      <c r="N700" s="620"/>
      <c r="O700" s="620"/>
      <c r="P700" s="620"/>
      <c r="Q700" s="620"/>
      <c r="R700" s="620"/>
      <c r="S700" s="620"/>
      <c r="T700" s="620"/>
      <c r="U700" s="620"/>
    </row>
    <row r="701">
      <c r="A701" s="905"/>
      <c r="B701" s="905"/>
      <c r="C701" s="520"/>
      <c r="D701" s="906"/>
      <c r="E701" s="907"/>
      <c r="F701" s="908"/>
      <c r="G701" s="909"/>
      <c r="H701" s="910"/>
      <c r="I701" s="907"/>
      <c r="J701" s="912"/>
      <c r="K701" s="909"/>
      <c r="L701" s="913"/>
      <c r="M701" s="620"/>
      <c r="N701" s="620"/>
      <c r="O701" s="620"/>
      <c r="P701" s="620"/>
      <c r="Q701" s="620"/>
      <c r="R701" s="620"/>
      <c r="S701" s="620"/>
      <c r="T701" s="620"/>
      <c r="U701" s="620"/>
    </row>
    <row r="702">
      <c r="A702" s="905"/>
      <c r="B702" s="905"/>
      <c r="C702" s="520"/>
      <c r="D702" s="906"/>
      <c r="E702" s="907"/>
      <c r="F702" s="908"/>
      <c r="G702" s="909"/>
      <c r="H702" s="910"/>
      <c r="I702" s="907"/>
      <c r="J702" s="912"/>
      <c r="K702" s="909"/>
      <c r="L702" s="913"/>
      <c r="M702" s="620"/>
      <c r="N702" s="620"/>
      <c r="O702" s="620"/>
      <c r="P702" s="620"/>
      <c r="Q702" s="620"/>
      <c r="R702" s="620"/>
      <c r="S702" s="620"/>
      <c r="T702" s="620"/>
      <c r="U702" s="620"/>
    </row>
    <row r="703">
      <c r="A703" s="905"/>
      <c r="B703" s="905"/>
      <c r="C703" s="520"/>
      <c r="D703" s="906"/>
      <c r="E703" s="907"/>
      <c r="F703" s="908"/>
      <c r="G703" s="909"/>
      <c r="H703" s="910"/>
      <c r="I703" s="907"/>
      <c r="J703" s="912"/>
      <c r="K703" s="909"/>
      <c r="L703" s="913"/>
      <c r="M703" s="620"/>
      <c r="N703" s="620"/>
      <c r="O703" s="620"/>
      <c r="P703" s="620"/>
      <c r="Q703" s="620"/>
      <c r="R703" s="620"/>
      <c r="S703" s="620"/>
      <c r="T703" s="620"/>
      <c r="U703" s="620"/>
    </row>
    <row r="704">
      <c r="A704" s="905"/>
      <c r="B704" s="905"/>
      <c r="C704" s="520"/>
      <c r="D704" s="906"/>
      <c r="E704" s="907"/>
      <c r="F704" s="908"/>
      <c r="G704" s="909"/>
      <c r="H704" s="910"/>
      <c r="I704" s="907"/>
      <c r="J704" s="912"/>
      <c r="K704" s="909"/>
      <c r="L704" s="913"/>
      <c r="M704" s="620"/>
      <c r="N704" s="620"/>
      <c r="O704" s="620"/>
      <c r="P704" s="620"/>
      <c r="Q704" s="620"/>
      <c r="R704" s="620"/>
      <c r="S704" s="620"/>
      <c r="T704" s="620"/>
      <c r="U704" s="620"/>
    </row>
    <row r="705">
      <c r="A705" s="905"/>
      <c r="B705" s="905"/>
      <c r="C705" s="520"/>
      <c r="D705" s="906"/>
      <c r="E705" s="907"/>
      <c r="F705" s="908"/>
      <c r="G705" s="909"/>
      <c r="H705" s="910"/>
      <c r="I705" s="907"/>
      <c r="J705" s="912"/>
      <c r="K705" s="909"/>
      <c r="L705" s="913"/>
      <c r="M705" s="620"/>
      <c r="N705" s="620"/>
      <c r="O705" s="620"/>
      <c r="P705" s="620"/>
      <c r="Q705" s="620"/>
      <c r="R705" s="620"/>
      <c r="S705" s="620"/>
      <c r="T705" s="620"/>
      <c r="U705" s="620"/>
    </row>
    <row r="706">
      <c r="A706" s="905"/>
      <c r="B706" s="905"/>
      <c r="C706" s="520"/>
      <c r="D706" s="906"/>
      <c r="E706" s="907"/>
      <c r="F706" s="908"/>
      <c r="G706" s="909"/>
      <c r="H706" s="910"/>
      <c r="I706" s="907"/>
      <c r="J706" s="912"/>
      <c r="K706" s="909"/>
      <c r="L706" s="913"/>
      <c r="M706" s="620"/>
      <c r="N706" s="620"/>
      <c r="O706" s="620"/>
      <c r="P706" s="620"/>
      <c r="Q706" s="620"/>
      <c r="R706" s="620"/>
      <c r="S706" s="620"/>
      <c r="T706" s="620"/>
      <c r="U706" s="620"/>
    </row>
    <row r="707">
      <c r="A707" s="905"/>
      <c r="B707" s="905"/>
      <c r="C707" s="520"/>
      <c r="D707" s="906"/>
      <c r="E707" s="907"/>
      <c r="F707" s="908"/>
      <c r="G707" s="909"/>
      <c r="H707" s="910"/>
      <c r="I707" s="907"/>
      <c r="J707" s="912"/>
      <c r="K707" s="909"/>
      <c r="L707" s="913"/>
      <c r="M707" s="620"/>
      <c r="N707" s="620"/>
      <c r="O707" s="620"/>
      <c r="P707" s="620"/>
      <c r="Q707" s="620"/>
      <c r="R707" s="620"/>
      <c r="S707" s="620"/>
      <c r="T707" s="620"/>
      <c r="U707" s="620"/>
    </row>
    <row r="708">
      <c r="A708" s="905"/>
      <c r="B708" s="905"/>
      <c r="C708" s="520"/>
      <c r="D708" s="906"/>
      <c r="E708" s="907"/>
      <c r="F708" s="908"/>
      <c r="G708" s="909"/>
      <c r="H708" s="910"/>
      <c r="I708" s="907"/>
      <c r="J708" s="912"/>
      <c r="K708" s="909"/>
      <c r="L708" s="913"/>
      <c r="M708" s="620"/>
      <c r="N708" s="620"/>
      <c r="O708" s="620"/>
      <c r="P708" s="620"/>
      <c r="Q708" s="620"/>
      <c r="R708" s="620"/>
      <c r="S708" s="620"/>
      <c r="T708" s="620"/>
      <c r="U708" s="620"/>
    </row>
    <row r="709">
      <c r="A709" s="905"/>
      <c r="B709" s="905"/>
      <c r="C709" s="520"/>
      <c r="D709" s="906"/>
      <c r="E709" s="907"/>
      <c r="F709" s="908"/>
      <c r="G709" s="909"/>
      <c r="H709" s="910"/>
      <c r="I709" s="907"/>
      <c r="J709" s="912"/>
      <c r="K709" s="909"/>
      <c r="L709" s="913"/>
      <c r="M709" s="620"/>
      <c r="N709" s="620"/>
      <c r="O709" s="620"/>
      <c r="P709" s="620"/>
      <c r="Q709" s="620"/>
      <c r="R709" s="620"/>
      <c r="S709" s="620"/>
      <c r="T709" s="620"/>
      <c r="U709" s="620"/>
    </row>
    <row r="710">
      <c r="A710" s="905"/>
      <c r="B710" s="905"/>
      <c r="C710" s="520"/>
      <c r="D710" s="906"/>
      <c r="E710" s="907"/>
      <c r="F710" s="908"/>
      <c r="G710" s="909"/>
      <c r="H710" s="910"/>
      <c r="I710" s="907"/>
      <c r="J710" s="912"/>
      <c r="K710" s="909"/>
      <c r="L710" s="913"/>
      <c r="M710" s="620"/>
      <c r="N710" s="620"/>
      <c r="O710" s="620"/>
      <c r="P710" s="620"/>
      <c r="Q710" s="620"/>
      <c r="R710" s="620"/>
      <c r="S710" s="620"/>
      <c r="T710" s="620"/>
      <c r="U710" s="620"/>
    </row>
    <row r="711">
      <c r="A711" s="905"/>
      <c r="B711" s="905"/>
      <c r="C711" s="520"/>
      <c r="D711" s="906"/>
      <c r="E711" s="907"/>
      <c r="F711" s="908"/>
      <c r="G711" s="909"/>
      <c r="H711" s="910"/>
      <c r="I711" s="907"/>
      <c r="J711" s="912"/>
      <c r="K711" s="909"/>
      <c r="L711" s="913"/>
      <c r="M711" s="620"/>
      <c r="N711" s="620"/>
      <c r="O711" s="620"/>
      <c r="P711" s="620"/>
      <c r="Q711" s="620"/>
      <c r="R711" s="620"/>
      <c r="S711" s="620"/>
      <c r="T711" s="620"/>
      <c r="U711" s="620"/>
    </row>
    <row r="712">
      <c r="A712" s="905"/>
      <c r="B712" s="905"/>
      <c r="C712" s="520"/>
      <c r="D712" s="906"/>
      <c r="E712" s="907"/>
      <c r="F712" s="908"/>
      <c r="G712" s="909"/>
      <c r="H712" s="910"/>
      <c r="I712" s="907"/>
      <c r="J712" s="912"/>
      <c r="K712" s="909"/>
      <c r="L712" s="913"/>
      <c r="M712" s="620"/>
      <c r="N712" s="620"/>
      <c r="O712" s="620"/>
      <c r="P712" s="620"/>
      <c r="Q712" s="620"/>
      <c r="R712" s="620"/>
      <c r="S712" s="620"/>
      <c r="T712" s="620"/>
      <c r="U712" s="620"/>
    </row>
    <row r="713">
      <c r="A713" s="905"/>
      <c r="B713" s="905"/>
      <c r="C713" s="520"/>
      <c r="D713" s="906"/>
      <c r="E713" s="907"/>
      <c r="F713" s="908"/>
      <c r="G713" s="909"/>
      <c r="H713" s="910"/>
      <c r="I713" s="907"/>
      <c r="J713" s="912"/>
      <c r="K713" s="909"/>
      <c r="L713" s="913"/>
      <c r="M713" s="620"/>
      <c r="N713" s="620"/>
      <c r="O713" s="620"/>
      <c r="P713" s="620"/>
      <c r="Q713" s="620"/>
      <c r="R713" s="620"/>
      <c r="S713" s="620"/>
      <c r="T713" s="620"/>
      <c r="U713" s="620"/>
    </row>
    <row r="714">
      <c r="A714" s="905"/>
      <c r="B714" s="905"/>
      <c r="C714" s="520"/>
      <c r="D714" s="906"/>
      <c r="E714" s="907"/>
      <c r="F714" s="908"/>
      <c r="G714" s="909"/>
      <c r="H714" s="910"/>
      <c r="I714" s="907"/>
      <c r="J714" s="912"/>
      <c r="K714" s="909"/>
      <c r="L714" s="913"/>
      <c r="M714" s="620"/>
      <c r="N714" s="620"/>
      <c r="O714" s="620"/>
      <c r="P714" s="620"/>
      <c r="Q714" s="620"/>
      <c r="R714" s="620"/>
      <c r="S714" s="620"/>
      <c r="T714" s="620"/>
      <c r="U714" s="620"/>
    </row>
    <row r="715">
      <c r="A715" s="905"/>
      <c r="B715" s="905"/>
      <c r="C715" s="520"/>
      <c r="D715" s="906"/>
      <c r="E715" s="907"/>
      <c r="F715" s="908"/>
      <c r="G715" s="909"/>
      <c r="H715" s="910"/>
      <c r="I715" s="907"/>
      <c r="J715" s="912"/>
      <c r="K715" s="909"/>
      <c r="L715" s="913"/>
      <c r="M715" s="620"/>
      <c r="N715" s="620"/>
      <c r="O715" s="620"/>
      <c r="P715" s="620"/>
      <c r="Q715" s="620"/>
      <c r="R715" s="620"/>
      <c r="S715" s="620"/>
      <c r="T715" s="620"/>
      <c r="U715" s="620"/>
    </row>
    <row r="716">
      <c r="A716" s="905"/>
      <c r="B716" s="905"/>
      <c r="C716" s="520"/>
      <c r="D716" s="906"/>
      <c r="E716" s="907"/>
      <c r="F716" s="908"/>
      <c r="G716" s="909"/>
      <c r="H716" s="910"/>
      <c r="I716" s="907"/>
      <c r="J716" s="912"/>
      <c r="K716" s="909"/>
      <c r="L716" s="913"/>
      <c r="M716" s="620"/>
      <c r="N716" s="620"/>
      <c r="O716" s="620"/>
      <c r="P716" s="620"/>
      <c r="Q716" s="620"/>
      <c r="R716" s="620"/>
      <c r="S716" s="620"/>
      <c r="T716" s="620"/>
      <c r="U716" s="620"/>
    </row>
    <row r="717">
      <c r="A717" s="905"/>
      <c r="B717" s="905"/>
      <c r="C717" s="520"/>
      <c r="D717" s="906"/>
      <c r="E717" s="907"/>
      <c r="F717" s="908"/>
      <c r="G717" s="909"/>
      <c r="H717" s="910"/>
      <c r="I717" s="907"/>
      <c r="J717" s="912"/>
      <c r="K717" s="909"/>
      <c r="L717" s="913"/>
      <c r="M717" s="620"/>
      <c r="N717" s="620"/>
      <c r="O717" s="620"/>
      <c r="P717" s="620"/>
      <c r="Q717" s="620"/>
      <c r="R717" s="620"/>
      <c r="S717" s="620"/>
      <c r="T717" s="620"/>
      <c r="U717" s="620"/>
    </row>
    <row r="718">
      <c r="A718" s="905"/>
      <c r="B718" s="905"/>
      <c r="C718" s="520"/>
      <c r="D718" s="906"/>
      <c r="E718" s="907"/>
      <c r="F718" s="908"/>
      <c r="G718" s="909"/>
      <c r="H718" s="910"/>
      <c r="I718" s="907"/>
      <c r="J718" s="912"/>
      <c r="K718" s="909"/>
      <c r="L718" s="913"/>
      <c r="M718" s="620"/>
      <c r="N718" s="620"/>
      <c r="O718" s="620"/>
      <c r="P718" s="620"/>
      <c r="Q718" s="620"/>
      <c r="R718" s="620"/>
      <c r="S718" s="620"/>
      <c r="T718" s="620"/>
      <c r="U718" s="620"/>
    </row>
    <row r="719">
      <c r="A719" s="905"/>
      <c r="B719" s="905"/>
      <c r="C719" s="520"/>
      <c r="D719" s="906"/>
      <c r="E719" s="907"/>
      <c r="F719" s="908"/>
      <c r="G719" s="909"/>
      <c r="H719" s="910"/>
      <c r="I719" s="907"/>
      <c r="J719" s="912"/>
      <c r="K719" s="909"/>
      <c r="L719" s="913"/>
      <c r="M719" s="620"/>
      <c r="N719" s="620"/>
      <c r="O719" s="620"/>
      <c r="P719" s="620"/>
      <c r="Q719" s="620"/>
      <c r="R719" s="620"/>
      <c r="S719" s="620"/>
      <c r="T719" s="620"/>
      <c r="U719" s="620"/>
    </row>
    <row r="720">
      <c r="A720" s="905"/>
      <c r="B720" s="905"/>
      <c r="C720" s="520"/>
      <c r="D720" s="906"/>
      <c r="E720" s="907"/>
      <c r="F720" s="908"/>
      <c r="G720" s="909"/>
      <c r="H720" s="910"/>
      <c r="I720" s="907"/>
      <c r="J720" s="912"/>
      <c r="K720" s="909"/>
      <c r="L720" s="913"/>
      <c r="M720" s="620"/>
      <c r="N720" s="620"/>
      <c r="O720" s="620"/>
      <c r="P720" s="620"/>
      <c r="Q720" s="620"/>
      <c r="R720" s="620"/>
      <c r="S720" s="620"/>
      <c r="T720" s="620"/>
      <c r="U720" s="620"/>
    </row>
    <row r="721">
      <c r="A721" s="905"/>
      <c r="B721" s="905"/>
      <c r="C721" s="520"/>
      <c r="D721" s="906"/>
      <c r="E721" s="907"/>
      <c r="F721" s="908"/>
      <c r="G721" s="909"/>
      <c r="H721" s="910"/>
      <c r="I721" s="907"/>
      <c r="J721" s="912"/>
      <c r="K721" s="909"/>
      <c r="L721" s="913"/>
      <c r="M721" s="620"/>
      <c r="N721" s="620"/>
      <c r="O721" s="620"/>
      <c r="P721" s="620"/>
      <c r="Q721" s="620"/>
      <c r="R721" s="620"/>
      <c r="S721" s="620"/>
      <c r="T721" s="620"/>
      <c r="U721" s="620"/>
    </row>
    <row r="722">
      <c r="A722" s="905"/>
      <c r="B722" s="905"/>
      <c r="C722" s="520"/>
      <c r="D722" s="906"/>
      <c r="E722" s="907"/>
      <c r="F722" s="908"/>
      <c r="G722" s="909"/>
      <c r="H722" s="910"/>
      <c r="I722" s="907"/>
      <c r="J722" s="912"/>
      <c r="K722" s="909"/>
      <c r="L722" s="913"/>
      <c r="M722" s="620"/>
      <c r="N722" s="620"/>
      <c r="O722" s="620"/>
      <c r="P722" s="620"/>
      <c r="Q722" s="620"/>
      <c r="R722" s="620"/>
      <c r="S722" s="620"/>
      <c r="T722" s="620"/>
      <c r="U722" s="620"/>
    </row>
    <row r="723">
      <c r="A723" s="905"/>
      <c r="B723" s="905"/>
      <c r="C723" s="520"/>
      <c r="D723" s="906"/>
      <c r="E723" s="907"/>
      <c r="F723" s="908"/>
      <c r="G723" s="909"/>
      <c r="H723" s="910"/>
      <c r="I723" s="907"/>
      <c r="J723" s="912"/>
      <c r="K723" s="909"/>
      <c r="L723" s="913"/>
      <c r="M723" s="620"/>
      <c r="N723" s="620"/>
      <c r="O723" s="620"/>
      <c r="P723" s="620"/>
      <c r="Q723" s="620"/>
      <c r="R723" s="620"/>
      <c r="S723" s="620"/>
      <c r="T723" s="620"/>
      <c r="U723" s="620"/>
    </row>
    <row r="724">
      <c r="A724" s="905"/>
      <c r="B724" s="905"/>
      <c r="C724" s="520"/>
      <c r="D724" s="906"/>
      <c r="E724" s="907"/>
      <c r="F724" s="908"/>
      <c r="G724" s="909"/>
      <c r="H724" s="910"/>
      <c r="I724" s="907"/>
      <c r="J724" s="912"/>
      <c r="K724" s="909"/>
      <c r="L724" s="913"/>
      <c r="M724" s="620"/>
      <c r="N724" s="620"/>
      <c r="O724" s="620"/>
      <c r="P724" s="620"/>
      <c r="Q724" s="620"/>
      <c r="R724" s="620"/>
      <c r="S724" s="620"/>
      <c r="T724" s="620"/>
      <c r="U724" s="620"/>
    </row>
    <row r="725">
      <c r="A725" s="905"/>
      <c r="B725" s="905"/>
      <c r="C725" s="520"/>
      <c r="D725" s="906"/>
      <c r="E725" s="907"/>
      <c r="F725" s="908"/>
      <c r="G725" s="909"/>
      <c r="H725" s="910"/>
      <c r="I725" s="907"/>
      <c r="J725" s="912"/>
      <c r="K725" s="909"/>
      <c r="L725" s="913"/>
      <c r="M725" s="620"/>
      <c r="N725" s="620"/>
      <c r="O725" s="620"/>
      <c r="P725" s="620"/>
      <c r="Q725" s="620"/>
      <c r="R725" s="620"/>
      <c r="S725" s="620"/>
      <c r="T725" s="620"/>
      <c r="U725" s="620"/>
    </row>
    <row r="726">
      <c r="A726" s="905"/>
      <c r="B726" s="905"/>
      <c r="C726" s="520"/>
      <c r="D726" s="906"/>
      <c r="E726" s="907"/>
      <c r="F726" s="908"/>
      <c r="G726" s="909"/>
      <c r="H726" s="910"/>
      <c r="I726" s="907"/>
      <c r="J726" s="912"/>
      <c r="K726" s="909"/>
      <c r="L726" s="913"/>
      <c r="M726" s="620"/>
      <c r="N726" s="620"/>
      <c r="O726" s="620"/>
      <c r="P726" s="620"/>
      <c r="Q726" s="620"/>
      <c r="R726" s="620"/>
      <c r="S726" s="620"/>
      <c r="T726" s="620"/>
      <c r="U726" s="620"/>
    </row>
    <row r="727">
      <c r="A727" s="905"/>
      <c r="B727" s="905"/>
      <c r="C727" s="520"/>
      <c r="D727" s="906"/>
      <c r="E727" s="907"/>
      <c r="F727" s="908"/>
      <c r="G727" s="909"/>
      <c r="H727" s="910"/>
      <c r="I727" s="907"/>
      <c r="J727" s="912"/>
      <c r="K727" s="909"/>
      <c r="L727" s="913"/>
      <c r="M727" s="620"/>
      <c r="N727" s="620"/>
      <c r="O727" s="620"/>
      <c r="P727" s="620"/>
      <c r="Q727" s="620"/>
      <c r="R727" s="620"/>
      <c r="S727" s="620"/>
      <c r="T727" s="620"/>
      <c r="U727" s="620"/>
    </row>
    <row r="728">
      <c r="A728" s="905"/>
      <c r="B728" s="905"/>
      <c r="C728" s="520"/>
      <c r="D728" s="906"/>
      <c r="E728" s="907"/>
      <c r="F728" s="908"/>
      <c r="G728" s="909"/>
      <c r="H728" s="910"/>
      <c r="I728" s="907"/>
      <c r="J728" s="912"/>
      <c r="K728" s="909"/>
      <c r="L728" s="913"/>
      <c r="M728" s="620"/>
      <c r="N728" s="620"/>
      <c r="O728" s="620"/>
      <c r="P728" s="620"/>
      <c r="Q728" s="620"/>
      <c r="R728" s="620"/>
      <c r="S728" s="620"/>
      <c r="T728" s="620"/>
      <c r="U728" s="620"/>
    </row>
    <row r="729">
      <c r="A729" s="905"/>
      <c r="B729" s="905"/>
      <c r="C729" s="520"/>
      <c r="D729" s="906"/>
      <c r="E729" s="907"/>
      <c r="F729" s="908"/>
      <c r="G729" s="909"/>
      <c r="H729" s="910"/>
      <c r="I729" s="907"/>
      <c r="J729" s="912"/>
      <c r="K729" s="909"/>
      <c r="L729" s="913"/>
      <c r="M729" s="620"/>
      <c r="N729" s="620"/>
      <c r="O729" s="620"/>
      <c r="P729" s="620"/>
      <c r="Q729" s="620"/>
      <c r="R729" s="620"/>
      <c r="S729" s="620"/>
      <c r="T729" s="620"/>
      <c r="U729" s="620"/>
    </row>
    <row r="730">
      <c r="A730" s="905"/>
      <c r="B730" s="905"/>
      <c r="C730" s="520"/>
      <c r="D730" s="906"/>
      <c r="E730" s="907"/>
      <c r="F730" s="908"/>
      <c r="G730" s="909"/>
      <c r="H730" s="910"/>
      <c r="I730" s="907"/>
      <c r="J730" s="912"/>
      <c r="K730" s="909"/>
      <c r="L730" s="913"/>
      <c r="M730" s="620"/>
      <c r="N730" s="620"/>
      <c r="O730" s="620"/>
      <c r="P730" s="620"/>
      <c r="Q730" s="620"/>
      <c r="R730" s="620"/>
      <c r="S730" s="620"/>
      <c r="T730" s="620"/>
      <c r="U730" s="620"/>
    </row>
    <row r="731">
      <c r="A731" s="905"/>
      <c r="B731" s="905"/>
      <c r="C731" s="520"/>
      <c r="D731" s="906"/>
      <c r="E731" s="907"/>
      <c r="F731" s="908"/>
      <c r="G731" s="909"/>
      <c r="H731" s="910"/>
      <c r="I731" s="907"/>
      <c r="J731" s="912"/>
      <c r="K731" s="909"/>
      <c r="L731" s="913"/>
      <c r="M731" s="620"/>
      <c r="N731" s="620"/>
      <c r="O731" s="620"/>
      <c r="P731" s="620"/>
      <c r="Q731" s="620"/>
      <c r="R731" s="620"/>
      <c r="S731" s="620"/>
      <c r="T731" s="620"/>
      <c r="U731" s="620"/>
    </row>
    <row r="732">
      <c r="A732" s="905"/>
      <c r="B732" s="905"/>
      <c r="C732" s="520"/>
      <c r="D732" s="906"/>
      <c r="E732" s="907"/>
      <c r="F732" s="908"/>
      <c r="G732" s="909"/>
      <c r="H732" s="910"/>
      <c r="I732" s="907"/>
      <c r="J732" s="912"/>
      <c r="K732" s="909"/>
      <c r="L732" s="913"/>
      <c r="M732" s="620"/>
      <c r="N732" s="620"/>
      <c r="O732" s="620"/>
      <c r="P732" s="620"/>
      <c r="Q732" s="620"/>
      <c r="R732" s="620"/>
      <c r="S732" s="620"/>
      <c r="T732" s="620"/>
      <c r="U732" s="620"/>
    </row>
    <row r="733">
      <c r="A733" s="905"/>
      <c r="B733" s="905"/>
      <c r="C733" s="520"/>
      <c r="D733" s="906"/>
      <c r="E733" s="907"/>
      <c r="F733" s="908"/>
      <c r="G733" s="909"/>
      <c r="H733" s="910"/>
      <c r="I733" s="907"/>
      <c r="J733" s="912"/>
      <c r="K733" s="909"/>
      <c r="L733" s="913"/>
      <c r="M733" s="620"/>
      <c r="N733" s="620"/>
      <c r="O733" s="620"/>
      <c r="P733" s="620"/>
      <c r="Q733" s="620"/>
      <c r="R733" s="620"/>
      <c r="S733" s="620"/>
      <c r="T733" s="620"/>
      <c r="U733" s="620"/>
    </row>
    <row r="734">
      <c r="A734" s="905"/>
      <c r="B734" s="905"/>
      <c r="C734" s="520"/>
      <c r="D734" s="906"/>
      <c r="E734" s="907"/>
      <c r="F734" s="908"/>
      <c r="G734" s="909"/>
      <c r="H734" s="910"/>
      <c r="I734" s="907"/>
      <c r="J734" s="912"/>
      <c r="K734" s="909"/>
      <c r="L734" s="913"/>
      <c r="M734" s="620"/>
      <c r="N734" s="620"/>
      <c r="O734" s="620"/>
      <c r="P734" s="620"/>
      <c r="Q734" s="620"/>
      <c r="R734" s="620"/>
      <c r="S734" s="620"/>
      <c r="T734" s="620"/>
      <c r="U734" s="620"/>
    </row>
    <row r="735">
      <c r="A735" s="905"/>
      <c r="B735" s="905"/>
      <c r="C735" s="520"/>
      <c r="D735" s="906"/>
      <c r="E735" s="907"/>
      <c r="F735" s="908"/>
      <c r="G735" s="909"/>
      <c r="H735" s="910"/>
      <c r="I735" s="907"/>
      <c r="J735" s="912"/>
      <c r="K735" s="909"/>
      <c r="L735" s="913"/>
      <c r="M735" s="620"/>
      <c r="N735" s="620"/>
      <c r="O735" s="620"/>
      <c r="P735" s="620"/>
      <c r="Q735" s="620"/>
      <c r="R735" s="620"/>
      <c r="S735" s="620"/>
      <c r="T735" s="620"/>
      <c r="U735" s="620"/>
    </row>
    <row r="736">
      <c r="A736" s="905"/>
      <c r="B736" s="905"/>
      <c r="C736" s="520"/>
      <c r="D736" s="906"/>
      <c r="E736" s="907"/>
      <c r="F736" s="908"/>
      <c r="G736" s="909"/>
      <c r="H736" s="910"/>
      <c r="I736" s="907"/>
      <c r="J736" s="912"/>
      <c r="K736" s="909"/>
      <c r="L736" s="913"/>
      <c r="M736" s="620"/>
      <c r="N736" s="620"/>
      <c r="O736" s="620"/>
      <c r="P736" s="620"/>
      <c r="Q736" s="620"/>
      <c r="R736" s="620"/>
      <c r="S736" s="620"/>
      <c r="T736" s="620"/>
      <c r="U736" s="620"/>
    </row>
    <row r="737">
      <c r="A737" s="905"/>
      <c r="B737" s="905"/>
      <c r="C737" s="520"/>
      <c r="D737" s="906"/>
      <c r="E737" s="907"/>
      <c r="F737" s="908"/>
      <c r="G737" s="909"/>
      <c r="H737" s="910"/>
      <c r="I737" s="907"/>
      <c r="J737" s="912"/>
      <c r="K737" s="909"/>
      <c r="L737" s="913"/>
      <c r="M737" s="620"/>
      <c r="N737" s="620"/>
      <c r="O737" s="620"/>
      <c r="P737" s="620"/>
      <c r="Q737" s="620"/>
      <c r="R737" s="620"/>
      <c r="S737" s="620"/>
      <c r="T737" s="620"/>
      <c r="U737" s="620"/>
    </row>
    <row r="738">
      <c r="A738" s="905"/>
      <c r="B738" s="905"/>
      <c r="C738" s="520"/>
      <c r="D738" s="906"/>
      <c r="E738" s="907"/>
      <c r="F738" s="908"/>
      <c r="G738" s="909"/>
      <c r="H738" s="910"/>
      <c r="I738" s="907"/>
      <c r="J738" s="912"/>
      <c r="K738" s="909"/>
      <c r="L738" s="913"/>
      <c r="M738" s="620"/>
      <c r="N738" s="620"/>
      <c r="O738" s="620"/>
      <c r="P738" s="620"/>
      <c r="Q738" s="620"/>
      <c r="R738" s="620"/>
      <c r="S738" s="620"/>
      <c r="T738" s="620"/>
      <c r="U738" s="620"/>
    </row>
    <row r="739">
      <c r="A739" s="905"/>
      <c r="B739" s="905"/>
      <c r="C739" s="520"/>
      <c r="D739" s="906"/>
      <c r="E739" s="907"/>
      <c r="F739" s="908"/>
      <c r="G739" s="909"/>
      <c r="H739" s="910"/>
      <c r="I739" s="907"/>
      <c r="J739" s="912"/>
      <c r="K739" s="909"/>
      <c r="L739" s="913"/>
      <c r="M739" s="620"/>
      <c r="N739" s="620"/>
      <c r="O739" s="620"/>
      <c r="P739" s="620"/>
      <c r="Q739" s="620"/>
      <c r="R739" s="620"/>
      <c r="S739" s="620"/>
      <c r="T739" s="620"/>
      <c r="U739" s="620"/>
    </row>
    <row r="740">
      <c r="A740" s="905"/>
      <c r="B740" s="905"/>
      <c r="C740" s="520"/>
      <c r="D740" s="906"/>
      <c r="E740" s="907"/>
      <c r="F740" s="908"/>
      <c r="G740" s="909"/>
      <c r="H740" s="910"/>
      <c r="I740" s="907"/>
      <c r="J740" s="912"/>
      <c r="K740" s="909"/>
      <c r="L740" s="913"/>
      <c r="M740" s="620"/>
      <c r="N740" s="620"/>
      <c r="O740" s="620"/>
      <c r="P740" s="620"/>
      <c r="Q740" s="620"/>
      <c r="R740" s="620"/>
      <c r="S740" s="620"/>
      <c r="T740" s="620"/>
      <c r="U740" s="620"/>
    </row>
    <row r="741">
      <c r="A741" s="905"/>
      <c r="B741" s="905"/>
      <c r="C741" s="520"/>
      <c r="D741" s="906"/>
      <c r="E741" s="907"/>
      <c r="F741" s="908"/>
      <c r="G741" s="909"/>
      <c r="H741" s="910"/>
      <c r="I741" s="907"/>
      <c r="J741" s="912"/>
      <c r="K741" s="909"/>
      <c r="L741" s="913"/>
      <c r="M741" s="620"/>
      <c r="N741" s="620"/>
      <c r="O741" s="620"/>
      <c r="P741" s="620"/>
      <c r="Q741" s="620"/>
      <c r="R741" s="620"/>
      <c r="S741" s="620"/>
      <c r="T741" s="620"/>
      <c r="U741" s="620"/>
    </row>
    <row r="742">
      <c r="A742" s="905"/>
      <c r="B742" s="905"/>
      <c r="C742" s="520"/>
      <c r="D742" s="906"/>
      <c r="E742" s="907"/>
      <c r="F742" s="908"/>
      <c r="G742" s="909"/>
      <c r="H742" s="910"/>
      <c r="I742" s="907"/>
      <c r="J742" s="912"/>
      <c r="K742" s="909"/>
      <c r="L742" s="913"/>
      <c r="M742" s="620"/>
      <c r="N742" s="620"/>
      <c r="O742" s="620"/>
      <c r="P742" s="620"/>
      <c r="Q742" s="620"/>
      <c r="R742" s="620"/>
      <c r="S742" s="620"/>
      <c r="T742" s="620"/>
      <c r="U742" s="620"/>
    </row>
    <row r="743">
      <c r="A743" s="905"/>
      <c r="B743" s="905"/>
      <c r="C743" s="520"/>
      <c r="D743" s="906"/>
      <c r="E743" s="907"/>
      <c r="F743" s="908"/>
      <c r="G743" s="909"/>
      <c r="H743" s="910"/>
      <c r="I743" s="907"/>
      <c r="J743" s="912"/>
      <c r="K743" s="909"/>
      <c r="L743" s="913"/>
      <c r="M743" s="620"/>
      <c r="N743" s="620"/>
      <c r="O743" s="620"/>
      <c r="P743" s="620"/>
      <c r="Q743" s="620"/>
      <c r="R743" s="620"/>
      <c r="S743" s="620"/>
      <c r="T743" s="620"/>
      <c r="U743" s="620"/>
    </row>
    <row r="744">
      <c r="A744" s="905"/>
      <c r="B744" s="905"/>
      <c r="C744" s="520"/>
      <c r="D744" s="906"/>
      <c r="E744" s="907"/>
      <c r="F744" s="908"/>
      <c r="G744" s="909"/>
      <c r="H744" s="910"/>
      <c r="I744" s="907"/>
      <c r="J744" s="912"/>
      <c r="K744" s="909"/>
      <c r="L744" s="913"/>
      <c r="M744" s="620"/>
      <c r="N744" s="620"/>
      <c r="O744" s="620"/>
      <c r="P744" s="620"/>
      <c r="Q744" s="620"/>
      <c r="R744" s="620"/>
      <c r="S744" s="620"/>
      <c r="T744" s="620"/>
      <c r="U744" s="620"/>
    </row>
    <row r="745">
      <c r="A745" s="905"/>
      <c r="B745" s="905"/>
      <c r="C745" s="520"/>
      <c r="D745" s="906"/>
      <c r="E745" s="907"/>
      <c r="F745" s="908"/>
      <c r="G745" s="909"/>
      <c r="H745" s="910"/>
      <c r="I745" s="907"/>
      <c r="J745" s="912"/>
      <c r="K745" s="909"/>
      <c r="L745" s="913"/>
      <c r="M745" s="620"/>
      <c r="N745" s="620"/>
      <c r="O745" s="620"/>
      <c r="P745" s="620"/>
      <c r="Q745" s="620"/>
      <c r="R745" s="620"/>
      <c r="S745" s="620"/>
      <c r="T745" s="620"/>
      <c r="U745" s="620"/>
    </row>
    <row r="746">
      <c r="A746" s="905"/>
      <c r="B746" s="905"/>
      <c r="C746" s="520"/>
      <c r="D746" s="906"/>
      <c r="E746" s="907"/>
      <c r="F746" s="908"/>
      <c r="G746" s="909"/>
      <c r="H746" s="910"/>
      <c r="I746" s="907"/>
      <c r="J746" s="912"/>
      <c r="K746" s="909"/>
      <c r="L746" s="913"/>
      <c r="M746" s="620"/>
      <c r="N746" s="620"/>
      <c r="O746" s="620"/>
      <c r="P746" s="620"/>
      <c r="Q746" s="620"/>
      <c r="R746" s="620"/>
      <c r="S746" s="620"/>
      <c r="T746" s="620"/>
      <c r="U746" s="620"/>
    </row>
    <row r="747">
      <c r="A747" s="905"/>
      <c r="B747" s="905"/>
      <c r="C747" s="520"/>
      <c r="D747" s="906"/>
      <c r="E747" s="907"/>
      <c r="F747" s="908"/>
      <c r="G747" s="909"/>
      <c r="H747" s="910"/>
      <c r="I747" s="907"/>
      <c r="J747" s="912"/>
      <c r="K747" s="909"/>
      <c r="L747" s="913"/>
      <c r="M747" s="620"/>
      <c r="N747" s="620"/>
      <c r="O747" s="620"/>
      <c r="P747" s="620"/>
      <c r="Q747" s="620"/>
      <c r="R747" s="620"/>
      <c r="S747" s="620"/>
      <c r="T747" s="620"/>
      <c r="U747" s="620"/>
    </row>
    <row r="748">
      <c r="A748" s="905"/>
      <c r="B748" s="905"/>
      <c r="C748" s="520"/>
      <c r="D748" s="906"/>
      <c r="E748" s="907"/>
      <c r="F748" s="908"/>
      <c r="G748" s="909"/>
      <c r="H748" s="910"/>
      <c r="I748" s="907"/>
      <c r="J748" s="912"/>
      <c r="K748" s="909"/>
      <c r="L748" s="913"/>
      <c r="M748" s="620"/>
      <c r="N748" s="620"/>
      <c r="O748" s="620"/>
      <c r="P748" s="620"/>
      <c r="Q748" s="620"/>
      <c r="R748" s="620"/>
      <c r="S748" s="620"/>
      <c r="T748" s="620"/>
      <c r="U748" s="620"/>
    </row>
    <row r="749">
      <c r="A749" s="905"/>
      <c r="B749" s="905"/>
      <c r="C749" s="520"/>
      <c r="D749" s="906"/>
      <c r="E749" s="907"/>
      <c r="F749" s="908"/>
      <c r="G749" s="909"/>
      <c r="H749" s="910"/>
      <c r="I749" s="907"/>
      <c r="J749" s="912"/>
      <c r="K749" s="909"/>
      <c r="L749" s="913"/>
      <c r="M749" s="620"/>
      <c r="N749" s="620"/>
      <c r="O749" s="620"/>
      <c r="P749" s="620"/>
      <c r="Q749" s="620"/>
      <c r="R749" s="620"/>
      <c r="S749" s="620"/>
      <c r="T749" s="620"/>
      <c r="U749" s="620"/>
    </row>
    <row r="750">
      <c r="A750" s="905"/>
      <c r="B750" s="905"/>
      <c r="C750" s="520"/>
      <c r="D750" s="906"/>
      <c r="E750" s="907"/>
      <c r="F750" s="908"/>
      <c r="G750" s="909"/>
      <c r="H750" s="910"/>
      <c r="I750" s="907"/>
      <c r="J750" s="912"/>
      <c r="K750" s="909"/>
      <c r="L750" s="913"/>
      <c r="M750" s="620"/>
      <c r="N750" s="620"/>
      <c r="O750" s="620"/>
      <c r="P750" s="620"/>
      <c r="Q750" s="620"/>
      <c r="R750" s="620"/>
      <c r="S750" s="620"/>
      <c r="T750" s="620"/>
      <c r="U750" s="620"/>
    </row>
    <row r="751">
      <c r="A751" s="905"/>
      <c r="B751" s="905"/>
      <c r="C751" s="520"/>
      <c r="D751" s="906"/>
      <c r="E751" s="907"/>
      <c r="F751" s="908"/>
      <c r="G751" s="909"/>
      <c r="H751" s="910"/>
      <c r="I751" s="907"/>
      <c r="J751" s="912"/>
      <c r="K751" s="909"/>
      <c r="L751" s="913"/>
      <c r="M751" s="620"/>
      <c r="N751" s="620"/>
      <c r="O751" s="620"/>
      <c r="P751" s="620"/>
      <c r="Q751" s="620"/>
      <c r="R751" s="620"/>
      <c r="S751" s="620"/>
      <c r="T751" s="620"/>
      <c r="U751" s="620"/>
    </row>
    <row r="752">
      <c r="A752" s="905"/>
      <c r="B752" s="905"/>
      <c r="C752" s="520"/>
      <c r="D752" s="906"/>
      <c r="E752" s="907"/>
      <c r="F752" s="908"/>
      <c r="G752" s="909"/>
      <c r="H752" s="910"/>
      <c r="I752" s="907"/>
      <c r="J752" s="912"/>
      <c r="K752" s="909"/>
      <c r="L752" s="913"/>
      <c r="M752" s="620"/>
      <c r="N752" s="620"/>
      <c r="O752" s="620"/>
      <c r="P752" s="620"/>
      <c r="Q752" s="620"/>
      <c r="R752" s="620"/>
      <c r="S752" s="620"/>
      <c r="T752" s="620"/>
      <c r="U752" s="620"/>
    </row>
    <row r="753">
      <c r="A753" s="905"/>
      <c r="B753" s="905"/>
      <c r="C753" s="520"/>
      <c r="D753" s="906"/>
      <c r="E753" s="907"/>
      <c r="F753" s="908"/>
      <c r="G753" s="909"/>
      <c r="H753" s="910"/>
      <c r="I753" s="907"/>
      <c r="J753" s="912"/>
      <c r="K753" s="909"/>
      <c r="L753" s="913"/>
      <c r="M753" s="620"/>
      <c r="N753" s="620"/>
      <c r="O753" s="620"/>
      <c r="P753" s="620"/>
      <c r="Q753" s="620"/>
      <c r="R753" s="620"/>
      <c r="S753" s="620"/>
      <c r="T753" s="620"/>
      <c r="U753" s="620"/>
    </row>
    <row r="754">
      <c r="A754" s="905"/>
      <c r="B754" s="905"/>
      <c r="C754" s="520"/>
      <c r="D754" s="906"/>
      <c r="E754" s="907"/>
      <c r="F754" s="908"/>
      <c r="G754" s="909"/>
      <c r="H754" s="910"/>
      <c r="I754" s="907"/>
      <c r="J754" s="912"/>
      <c r="K754" s="909"/>
      <c r="L754" s="913"/>
      <c r="M754" s="620"/>
      <c r="N754" s="620"/>
      <c r="O754" s="620"/>
      <c r="P754" s="620"/>
      <c r="Q754" s="620"/>
      <c r="R754" s="620"/>
      <c r="S754" s="620"/>
      <c r="T754" s="620"/>
      <c r="U754" s="620"/>
    </row>
    <row r="755">
      <c r="A755" s="905"/>
      <c r="B755" s="905"/>
      <c r="C755" s="520"/>
      <c r="D755" s="906"/>
      <c r="E755" s="907"/>
      <c r="F755" s="908"/>
      <c r="G755" s="909"/>
      <c r="H755" s="910"/>
      <c r="I755" s="907"/>
      <c r="J755" s="912"/>
      <c r="K755" s="909"/>
      <c r="L755" s="913"/>
      <c r="M755" s="620"/>
      <c r="N755" s="620"/>
      <c r="O755" s="620"/>
      <c r="P755" s="620"/>
      <c r="Q755" s="620"/>
      <c r="R755" s="620"/>
      <c r="S755" s="620"/>
      <c r="T755" s="620"/>
      <c r="U755" s="620"/>
    </row>
    <row r="756">
      <c r="A756" s="905"/>
      <c r="B756" s="905"/>
      <c r="C756" s="520"/>
      <c r="D756" s="906"/>
      <c r="E756" s="907"/>
      <c r="F756" s="908"/>
      <c r="G756" s="909"/>
      <c r="H756" s="910"/>
      <c r="I756" s="907"/>
      <c r="J756" s="912"/>
      <c r="K756" s="909"/>
      <c r="L756" s="913"/>
      <c r="M756" s="620"/>
      <c r="N756" s="620"/>
      <c r="O756" s="620"/>
      <c r="P756" s="620"/>
      <c r="Q756" s="620"/>
      <c r="R756" s="620"/>
      <c r="S756" s="620"/>
      <c r="T756" s="620"/>
      <c r="U756" s="620"/>
    </row>
    <row r="757">
      <c r="A757" s="905"/>
      <c r="B757" s="905"/>
      <c r="C757" s="520"/>
      <c r="D757" s="906"/>
      <c r="E757" s="907"/>
      <c r="F757" s="908"/>
      <c r="G757" s="909"/>
      <c r="H757" s="910"/>
      <c r="I757" s="907"/>
      <c r="J757" s="912"/>
      <c r="K757" s="909"/>
      <c r="L757" s="913"/>
      <c r="M757" s="620"/>
      <c r="N757" s="620"/>
      <c r="O757" s="620"/>
      <c r="P757" s="620"/>
      <c r="Q757" s="620"/>
      <c r="R757" s="620"/>
      <c r="S757" s="620"/>
      <c r="T757" s="620"/>
      <c r="U757" s="620"/>
    </row>
    <row r="758">
      <c r="A758" s="905"/>
      <c r="B758" s="905"/>
      <c r="C758" s="520"/>
      <c r="D758" s="906"/>
      <c r="E758" s="907"/>
      <c r="F758" s="908"/>
      <c r="G758" s="909"/>
      <c r="H758" s="910"/>
      <c r="I758" s="907"/>
      <c r="J758" s="912"/>
      <c r="K758" s="909"/>
      <c r="L758" s="913"/>
      <c r="M758" s="620"/>
      <c r="N758" s="620"/>
      <c r="O758" s="620"/>
      <c r="P758" s="620"/>
      <c r="Q758" s="620"/>
      <c r="R758" s="620"/>
      <c r="S758" s="620"/>
      <c r="T758" s="620"/>
      <c r="U758" s="620"/>
    </row>
    <row r="759">
      <c r="A759" s="905"/>
      <c r="B759" s="905"/>
      <c r="C759" s="520"/>
      <c r="D759" s="906"/>
      <c r="E759" s="907"/>
      <c r="F759" s="908"/>
      <c r="G759" s="909"/>
      <c r="H759" s="910"/>
      <c r="I759" s="907"/>
      <c r="J759" s="912"/>
      <c r="K759" s="909"/>
      <c r="L759" s="913"/>
      <c r="M759" s="620"/>
      <c r="N759" s="620"/>
      <c r="O759" s="620"/>
      <c r="P759" s="620"/>
      <c r="Q759" s="620"/>
      <c r="R759" s="620"/>
      <c r="S759" s="620"/>
      <c r="T759" s="620"/>
      <c r="U759" s="620"/>
    </row>
    <row r="760">
      <c r="A760" s="905"/>
      <c r="B760" s="905"/>
      <c r="C760" s="520"/>
      <c r="D760" s="906"/>
      <c r="E760" s="907"/>
      <c r="F760" s="908"/>
      <c r="G760" s="909"/>
      <c r="H760" s="910"/>
      <c r="I760" s="907"/>
      <c r="J760" s="912"/>
      <c r="K760" s="909"/>
      <c r="L760" s="913"/>
      <c r="M760" s="620"/>
      <c r="N760" s="620"/>
      <c r="O760" s="620"/>
      <c r="P760" s="620"/>
      <c r="Q760" s="620"/>
      <c r="R760" s="620"/>
      <c r="S760" s="620"/>
      <c r="T760" s="620"/>
      <c r="U760" s="620"/>
    </row>
    <row r="761">
      <c r="A761" s="905"/>
      <c r="B761" s="905"/>
      <c r="C761" s="520"/>
      <c r="D761" s="906"/>
      <c r="E761" s="907"/>
      <c r="F761" s="908"/>
      <c r="G761" s="909"/>
      <c r="H761" s="910"/>
      <c r="I761" s="907"/>
      <c r="J761" s="912"/>
      <c r="K761" s="909"/>
      <c r="L761" s="913"/>
      <c r="M761" s="620"/>
      <c r="N761" s="620"/>
      <c r="O761" s="620"/>
      <c r="P761" s="620"/>
      <c r="Q761" s="620"/>
      <c r="R761" s="620"/>
      <c r="S761" s="620"/>
      <c r="T761" s="620"/>
      <c r="U761" s="620"/>
    </row>
    <row r="762">
      <c r="A762" s="905"/>
      <c r="B762" s="905"/>
      <c r="C762" s="520"/>
      <c r="D762" s="906"/>
      <c r="E762" s="907"/>
      <c r="F762" s="908"/>
      <c r="G762" s="909"/>
      <c r="H762" s="910"/>
      <c r="I762" s="907"/>
      <c r="J762" s="912"/>
      <c r="K762" s="909"/>
      <c r="L762" s="913"/>
      <c r="M762" s="620"/>
      <c r="N762" s="620"/>
      <c r="O762" s="620"/>
      <c r="P762" s="620"/>
      <c r="Q762" s="620"/>
      <c r="R762" s="620"/>
      <c r="S762" s="620"/>
      <c r="T762" s="620"/>
      <c r="U762" s="620"/>
    </row>
    <row r="763">
      <c r="A763" s="905"/>
      <c r="B763" s="905"/>
      <c r="C763" s="520"/>
      <c r="D763" s="906"/>
      <c r="E763" s="907"/>
      <c r="F763" s="908"/>
      <c r="G763" s="909"/>
      <c r="H763" s="910"/>
      <c r="I763" s="907"/>
      <c r="J763" s="912"/>
      <c r="K763" s="909"/>
      <c r="L763" s="913"/>
      <c r="M763" s="620"/>
      <c r="N763" s="620"/>
      <c r="O763" s="620"/>
      <c r="P763" s="620"/>
      <c r="Q763" s="620"/>
      <c r="R763" s="620"/>
      <c r="S763" s="620"/>
      <c r="T763" s="620"/>
      <c r="U763" s="620"/>
    </row>
    <row r="764">
      <c r="A764" s="905"/>
      <c r="B764" s="905"/>
      <c r="C764" s="520"/>
      <c r="D764" s="906"/>
      <c r="E764" s="907"/>
      <c r="F764" s="908"/>
      <c r="G764" s="909"/>
      <c r="H764" s="910"/>
      <c r="I764" s="907"/>
      <c r="J764" s="912"/>
      <c r="K764" s="909"/>
      <c r="L764" s="913"/>
      <c r="M764" s="620"/>
      <c r="N764" s="620"/>
      <c r="O764" s="620"/>
      <c r="P764" s="620"/>
      <c r="Q764" s="620"/>
      <c r="R764" s="620"/>
      <c r="S764" s="620"/>
      <c r="T764" s="620"/>
      <c r="U764" s="620"/>
    </row>
    <row r="765">
      <c r="A765" s="905"/>
      <c r="B765" s="905"/>
      <c r="C765" s="520"/>
      <c r="D765" s="906"/>
      <c r="E765" s="907"/>
      <c r="F765" s="908"/>
      <c r="G765" s="909"/>
      <c r="H765" s="910"/>
      <c r="I765" s="907"/>
      <c r="J765" s="912"/>
      <c r="K765" s="909"/>
      <c r="L765" s="913"/>
      <c r="M765" s="620"/>
      <c r="N765" s="620"/>
      <c r="O765" s="620"/>
      <c r="P765" s="620"/>
      <c r="Q765" s="620"/>
      <c r="R765" s="620"/>
      <c r="S765" s="620"/>
      <c r="T765" s="620"/>
      <c r="U765" s="620"/>
    </row>
    <row r="766">
      <c r="A766" s="905"/>
      <c r="B766" s="905"/>
      <c r="C766" s="520"/>
      <c r="D766" s="906"/>
      <c r="E766" s="907"/>
      <c r="F766" s="908"/>
      <c r="G766" s="909"/>
      <c r="H766" s="910"/>
      <c r="I766" s="907"/>
      <c r="J766" s="912"/>
      <c r="K766" s="909"/>
      <c r="L766" s="913"/>
      <c r="M766" s="620"/>
      <c r="N766" s="620"/>
      <c r="O766" s="620"/>
      <c r="P766" s="620"/>
      <c r="Q766" s="620"/>
      <c r="R766" s="620"/>
      <c r="S766" s="620"/>
      <c r="T766" s="620"/>
      <c r="U766" s="620"/>
    </row>
    <row r="767">
      <c r="A767" s="905"/>
      <c r="B767" s="905"/>
      <c r="C767" s="520"/>
      <c r="D767" s="906"/>
      <c r="E767" s="907"/>
      <c r="F767" s="908"/>
      <c r="G767" s="909"/>
      <c r="H767" s="910"/>
      <c r="I767" s="907"/>
      <c r="J767" s="912"/>
      <c r="K767" s="909"/>
      <c r="L767" s="913"/>
      <c r="M767" s="620"/>
      <c r="N767" s="620"/>
      <c r="O767" s="620"/>
      <c r="P767" s="620"/>
      <c r="Q767" s="620"/>
      <c r="R767" s="620"/>
      <c r="S767" s="620"/>
      <c r="T767" s="620"/>
      <c r="U767" s="620"/>
    </row>
    <row r="768">
      <c r="A768" s="905"/>
      <c r="B768" s="905"/>
      <c r="C768" s="520"/>
      <c r="D768" s="906"/>
      <c r="E768" s="907"/>
      <c r="F768" s="908"/>
      <c r="G768" s="909"/>
      <c r="H768" s="910"/>
      <c r="I768" s="907"/>
      <c r="J768" s="912"/>
      <c r="K768" s="909"/>
      <c r="L768" s="913"/>
      <c r="M768" s="620"/>
      <c r="N768" s="620"/>
      <c r="O768" s="620"/>
      <c r="P768" s="620"/>
      <c r="Q768" s="620"/>
      <c r="R768" s="620"/>
      <c r="S768" s="620"/>
      <c r="T768" s="620"/>
      <c r="U768" s="620"/>
    </row>
    <row r="769">
      <c r="A769" s="905"/>
      <c r="B769" s="905"/>
      <c r="C769" s="520"/>
      <c r="D769" s="906"/>
      <c r="E769" s="907"/>
      <c r="F769" s="908"/>
      <c r="G769" s="909"/>
      <c r="H769" s="910"/>
      <c r="I769" s="907"/>
      <c r="J769" s="912"/>
      <c r="K769" s="909"/>
      <c r="L769" s="913"/>
      <c r="M769" s="620"/>
      <c r="N769" s="620"/>
      <c r="O769" s="620"/>
      <c r="P769" s="620"/>
      <c r="Q769" s="620"/>
      <c r="R769" s="620"/>
      <c r="S769" s="620"/>
      <c r="T769" s="620"/>
      <c r="U769" s="620"/>
    </row>
    <row r="770">
      <c r="A770" s="905"/>
      <c r="B770" s="905"/>
      <c r="C770" s="520"/>
      <c r="D770" s="906"/>
      <c r="E770" s="907"/>
      <c r="F770" s="908"/>
      <c r="G770" s="909"/>
      <c r="H770" s="910"/>
      <c r="I770" s="907"/>
      <c r="J770" s="912"/>
      <c r="K770" s="909"/>
      <c r="L770" s="913"/>
      <c r="M770" s="620"/>
      <c r="N770" s="620"/>
      <c r="O770" s="620"/>
      <c r="P770" s="620"/>
      <c r="Q770" s="620"/>
      <c r="R770" s="620"/>
      <c r="S770" s="620"/>
      <c r="T770" s="620"/>
      <c r="U770" s="620"/>
    </row>
    <row r="771">
      <c r="A771" s="905"/>
      <c r="B771" s="905"/>
      <c r="C771" s="520"/>
      <c r="D771" s="906"/>
      <c r="E771" s="907"/>
      <c r="F771" s="908"/>
      <c r="G771" s="909"/>
      <c r="H771" s="910"/>
      <c r="I771" s="907"/>
      <c r="J771" s="912"/>
      <c r="K771" s="909"/>
      <c r="L771" s="913"/>
      <c r="M771" s="620"/>
      <c r="N771" s="620"/>
      <c r="O771" s="620"/>
      <c r="P771" s="620"/>
      <c r="Q771" s="620"/>
      <c r="R771" s="620"/>
      <c r="S771" s="620"/>
      <c r="T771" s="620"/>
      <c r="U771" s="620"/>
    </row>
    <row r="772">
      <c r="A772" s="905"/>
      <c r="B772" s="905"/>
      <c r="C772" s="520"/>
      <c r="D772" s="906"/>
      <c r="E772" s="907"/>
      <c r="F772" s="908"/>
      <c r="G772" s="909"/>
      <c r="H772" s="910"/>
      <c r="I772" s="907"/>
      <c r="J772" s="912"/>
      <c r="K772" s="909"/>
      <c r="L772" s="913"/>
      <c r="M772" s="620"/>
      <c r="N772" s="620"/>
      <c r="O772" s="620"/>
      <c r="P772" s="620"/>
      <c r="Q772" s="620"/>
      <c r="R772" s="620"/>
      <c r="S772" s="620"/>
      <c r="T772" s="620"/>
      <c r="U772" s="620"/>
    </row>
    <row r="773">
      <c r="A773" s="905"/>
      <c r="B773" s="905"/>
      <c r="C773" s="520"/>
      <c r="D773" s="906"/>
      <c r="E773" s="907"/>
      <c r="F773" s="908"/>
      <c r="G773" s="909"/>
      <c r="H773" s="910"/>
      <c r="I773" s="907"/>
      <c r="J773" s="912"/>
      <c r="K773" s="909"/>
      <c r="L773" s="913"/>
      <c r="M773" s="620"/>
      <c r="N773" s="620"/>
      <c r="O773" s="620"/>
      <c r="P773" s="620"/>
      <c r="Q773" s="620"/>
      <c r="R773" s="620"/>
      <c r="S773" s="620"/>
      <c r="T773" s="620"/>
      <c r="U773" s="620"/>
    </row>
    <row r="774">
      <c r="A774" s="905"/>
      <c r="B774" s="905"/>
      <c r="C774" s="520"/>
      <c r="D774" s="906"/>
      <c r="E774" s="907"/>
      <c r="F774" s="908"/>
      <c r="G774" s="909"/>
      <c r="H774" s="910"/>
      <c r="I774" s="907"/>
      <c r="J774" s="912"/>
      <c r="K774" s="909"/>
      <c r="L774" s="913"/>
      <c r="M774" s="620"/>
      <c r="N774" s="620"/>
      <c r="O774" s="620"/>
      <c r="P774" s="620"/>
      <c r="Q774" s="620"/>
      <c r="R774" s="620"/>
      <c r="S774" s="620"/>
      <c r="T774" s="620"/>
      <c r="U774" s="620"/>
    </row>
    <row r="775">
      <c r="A775" s="905"/>
      <c r="B775" s="905"/>
      <c r="C775" s="520"/>
      <c r="D775" s="906"/>
      <c r="E775" s="907"/>
      <c r="F775" s="908"/>
      <c r="G775" s="909"/>
      <c r="H775" s="910"/>
      <c r="I775" s="907"/>
      <c r="J775" s="912"/>
      <c r="K775" s="909"/>
      <c r="L775" s="913"/>
      <c r="M775" s="620"/>
      <c r="N775" s="620"/>
      <c r="O775" s="620"/>
      <c r="P775" s="620"/>
      <c r="Q775" s="620"/>
      <c r="R775" s="620"/>
      <c r="S775" s="620"/>
      <c r="T775" s="620"/>
      <c r="U775" s="620"/>
    </row>
    <row r="776">
      <c r="A776" s="905"/>
      <c r="B776" s="905"/>
      <c r="C776" s="520"/>
      <c r="D776" s="906"/>
      <c r="E776" s="907"/>
      <c r="F776" s="908"/>
      <c r="G776" s="909"/>
      <c r="H776" s="910"/>
      <c r="I776" s="907"/>
      <c r="J776" s="912"/>
      <c r="K776" s="909"/>
      <c r="L776" s="913"/>
      <c r="M776" s="620"/>
      <c r="N776" s="620"/>
      <c r="O776" s="620"/>
      <c r="P776" s="620"/>
      <c r="Q776" s="620"/>
      <c r="R776" s="620"/>
      <c r="S776" s="620"/>
      <c r="T776" s="620"/>
      <c r="U776" s="620"/>
    </row>
    <row r="777">
      <c r="A777" s="905"/>
      <c r="B777" s="905"/>
      <c r="C777" s="520"/>
      <c r="D777" s="906"/>
      <c r="E777" s="907"/>
      <c r="F777" s="908"/>
      <c r="G777" s="909"/>
      <c r="H777" s="910"/>
      <c r="I777" s="907"/>
      <c r="J777" s="912"/>
      <c r="K777" s="909"/>
      <c r="L777" s="913"/>
      <c r="M777" s="620"/>
      <c r="N777" s="620"/>
      <c r="O777" s="620"/>
      <c r="P777" s="620"/>
      <c r="Q777" s="620"/>
      <c r="R777" s="620"/>
      <c r="S777" s="620"/>
      <c r="T777" s="620"/>
      <c r="U777" s="620"/>
    </row>
    <row r="778">
      <c r="A778" s="905"/>
      <c r="B778" s="905"/>
      <c r="C778" s="520"/>
      <c r="D778" s="906"/>
      <c r="E778" s="907"/>
      <c r="F778" s="908"/>
      <c r="G778" s="909"/>
      <c r="H778" s="910"/>
      <c r="I778" s="907"/>
      <c r="J778" s="912"/>
      <c r="K778" s="909"/>
      <c r="L778" s="913"/>
      <c r="M778" s="620"/>
      <c r="N778" s="620"/>
      <c r="O778" s="620"/>
      <c r="P778" s="620"/>
      <c r="Q778" s="620"/>
      <c r="R778" s="620"/>
      <c r="S778" s="620"/>
      <c r="T778" s="620"/>
      <c r="U778" s="620"/>
    </row>
    <row r="779">
      <c r="A779" s="905"/>
      <c r="B779" s="905"/>
      <c r="C779" s="520"/>
      <c r="D779" s="906"/>
      <c r="E779" s="907"/>
      <c r="F779" s="908"/>
      <c r="G779" s="909"/>
      <c r="H779" s="910"/>
      <c r="I779" s="907"/>
      <c r="J779" s="912"/>
      <c r="K779" s="909"/>
      <c r="L779" s="913"/>
      <c r="M779" s="620"/>
      <c r="N779" s="620"/>
      <c r="O779" s="620"/>
      <c r="P779" s="620"/>
      <c r="Q779" s="620"/>
      <c r="R779" s="620"/>
      <c r="S779" s="620"/>
      <c r="T779" s="620"/>
      <c r="U779" s="620"/>
    </row>
    <row r="780">
      <c r="A780" s="905"/>
      <c r="B780" s="905"/>
      <c r="C780" s="520"/>
      <c r="D780" s="906"/>
      <c r="E780" s="907"/>
      <c r="F780" s="908"/>
      <c r="G780" s="909"/>
      <c r="H780" s="910"/>
      <c r="I780" s="907"/>
      <c r="J780" s="912"/>
      <c r="K780" s="909"/>
      <c r="L780" s="913"/>
      <c r="M780" s="620"/>
      <c r="N780" s="620"/>
      <c r="O780" s="620"/>
      <c r="P780" s="620"/>
      <c r="Q780" s="620"/>
      <c r="R780" s="620"/>
      <c r="S780" s="620"/>
      <c r="T780" s="620"/>
      <c r="U780" s="620"/>
    </row>
    <row r="781">
      <c r="A781" s="905"/>
      <c r="B781" s="905"/>
      <c r="C781" s="520"/>
      <c r="D781" s="906"/>
      <c r="E781" s="907"/>
      <c r="F781" s="908"/>
      <c r="G781" s="909"/>
      <c r="H781" s="910"/>
      <c r="I781" s="907"/>
      <c r="J781" s="912"/>
      <c r="K781" s="909"/>
      <c r="L781" s="913"/>
      <c r="M781" s="620"/>
      <c r="N781" s="620"/>
      <c r="O781" s="620"/>
      <c r="P781" s="620"/>
      <c r="Q781" s="620"/>
      <c r="R781" s="620"/>
      <c r="S781" s="620"/>
      <c r="T781" s="620"/>
      <c r="U781" s="620"/>
    </row>
    <row r="782">
      <c r="A782" s="905"/>
      <c r="B782" s="905"/>
      <c r="C782" s="520"/>
      <c r="D782" s="906"/>
      <c r="E782" s="907"/>
      <c r="F782" s="908"/>
      <c r="G782" s="909"/>
      <c r="H782" s="910"/>
      <c r="I782" s="907"/>
      <c r="J782" s="912"/>
      <c r="K782" s="909"/>
      <c r="L782" s="913"/>
      <c r="M782" s="620"/>
      <c r="N782" s="620"/>
      <c r="O782" s="620"/>
      <c r="P782" s="620"/>
      <c r="Q782" s="620"/>
      <c r="R782" s="620"/>
      <c r="S782" s="620"/>
      <c r="T782" s="620"/>
      <c r="U782" s="620"/>
    </row>
    <row r="783">
      <c r="A783" s="905"/>
      <c r="B783" s="905"/>
      <c r="C783" s="520"/>
      <c r="D783" s="906"/>
      <c r="E783" s="907"/>
      <c r="F783" s="908"/>
      <c r="G783" s="909"/>
      <c r="H783" s="910"/>
      <c r="I783" s="907"/>
      <c r="J783" s="912"/>
      <c r="K783" s="909"/>
      <c r="L783" s="913"/>
      <c r="M783" s="620"/>
      <c r="N783" s="620"/>
      <c r="O783" s="620"/>
      <c r="P783" s="620"/>
      <c r="Q783" s="620"/>
      <c r="R783" s="620"/>
      <c r="S783" s="620"/>
      <c r="T783" s="620"/>
      <c r="U783" s="620"/>
    </row>
    <row r="784">
      <c r="A784" s="905"/>
      <c r="B784" s="905"/>
      <c r="C784" s="520"/>
      <c r="D784" s="906"/>
      <c r="E784" s="907"/>
      <c r="F784" s="908"/>
      <c r="G784" s="909"/>
      <c r="H784" s="910"/>
      <c r="I784" s="907"/>
      <c r="J784" s="912"/>
      <c r="K784" s="909"/>
      <c r="L784" s="913"/>
      <c r="M784" s="620"/>
      <c r="N784" s="620"/>
      <c r="O784" s="620"/>
      <c r="P784" s="620"/>
      <c r="Q784" s="620"/>
      <c r="R784" s="620"/>
      <c r="S784" s="620"/>
      <c r="T784" s="620"/>
      <c r="U784" s="620"/>
    </row>
    <row r="785">
      <c r="A785" s="905"/>
      <c r="B785" s="905"/>
      <c r="C785" s="520"/>
      <c r="D785" s="906"/>
      <c r="E785" s="907"/>
      <c r="F785" s="908"/>
      <c r="G785" s="909"/>
      <c r="H785" s="910"/>
      <c r="I785" s="907"/>
      <c r="J785" s="912"/>
      <c r="K785" s="909"/>
      <c r="L785" s="913"/>
      <c r="M785" s="620"/>
      <c r="N785" s="620"/>
      <c r="O785" s="620"/>
      <c r="P785" s="620"/>
      <c r="Q785" s="620"/>
      <c r="R785" s="620"/>
      <c r="S785" s="620"/>
      <c r="T785" s="620"/>
      <c r="U785" s="620"/>
    </row>
    <row r="786">
      <c r="A786" s="905"/>
      <c r="B786" s="905"/>
      <c r="C786" s="520"/>
      <c r="D786" s="906"/>
      <c r="E786" s="907"/>
      <c r="F786" s="908"/>
      <c r="G786" s="909"/>
      <c r="H786" s="910"/>
      <c r="I786" s="907"/>
      <c r="J786" s="912"/>
      <c r="K786" s="909"/>
      <c r="L786" s="913"/>
      <c r="M786" s="620"/>
      <c r="N786" s="620"/>
      <c r="O786" s="620"/>
      <c r="P786" s="620"/>
      <c r="Q786" s="620"/>
      <c r="R786" s="620"/>
      <c r="S786" s="620"/>
      <c r="T786" s="620"/>
      <c r="U786" s="620"/>
    </row>
    <row r="787">
      <c r="A787" s="905"/>
      <c r="B787" s="905"/>
      <c r="C787" s="520"/>
      <c r="D787" s="906"/>
      <c r="E787" s="907"/>
      <c r="F787" s="908"/>
      <c r="G787" s="909"/>
      <c r="H787" s="910"/>
      <c r="I787" s="907"/>
      <c r="J787" s="912"/>
      <c r="K787" s="909"/>
      <c r="L787" s="913"/>
      <c r="M787" s="620"/>
      <c r="N787" s="620"/>
      <c r="O787" s="620"/>
      <c r="P787" s="620"/>
      <c r="Q787" s="620"/>
      <c r="R787" s="620"/>
      <c r="S787" s="620"/>
      <c r="T787" s="620"/>
      <c r="U787" s="620"/>
    </row>
    <row r="788">
      <c r="A788" s="905"/>
      <c r="B788" s="905"/>
      <c r="C788" s="520"/>
      <c r="D788" s="906"/>
      <c r="E788" s="907"/>
      <c r="F788" s="908"/>
      <c r="G788" s="909"/>
      <c r="H788" s="910"/>
      <c r="I788" s="907"/>
      <c r="J788" s="912"/>
      <c r="K788" s="909"/>
      <c r="L788" s="913"/>
      <c r="M788" s="620"/>
      <c r="N788" s="620"/>
      <c r="O788" s="620"/>
      <c r="P788" s="620"/>
      <c r="Q788" s="620"/>
      <c r="R788" s="620"/>
      <c r="S788" s="620"/>
      <c r="T788" s="620"/>
      <c r="U788" s="620"/>
    </row>
    <row r="789">
      <c r="A789" s="905"/>
      <c r="B789" s="905"/>
      <c r="C789" s="520"/>
      <c r="D789" s="906"/>
      <c r="E789" s="907"/>
      <c r="F789" s="908"/>
      <c r="G789" s="909"/>
      <c r="H789" s="910"/>
      <c r="I789" s="907"/>
      <c r="J789" s="912"/>
      <c r="K789" s="909"/>
      <c r="L789" s="913"/>
      <c r="M789" s="620"/>
      <c r="N789" s="620"/>
      <c r="O789" s="620"/>
      <c r="P789" s="620"/>
      <c r="Q789" s="620"/>
      <c r="R789" s="620"/>
      <c r="S789" s="620"/>
      <c r="T789" s="620"/>
      <c r="U789" s="620"/>
    </row>
    <row r="790">
      <c r="A790" s="905"/>
      <c r="B790" s="905"/>
      <c r="C790" s="520"/>
      <c r="D790" s="906"/>
      <c r="E790" s="907"/>
      <c r="F790" s="908"/>
      <c r="G790" s="909"/>
      <c r="H790" s="910"/>
      <c r="I790" s="907"/>
      <c r="J790" s="912"/>
      <c r="K790" s="909"/>
      <c r="L790" s="913"/>
      <c r="M790" s="620"/>
      <c r="N790" s="620"/>
      <c r="O790" s="620"/>
      <c r="P790" s="620"/>
      <c r="Q790" s="620"/>
      <c r="R790" s="620"/>
      <c r="S790" s="620"/>
      <c r="T790" s="620"/>
      <c r="U790" s="620"/>
    </row>
    <row r="791">
      <c r="A791" s="905"/>
      <c r="B791" s="905"/>
      <c r="C791" s="520"/>
      <c r="D791" s="906"/>
      <c r="E791" s="907"/>
      <c r="F791" s="908"/>
      <c r="G791" s="909"/>
      <c r="H791" s="910"/>
      <c r="I791" s="907"/>
      <c r="J791" s="912"/>
      <c r="K791" s="909"/>
      <c r="L791" s="913"/>
      <c r="M791" s="620"/>
      <c r="N791" s="620"/>
      <c r="O791" s="620"/>
      <c r="P791" s="620"/>
      <c r="Q791" s="620"/>
      <c r="R791" s="620"/>
      <c r="S791" s="620"/>
      <c r="T791" s="620"/>
      <c r="U791" s="620"/>
    </row>
    <row r="792">
      <c r="A792" s="905"/>
      <c r="B792" s="905"/>
      <c r="C792" s="520"/>
      <c r="D792" s="906"/>
      <c r="E792" s="907"/>
      <c r="F792" s="908"/>
      <c r="G792" s="909"/>
      <c r="H792" s="910"/>
      <c r="I792" s="907"/>
      <c r="J792" s="912"/>
      <c r="K792" s="909"/>
      <c r="L792" s="913"/>
      <c r="M792" s="620"/>
      <c r="N792" s="620"/>
      <c r="O792" s="620"/>
      <c r="P792" s="620"/>
      <c r="Q792" s="620"/>
      <c r="R792" s="620"/>
      <c r="S792" s="620"/>
      <c r="T792" s="620"/>
      <c r="U792" s="620"/>
    </row>
    <row r="793">
      <c r="A793" s="905"/>
      <c r="B793" s="905"/>
      <c r="C793" s="520"/>
      <c r="D793" s="906"/>
      <c r="E793" s="907"/>
      <c r="F793" s="908"/>
      <c r="G793" s="909"/>
      <c r="H793" s="910"/>
      <c r="I793" s="907"/>
      <c r="J793" s="912"/>
      <c r="K793" s="909"/>
      <c r="L793" s="913"/>
      <c r="M793" s="620"/>
      <c r="N793" s="620"/>
      <c r="O793" s="620"/>
      <c r="P793" s="620"/>
      <c r="Q793" s="620"/>
      <c r="R793" s="620"/>
      <c r="S793" s="620"/>
      <c r="T793" s="620"/>
      <c r="U793" s="620"/>
    </row>
    <row r="794">
      <c r="A794" s="905"/>
      <c r="B794" s="905"/>
      <c r="C794" s="520"/>
      <c r="D794" s="906"/>
      <c r="E794" s="907"/>
      <c r="F794" s="908"/>
      <c r="G794" s="909"/>
      <c r="H794" s="910"/>
      <c r="I794" s="907"/>
      <c r="J794" s="912"/>
      <c r="K794" s="909"/>
      <c r="L794" s="913"/>
      <c r="M794" s="620"/>
      <c r="N794" s="620"/>
      <c r="O794" s="620"/>
      <c r="P794" s="620"/>
      <c r="Q794" s="620"/>
      <c r="R794" s="620"/>
      <c r="S794" s="620"/>
      <c r="T794" s="620"/>
      <c r="U794" s="620"/>
    </row>
    <row r="795">
      <c r="A795" s="905"/>
      <c r="B795" s="905"/>
      <c r="C795" s="520"/>
      <c r="D795" s="906"/>
      <c r="E795" s="907"/>
      <c r="F795" s="908"/>
      <c r="G795" s="909"/>
      <c r="H795" s="910"/>
      <c r="I795" s="907"/>
      <c r="J795" s="912"/>
      <c r="K795" s="909"/>
      <c r="L795" s="913"/>
      <c r="M795" s="620"/>
      <c r="N795" s="620"/>
      <c r="O795" s="620"/>
      <c r="P795" s="620"/>
      <c r="Q795" s="620"/>
      <c r="R795" s="620"/>
      <c r="S795" s="620"/>
      <c r="T795" s="620"/>
      <c r="U795" s="620"/>
    </row>
    <row r="796">
      <c r="A796" s="905"/>
      <c r="B796" s="905"/>
      <c r="C796" s="520"/>
      <c r="D796" s="906"/>
      <c r="E796" s="907"/>
      <c r="F796" s="908"/>
      <c r="G796" s="909"/>
      <c r="H796" s="910"/>
      <c r="I796" s="907"/>
      <c r="J796" s="912"/>
      <c r="K796" s="909"/>
      <c r="L796" s="913"/>
      <c r="M796" s="620"/>
      <c r="N796" s="620"/>
      <c r="O796" s="620"/>
      <c r="P796" s="620"/>
      <c r="Q796" s="620"/>
      <c r="R796" s="620"/>
      <c r="S796" s="620"/>
      <c r="T796" s="620"/>
      <c r="U796" s="620"/>
    </row>
    <row r="797">
      <c r="A797" s="905"/>
      <c r="B797" s="905"/>
      <c r="C797" s="520"/>
      <c r="D797" s="906"/>
      <c r="E797" s="907"/>
      <c r="F797" s="908"/>
      <c r="G797" s="909"/>
      <c r="H797" s="910"/>
      <c r="I797" s="907"/>
      <c r="J797" s="912"/>
      <c r="K797" s="909"/>
      <c r="L797" s="913"/>
      <c r="M797" s="620"/>
      <c r="N797" s="620"/>
      <c r="O797" s="620"/>
      <c r="P797" s="620"/>
      <c r="Q797" s="620"/>
      <c r="R797" s="620"/>
      <c r="S797" s="620"/>
      <c r="T797" s="620"/>
      <c r="U797" s="620"/>
    </row>
    <row r="798">
      <c r="A798" s="905"/>
      <c r="B798" s="905"/>
      <c r="C798" s="520"/>
      <c r="D798" s="906"/>
      <c r="E798" s="907"/>
      <c r="F798" s="908"/>
      <c r="G798" s="909"/>
      <c r="H798" s="910"/>
      <c r="I798" s="907"/>
      <c r="J798" s="912"/>
      <c r="K798" s="909"/>
      <c r="L798" s="913"/>
      <c r="M798" s="620"/>
      <c r="N798" s="620"/>
      <c r="O798" s="620"/>
      <c r="P798" s="620"/>
      <c r="Q798" s="620"/>
      <c r="R798" s="620"/>
      <c r="S798" s="620"/>
      <c r="T798" s="620"/>
      <c r="U798" s="620"/>
    </row>
    <row r="799">
      <c r="A799" s="905"/>
      <c r="B799" s="905"/>
      <c r="C799" s="520"/>
      <c r="D799" s="906"/>
      <c r="E799" s="907"/>
      <c r="F799" s="908"/>
      <c r="G799" s="909"/>
      <c r="H799" s="910"/>
      <c r="I799" s="907"/>
      <c r="J799" s="912"/>
      <c r="K799" s="909"/>
      <c r="L799" s="913"/>
      <c r="M799" s="620"/>
      <c r="N799" s="620"/>
      <c r="O799" s="620"/>
      <c r="P799" s="620"/>
      <c r="Q799" s="620"/>
      <c r="R799" s="620"/>
      <c r="S799" s="620"/>
      <c r="T799" s="620"/>
      <c r="U799" s="620"/>
    </row>
    <row r="800">
      <c r="A800" s="905"/>
      <c r="B800" s="905"/>
      <c r="C800" s="520"/>
      <c r="D800" s="906"/>
      <c r="E800" s="907"/>
      <c r="F800" s="908"/>
      <c r="G800" s="909"/>
      <c r="H800" s="910"/>
      <c r="I800" s="907"/>
      <c r="J800" s="912"/>
      <c r="K800" s="909"/>
      <c r="L800" s="913"/>
      <c r="M800" s="620"/>
      <c r="N800" s="620"/>
      <c r="O800" s="620"/>
      <c r="P800" s="620"/>
      <c r="Q800" s="620"/>
      <c r="R800" s="620"/>
      <c r="S800" s="620"/>
      <c r="T800" s="620"/>
      <c r="U800" s="620"/>
    </row>
    <row r="801">
      <c r="A801" s="905"/>
      <c r="B801" s="905"/>
      <c r="C801" s="520"/>
      <c r="D801" s="906"/>
      <c r="E801" s="907"/>
      <c r="F801" s="908"/>
      <c r="G801" s="909"/>
      <c r="H801" s="910"/>
      <c r="I801" s="907"/>
      <c r="J801" s="912"/>
      <c r="K801" s="909"/>
      <c r="L801" s="913"/>
      <c r="M801" s="620"/>
      <c r="N801" s="620"/>
      <c r="O801" s="620"/>
      <c r="P801" s="620"/>
      <c r="Q801" s="620"/>
      <c r="R801" s="620"/>
      <c r="S801" s="620"/>
      <c r="T801" s="620"/>
      <c r="U801" s="620"/>
    </row>
    <row r="802">
      <c r="A802" s="905"/>
      <c r="B802" s="905"/>
      <c r="C802" s="520"/>
      <c r="D802" s="906"/>
      <c r="E802" s="907"/>
      <c r="F802" s="908"/>
      <c r="G802" s="909"/>
      <c r="H802" s="910"/>
      <c r="I802" s="907"/>
      <c r="J802" s="912"/>
      <c r="K802" s="909"/>
      <c r="L802" s="913"/>
      <c r="M802" s="620"/>
      <c r="N802" s="620"/>
      <c r="O802" s="620"/>
      <c r="P802" s="620"/>
      <c r="Q802" s="620"/>
      <c r="R802" s="620"/>
      <c r="S802" s="620"/>
      <c r="T802" s="620"/>
      <c r="U802" s="620"/>
    </row>
    <row r="803">
      <c r="A803" s="905"/>
      <c r="B803" s="905"/>
      <c r="C803" s="520"/>
      <c r="D803" s="906"/>
      <c r="E803" s="907"/>
      <c r="F803" s="908"/>
      <c r="G803" s="909"/>
      <c r="H803" s="910"/>
      <c r="I803" s="907"/>
      <c r="J803" s="912"/>
      <c r="K803" s="909"/>
      <c r="L803" s="913"/>
      <c r="M803" s="620"/>
      <c r="N803" s="620"/>
      <c r="O803" s="620"/>
      <c r="P803" s="620"/>
      <c r="Q803" s="620"/>
      <c r="R803" s="620"/>
      <c r="S803" s="620"/>
      <c r="T803" s="620"/>
      <c r="U803" s="620"/>
    </row>
    <row r="804">
      <c r="A804" s="905"/>
      <c r="B804" s="905"/>
      <c r="C804" s="520"/>
      <c r="D804" s="906"/>
      <c r="E804" s="907"/>
      <c r="F804" s="908"/>
      <c r="G804" s="909"/>
      <c r="H804" s="910"/>
      <c r="I804" s="907"/>
      <c r="J804" s="912"/>
      <c r="K804" s="909"/>
      <c r="L804" s="913"/>
      <c r="M804" s="620"/>
      <c r="N804" s="620"/>
      <c r="O804" s="620"/>
      <c r="P804" s="620"/>
      <c r="Q804" s="620"/>
      <c r="R804" s="620"/>
      <c r="S804" s="620"/>
      <c r="T804" s="620"/>
      <c r="U804" s="620"/>
    </row>
    <row r="805">
      <c r="A805" s="905"/>
      <c r="B805" s="905"/>
      <c r="C805" s="520"/>
      <c r="D805" s="906"/>
      <c r="E805" s="907"/>
      <c r="F805" s="908"/>
      <c r="G805" s="909"/>
      <c r="H805" s="910"/>
      <c r="I805" s="907"/>
      <c r="J805" s="912"/>
      <c r="K805" s="909"/>
      <c r="L805" s="913"/>
      <c r="M805" s="620"/>
      <c r="N805" s="620"/>
      <c r="O805" s="620"/>
      <c r="P805" s="620"/>
      <c r="Q805" s="620"/>
      <c r="R805" s="620"/>
      <c r="S805" s="620"/>
      <c r="T805" s="620"/>
      <c r="U805" s="620"/>
    </row>
    <row r="806">
      <c r="A806" s="905"/>
      <c r="B806" s="905"/>
      <c r="C806" s="520"/>
      <c r="D806" s="906"/>
      <c r="E806" s="907"/>
      <c r="F806" s="908"/>
      <c r="G806" s="909"/>
      <c r="H806" s="910"/>
      <c r="I806" s="907"/>
      <c r="J806" s="912"/>
      <c r="K806" s="909"/>
      <c r="L806" s="913"/>
      <c r="M806" s="620"/>
      <c r="N806" s="620"/>
      <c r="O806" s="620"/>
      <c r="P806" s="620"/>
      <c r="Q806" s="620"/>
      <c r="R806" s="620"/>
      <c r="S806" s="620"/>
      <c r="T806" s="620"/>
      <c r="U806" s="620"/>
    </row>
    <row r="807">
      <c r="A807" s="905"/>
      <c r="B807" s="905"/>
      <c r="C807" s="520"/>
      <c r="D807" s="906"/>
      <c r="E807" s="907"/>
      <c r="F807" s="908"/>
      <c r="G807" s="909"/>
      <c r="H807" s="910"/>
      <c r="I807" s="907"/>
      <c r="J807" s="912"/>
      <c r="K807" s="909"/>
      <c r="L807" s="913"/>
      <c r="M807" s="620"/>
      <c r="N807" s="620"/>
      <c r="O807" s="620"/>
      <c r="P807" s="620"/>
      <c r="Q807" s="620"/>
      <c r="R807" s="620"/>
      <c r="S807" s="620"/>
      <c r="T807" s="620"/>
      <c r="U807" s="620"/>
    </row>
    <row r="808">
      <c r="A808" s="905"/>
      <c r="B808" s="905"/>
      <c r="C808" s="520"/>
      <c r="D808" s="906"/>
      <c r="E808" s="907"/>
      <c r="F808" s="908"/>
      <c r="G808" s="909"/>
      <c r="H808" s="910"/>
      <c r="I808" s="907"/>
      <c r="J808" s="912"/>
      <c r="K808" s="909"/>
      <c r="L808" s="913"/>
      <c r="M808" s="620"/>
      <c r="N808" s="620"/>
      <c r="O808" s="620"/>
      <c r="P808" s="620"/>
      <c r="Q808" s="620"/>
      <c r="R808" s="620"/>
      <c r="S808" s="620"/>
      <c r="T808" s="620"/>
      <c r="U808" s="620"/>
    </row>
    <row r="809">
      <c r="A809" s="905"/>
      <c r="B809" s="905"/>
      <c r="C809" s="520"/>
      <c r="D809" s="906"/>
      <c r="E809" s="907"/>
      <c r="F809" s="908"/>
      <c r="G809" s="909"/>
      <c r="H809" s="910"/>
      <c r="I809" s="907"/>
      <c r="J809" s="912"/>
      <c r="K809" s="909"/>
      <c r="L809" s="913"/>
      <c r="M809" s="620"/>
      <c r="N809" s="620"/>
      <c r="O809" s="620"/>
      <c r="P809" s="620"/>
      <c r="Q809" s="620"/>
      <c r="R809" s="620"/>
      <c r="S809" s="620"/>
      <c r="T809" s="620"/>
      <c r="U809" s="620"/>
    </row>
    <row r="810">
      <c r="A810" s="905"/>
      <c r="B810" s="905"/>
      <c r="C810" s="520"/>
      <c r="D810" s="906"/>
      <c r="E810" s="907"/>
      <c r="F810" s="908"/>
      <c r="G810" s="909"/>
      <c r="H810" s="910"/>
      <c r="I810" s="907"/>
      <c r="J810" s="912"/>
      <c r="K810" s="909"/>
      <c r="L810" s="913"/>
      <c r="M810" s="620"/>
      <c r="N810" s="620"/>
      <c r="O810" s="620"/>
      <c r="P810" s="620"/>
      <c r="Q810" s="620"/>
      <c r="R810" s="620"/>
      <c r="S810" s="620"/>
      <c r="T810" s="620"/>
      <c r="U810" s="620"/>
    </row>
    <row r="811">
      <c r="A811" s="905"/>
      <c r="B811" s="905"/>
      <c r="C811" s="520"/>
      <c r="D811" s="906"/>
      <c r="E811" s="907"/>
      <c r="F811" s="908"/>
      <c r="G811" s="909"/>
      <c r="H811" s="910"/>
      <c r="I811" s="907"/>
      <c r="J811" s="912"/>
      <c r="K811" s="909"/>
      <c r="L811" s="913"/>
      <c r="M811" s="620"/>
      <c r="N811" s="620"/>
      <c r="O811" s="620"/>
      <c r="P811" s="620"/>
      <c r="Q811" s="620"/>
      <c r="R811" s="620"/>
      <c r="S811" s="620"/>
      <c r="T811" s="620"/>
      <c r="U811" s="620"/>
    </row>
    <row r="812">
      <c r="A812" s="905"/>
      <c r="B812" s="905"/>
      <c r="C812" s="520"/>
      <c r="D812" s="906"/>
      <c r="E812" s="907"/>
      <c r="F812" s="908"/>
      <c r="G812" s="909"/>
      <c r="H812" s="910"/>
      <c r="I812" s="907"/>
      <c r="J812" s="912"/>
      <c r="K812" s="909"/>
      <c r="L812" s="913"/>
      <c r="M812" s="620"/>
      <c r="N812" s="620"/>
      <c r="O812" s="620"/>
      <c r="P812" s="620"/>
      <c r="Q812" s="620"/>
      <c r="R812" s="620"/>
      <c r="S812" s="620"/>
      <c r="T812" s="620"/>
      <c r="U812" s="620"/>
    </row>
    <row r="813">
      <c r="A813" s="905"/>
      <c r="B813" s="905"/>
      <c r="C813" s="520"/>
      <c r="D813" s="906"/>
      <c r="E813" s="907"/>
      <c r="F813" s="908"/>
      <c r="G813" s="909"/>
      <c r="H813" s="910"/>
      <c r="I813" s="907"/>
      <c r="J813" s="912"/>
      <c r="K813" s="909"/>
      <c r="L813" s="913"/>
      <c r="M813" s="620"/>
      <c r="N813" s="620"/>
      <c r="O813" s="620"/>
      <c r="P813" s="620"/>
      <c r="Q813" s="620"/>
      <c r="R813" s="620"/>
      <c r="S813" s="620"/>
      <c r="T813" s="620"/>
      <c r="U813" s="620"/>
    </row>
    <row r="814">
      <c r="A814" s="905"/>
      <c r="B814" s="905"/>
      <c r="C814" s="520"/>
      <c r="D814" s="906"/>
      <c r="E814" s="907"/>
      <c r="F814" s="908"/>
      <c r="G814" s="909"/>
      <c r="H814" s="910"/>
      <c r="I814" s="907"/>
      <c r="J814" s="912"/>
      <c r="K814" s="909"/>
      <c r="L814" s="913"/>
      <c r="M814" s="620"/>
      <c r="N814" s="620"/>
      <c r="O814" s="620"/>
      <c r="P814" s="620"/>
      <c r="Q814" s="620"/>
      <c r="R814" s="620"/>
      <c r="S814" s="620"/>
      <c r="T814" s="620"/>
      <c r="U814" s="620"/>
    </row>
    <row r="815">
      <c r="A815" s="905"/>
      <c r="B815" s="905"/>
      <c r="C815" s="520"/>
      <c r="D815" s="906"/>
      <c r="E815" s="907"/>
      <c r="F815" s="908"/>
      <c r="G815" s="909"/>
      <c r="H815" s="910"/>
      <c r="I815" s="907"/>
      <c r="J815" s="912"/>
      <c r="K815" s="909"/>
      <c r="L815" s="913"/>
      <c r="M815" s="620"/>
      <c r="N815" s="620"/>
      <c r="O815" s="620"/>
      <c r="P815" s="620"/>
      <c r="Q815" s="620"/>
      <c r="R815" s="620"/>
      <c r="S815" s="620"/>
      <c r="T815" s="620"/>
      <c r="U815" s="620"/>
    </row>
    <row r="816">
      <c r="A816" s="905"/>
      <c r="B816" s="905"/>
      <c r="C816" s="520"/>
      <c r="D816" s="906"/>
      <c r="E816" s="907"/>
      <c r="F816" s="908"/>
      <c r="G816" s="909"/>
      <c r="H816" s="910"/>
      <c r="I816" s="907"/>
      <c r="J816" s="912"/>
      <c r="K816" s="909"/>
      <c r="L816" s="913"/>
      <c r="M816" s="620"/>
      <c r="N816" s="620"/>
      <c r="O816" s="620"/>
      <c r="P816" s="620"/>
      <c r="Q816" s="620"/>
      <c r="R816" s="620"/>
      <c r="S816" s="620"/>
      <c r="T816" s="620"/>
      <c r="U816" s="620"/>
    </row>
    <row r="817">
      <c r="A817" s="905"/>
      <c r="B817" s="905"/>
      <c r="C817" s="520"/>
      <c r="D817" s="906"/>
      <c r="E817" s="907"/>
      <c r="F817" s="908"/>
      <c r="G817" s="909"/>
      <c r="H817" s="910"/>
      <c r="I817" s="907"/>
      <c r="J817" s="912"/>
      <c r="K817" s="909"/>
      <c r="L817" s="913"/>
      <c r="M817" s="620"/>
      <c r="N817" s="620"/>
      <c r="O817" s="620"/>
      <c r="P817" s="620"/>
      <c r="Q817" s="620"/>
      <c r="R817" s="620"/>
      <c r="S817" s="620"/>
      <c r="T817" s="620"/>
      <c r="U817" s="620"/>
    </row>
    <row r="818">
      <c r="A818" s="905"/>
      <c r="B818" s="905"/>
      <c r="C818" s="520"/>
      <c r="D818" s="906"/>
      <c r="E818" s="907"/>
      <c r="F818" s="908"/>
      <c r="G818" s="909"/>
      <c r="H818" s="910"/>
      <c r="I818" s="907"/>
      <c r="J818" s="912"/>
      <c r="K818" s="909"/>
      <c r="L818" s="913"/>
      <c r="M818" s="620"/>
      <c r="N818" s="620"/>
      <c r="O818" s="620"/>
      <c r="P818" s="620"/>
      <c r="Q818" s="620"/>
      <c r="R818" s="620"/>
      <c r="S818" s="620"/>
      <c r="T818" s="620"/>
      <c r="U818" s="620"/>
    </row>
    <row r="819">
      <c r="A819" s="905"/>
      <c r="B819" s="905"/>
      <c r="C819" s="520"/>
      <c r="D819" s="906"/>
      <c r="E819" s="907"/>
      <c r="F819" s="908"/>
      <c r="G819" s="909"/>
      <c r="H819" s="910"/>
      <c r="I819" s="907"/>
      <c r="J819" s="912"/>
      <c r="K819" s="909"/>
      <c r="L819" s="913"/>
      <c r="M819" s="620"/>
      <c r="N819" s="620"/>
      <c r="O819" s="620"/>
      <c r="P819" s="620"/>
      <c r="Q819" s="620"/>
      <c r="R819" s="620"/>
      <c r="S819" s="620"/>
      <c r="T819" s="620"/>
      <c r="U819" s="620"/>
    </row>
    <row r="820">
      <c r="A820" s="905"/>
      <c r="B820" s="905"/>
      <c r="C820" s="520"/>
      <c r="D820" s="906"/>
      <c r="E820" s="907"/>
      <c r="F820" s="908"/>
      <c r="G820" s="909"/>
      <c r="H820" s="910"/>
      <c r="I820" s="907"/>
      <c r="J820" s="912"/>
      <c r="K820" s="909"/>
      <c r="L820" s="913"/>
      <c r="M820" s="620"/>
      <c r="N820" s="620"/>
      <c r="O820" s="620"/>
      <c r="P820" s="620"/>
      <c r="Q820" s="620"/>
      <c r="R820" s="620"/>
      <c r="S820" s="620"/>
      <c r="T820" s="620"/>
      <c r="U820" s="620"/>
    </row>
    <row r="821">
      <c r="A821" s="905"/>
      <c r="B821" s="905"/>
      <c r="C821" s="520"/>
      <c r="D821" s="906"/>
      <c r="E821" s="907"/>
      <c r="F821" s="908"/>
      <c r="G821" s="909"/>
      <c r="H821" s="910"/>
      <c r="I821" s="907"/>
      <c r="J821" s="912"/>
      <c r="K821" s="909"/>
      <c r="L821" s="913"/>
      <c r="M821" s="620"/>
      <c r="N821" s="620"/>
      <c r="O821" s="620"/>
      <c r="P821" s="620"/>
      <c r="Q821" s="620"/>
      <c r="R821" s="620"/>
      <c r="S821" s="620"/>
      <c r="T821" s="620"/>
      <c r="U821" s="620"/>
    </row>
    <row r="822">
      <c r="A822" s="905"/>
      <c r="B822" s="905"/>
      <c r="C822" s="520"/>
      <c r="D822" s="906"/>
      <c r="E822" s="907"/>
      <c r="F822" s="908"/>
      <c r="G822" s="909"/>
      <c r="H822" s="910"/>
      <c r="I822" s="907"/>
      <c r="J822" s="912"/>
      <c r="K822" s="909"/>
      <c r="L822" s="913"/>
      <c r="M822" s="620"/>
      <c r="N822" s="620"/>
      <c r="O822" s="620"/>
      <c r="P822" s="620"/>
      <c r="Q822" s="620"/>
      <c r="R822" s="620"/>
      <c r="S822" s="620"/>
      <c r="T822" s="620"/>
      <c r="U822" s="620"/>
    </row>
    <row r="823">
      <c r="A823" s="905"/>
      <c r="B823" s="905"/>
      <c r="C823" s="520"/>
      <c r="D823" s="906"/>
      <c r="E823" s="907"/>
      <c r="F823" s="908"/>
      <c r="G823" s="909"/>
      <c r="H823" s="910"/>
      <c r="I823" s="907"/>
      <c r="J823" s="912"/>
      <c r="K823" s="909"/>
      <c r="L823" s="913"/>
      <c r="M823" s="620"/>
      <c r="N823" s="620"/>
      <c r="O823" s="620"/>
      <c r="P823" s="620"/>
      <c r="Q823" s="620"/>
      <c r="R823" s="620"/>
      <c r="S823" s="620"/>
      <c r="T823" s="620"/>
      <c r="U823" s="620"/>
    </row>
    <row r="824">
      <c r="A824" s="905"/>
      <c r="B824" s="905"/>
      <c r="C824" s="520"/>
      <c r="D824" s="906"/>
      <c r="E824" s="907"/>
      <c r="F824" s="908"/>
      <c r="G824" s="909"/>
      <c r="H824" s="910"/>
      <c r="I824" s="907"/>
      <c r="J824" s="912"/>
      <c r="K824" s="909"/>
      <c r="L824" s="913"/>
      <c r="M824" s="620"/>
      <c r="N824" s="620"/>
      <c r="O824" s="620"/>
      <c r="P824" s="620"/>
      <c r="Q824" s="620"/>
      <c r="R824" s="620"/>
      <c r="S824" s="620"/>
      <c r="T824" s="620"/>
      <c r="U824" s="620"/>
    </row>
    <row r="825">
      <c r="A825" s="905"/>
      <c r="B825" s="905"/>
      <c r="C825" s="520"/>
      <c r="D825" s="906"/>
      <c r="E825" s="907"/>
      <c r="F825" s="908"/>
      <c r="G825" s="909"/>
      <c r="H825" s="910"/>
      <c r="I825" s="907"/>
      <c r="J825" s="912"/>
      <c r="K825" s="909"/>
      <c r="L825" s="913"/>
      <c r="M825" s="620"/>
      <c r="N825" s="620"/>
      <c r="O825" s="620"/>
      <c r="P825" s="620"/>
      <c r="Q825" s="620"/>
      <c r="R825" s="620"/>
      <c r="S825" s="620"/>
      <c r="T825" s="620"/>
      <c r="U825" s="620"/>
    </row>
    <row r="826">
      <c r="A826" s="905"/>
      <c r="B826" s="905"/>
      <c r="C826" s="520"/>
      <c r="D826" s="906"/>
      <c r="E826" s="907"/>
      <c r="F826" s="908"/>
      <c r="G826" s="909"/>
      <c r="H826" s="910"/>
      <c r="I826" s="907"/>
      <c r="J826" s="912"/>
      <c r="K826" s="909"/>
      <c r="L826" s="913"/>
      <c r="M826" s="620"/>
      <c r="N826" s="620"/>
      <c r="O826" s="620"/>
      <c r="P826" s="620"/>
      <c r="Q826" s="620"/>
      <c r="R826" s="620"/>
      <c r="S826" s="620"/>
      <c r="T826" s="620"/>
      <c r="U826" s="620"/>
    </row>
    <row r="827">
      <c r="A827" s="905"/>
      <c r="B827" s="905"/>
      <c r="C827" s="520"/>
      <c r="D827" s="906"/>
      <c r="E827" s="907"/>
      <c r="F827" s="908"/>
      <c r="G827" s="909"/>
      <c r="H827" s="910"/>
      <c r="I827" s="907"/>
      <c r="J827" s="912"/>
      <c r="K827" s="909"/>
      <c r="L827" s="913"/>
      <c r="M827" s="620"/>
      <c r="N827" s="620"/>
      <c r="O827" s="620"/>
      <c r="P827" s="620"/>
      <c r="Q827" s="620"/>
      <c r="R827" s="620"/>
      <c r="S827" s="620"/>
      <c r="T827" s="620"/>
      <c r="U827" s="620"/>
    </row>
    <row r="828">
      <c r="A828" s="905"/>
      <c r="B828" s="905"/>
      <c r="C828" s="520"/>
      <c r="D828" s="906"/>
      <c r="E828" s="907"/>
      <c r="F828" s="908"/>
      <c r="G828" s="909"/>
      <c r="H828" s="910"/>
      <c r="I828" s="907"/>
      <c r="J828" s="912"/>
      <c r="K828" s="909"/>
      <c r="L828" s="913"/>
      <c r="M828" s="620"/>
      <c r="N828" s="620"/>
      <c r="O828" s="620"/>
      <c r="P828" s="620"/>
      <c r="Q828" s="620"/>
      <c r="R828" s="620"/>
      <c r="S828" s="620"/>
      <c r="T828" s="620"/>
      <c r="U828" s="620"/>
    </row>
    <row r="829">
      <c r="A829" s="905"/>
      <c r="B829" s="905"/>
      <c r="C829" s="520"/>
      <c r="D829" s="906"/>
      <c r="E829" s="907"/>
      <c r="F829" s="908"/>
      <c r="G829" s="909"/>
      <c r="H829" s="910"/>
      <c r="I829" s="907"/>
      <c r="J829" s="912"/>
      <c r="K829" s="909"/>
      <c r="L829" s="913"/>
      <c r="M829" s="620"/>
      <c r="N829" s="620"/>
      <c r="O829" s="620"/>
      <c r="P829" s="620"/>
      <c r="Q829" s="620"/>
      <c r="R829" s="620"/>
      <c r="S829" s="620"/>
      <c r="T829" s="620"/>
      <c r="U829" s="620"/>
    </row>
    <row r="830">
      <c r="A830" s="905"/>
      <c r="B830" s="905"/>
      <c r="C830" s="520"/>
      <c r="D830" s="906"/>
      <c r="E830" s="907"/>
      <c r="F830" s="908"/>
      <c r="G830" s="909"/>
      <c r="H830" s="910"/>
      <c r="I830" s="907"/>
      <c r="J830" s="912"/>
      <c r="K830" s="909"/>
      <c r="L830" s="913"/>
      <c r="M830" s="620"/>
      <c r="N830" s="620"/>
      <c r="O830" s="620"/>
      <c r="P830" s="620"/>
      <c r="Q830" s="620"/>
      <c r="R830" s="620"/>
      <c r="S830" s="620"/>
      <c r="T830" s="620"/>
      <c r="U830" s="620"/>
    </row>
    <row r="831">
      <c r="A831" s="905"/>
      <c r="B831" s="905"/>
      <c r="C831" s="520"/>
      <c r="D831" s="906"/>
      <c r="E831" s="907"/>
      <c r="F831" s="908"/>
      <c r="G831" s="909"/>
      <c r="H831" s="910"/>
      <c r="I831" s="907"/>
      <c r="J831" s="912"/>
      <c r="K831" s="909"/>
      <c r="L831" s="913"/>
      <c r="M831" s="620"/>
      <c r="N831" s="620"/>
      <c r="O831" s="620"/>
      <c r="P831" s="620"/>
      <c r="Q831" s="620"/>
      <c r="R831" s="620"/>
      <c r="S831" s="620"/>
      <c r="T831" s="620"/>
      <c r="U831" s="620"/>
    </row>
    <row r="832">
      <c r="A832" s="905"/>
      <c r="B832" s="905"/>
      <c r="C832" s="520"/>
      <c r="D832" s="906"/>
      <c r="E832" s="907"/>
      <c r="F832" s="908"/>
      <c r="G832" s="909"/>
      <c r="H832" s="910"/>
      <c r="I832" s="907"/>
      <c r="J832" s="912"/>
      <c r="K832" s="909"/>
      <c r="L832" s="913"/>
      <c r="M832" s="620"/>
      <c r="N832" s="620"/>
      <c r="O832" s="620"/>
      <c r="P832" s="620"/>
      <c r="Q832" s="620"/>
      <c r="R832" s="620"/>
      <c r="S832" s="620"/>
      <c r="T832" s="620"/>
      <c r="U832" s="620"/>
    </row>
    <row r="833">
      <c r="A833" s="905"/>
      <c r="B833" s="905"/>
      <c r="C833" s="520"/>
      <c r="D833" s="906"/>
      <c r="E833" s="907"/>
      <c r="F833" s="908"/>
      <c r="G833" s="909"/>
      <c r="H833" s="910"/>
      <c r="I833" s="907"/>
      <c r="J833" s="912"/>
      <c r="K833" s="909"/>
      <c r="L833" s="913"/>
      <c r="M833" s="620"/>
      <c r="N833" s="620"/>
      <c r="O833" s="620"/>
      <c r="P833" s="620"/>
      <c r="Q833" s="620"/>
      <c r="R833" s="620"/>
      <c r="S833" s="620"/>
      <c r="T833" s="620"/>
      <c r="U833" s="620"/>
    </row>
    <row r="834">
      <c r="A834" s="905"/>
      <c r="B834" s="905"/>
      <c r="C834" s="520"/>
      <c r="D834" s="906"/>
      <c r="E834" s="907"/>
      <c r="F834" s="908"/>
      <c r="G834" s="909"/>
      <c r="H834" s="910"/>
      <c r="I834" s="907"/>
      <c r="J834" s="912"/>
      <c r="K834" s="909"/>
      <c r="L834" s="913"/>
      <c r="M834" s="620"/>
      <c r="N834" s="620"/>
      <c r="O834" s="620"/>
      <c r="P834" s="620"/>
      <c r="Q834" s="620"/>
      <c r="R834" s="620"/>
      <c r="S834" s="620"/>
      <c r="T834" s="620"/>
      <c r="U834" s="620"/>
    </row>
    <row r="835">
      <c r="A835" s="905"/>
      <c r="B835" s="905"/>
      <c r="C835" s="520"/>
      <c r="D835" s="906"/>
      <c r="E835" s="907"/>
      <c r="F835" s="908"/>
      <c r="G835" s="909"/>
      <c r="H835" s="910"/>
      <c r="I835" s="907"/>
      <c r="J835" s="912"/>
      <c r="K835" s="909"/>
      <c r="L835" s="913"/>
      <c r="M835" s="620"/>
      <c r="N835" s="620"/>
      <c r="O835" s="620"/>
      <c r="P835" s="620"/>
      <c r="Q835" s="620"/>
      <c r="R835" s="620"/>
      <c r="S835" s="620"/>
      <c r="T835" s="620"/>
      <c r="U835" s="620"/>
    </row>
    <row r="836">
      <c r="A836" s="905"/>
      <c r="B836" s="905"/>
      <c r="C836" s="520"/>
      <c r="D836" s="906"/>
      <c r="E836" s="907"/>
      <c r="F836" s="908"/>
      <c r="G836" s="909"/>
      <c r="H836" s="910"/>
      <c r="I836" s="907"/>
      <c r="J836" s="912"/>
      <c r="K836" s="909"/>
      <c r="L836" s="913"/>
      <c r="M836" s="620"/>
      <c r="N836" s="620"/>
      <c r="O836" s="620"/>
      <c r="P836" s="620"/>
      <c r="Q836" s="620"/>
      <c r="R836" s="620"/>
      <c r="S836" s="620"/>
      <c r="T836" s="620"/>
      <c r="U836" s="620"/>
    </row>
    <row r="837">
      <c r="A837" s="905"/>
      <c r="B837" s="905"/>
      <c r="C837" s="520"/>
      <c r="D837" s="906"/>
      <c r="E837" s="907"/>
      <c r="F837" s="908"/>
      <c r="G837" s="909"/>
      <c r="H837" s="910"/>
      <c r="I837" s="907"/>
      <c r="J837" s="912"/>
      <c r="K837" s="909"/>
      <c r="L837" s="913"/>
      <c r="M837" s="620"/>
      <c r="N837" s="620"/>
      <c r="O837" s="620"/>
      <c r="P837" s="620"/>
      <c r="Q837" s="620"/>
      <c r="R837" s="620"/>
      <c r="S837" s="620"/>
      <c r="T837" s="620"/>
      <c r="U837" s="620"/>
    </row>
    <row r="838">
      <c r="A838" s="905"/>
      <c r="B838" s="905"/>
      <c r="C838" s="520"/>
      <c r="D838" s="906"/>
      <c r="E838" s="907"/>
      <c r="F838" s="908"/>
      <c r="G838" s="909"/>
      <c r="H838" s="910"/>
      <c r="I838" s="907"/>
      <c r="J838" s="912"/>
      <c r="K838" s="909"/>
      <c r="L838" s="913"/>
      <c r="M838" s="620"/>
      <c r="N838" s="620"/>
      <c r="O838" s="620"/>
      <c r="P838" s="620"/>
      <c r="Q838" s="620"/>
      <c r="R838" s="620"/>
      <c r="S838" s="620"/>
      <c r="T838" s="620"/>
      <c r="U838" s="620"/>
    </row>
    <row r="839">
      <c r="A839" s="905"/>
      <c r="B839" s="905"/>
      <c r="C839" s="520"/>
      <c r="D839" s="906"/>
      <c r="E839" s="907"/>
      <c r="F839" s="908"/>
      <c r="G839" s="909"/>
      <c r="H839" s="910"/>
      <c r="I839" s="907"/>
      <c r="J839" s="912"/>
      <c r="K839" s="909"/>
      <c r="L839" s="913"/>
      <c r="M839" s="620"/>
      <c r="N839" s="620"/>
      <c r="O839" s="620"/>
      <c r="P839" s="620"/>
      <c r="Q839" s="620"/>
      <c r="R839" s="620"/>
      <c r="S839" s="620"/>
      <c r="T839" s="620"/>
      <c r="U839" s="620"/>
    </row>
    <row r="840">
      <c r="A840" s="905"/>
      <c r="B840" s="905"/>
      <c r="C840" s="520"/>
      <c r="D840" s="906"/>
      <c r="E840" s="907"/>
      <c r="F840" s="908"/>
      <c r="G840" s="909"/>
      <c r="H840" s="910"/>
      <c r="I840" s="907"/>
      <c r="J840" s="912"/>
      <c r="K840" s="909"/>
      <c r="L840" s="913"/>
      <c r="M840" s="620"/>
      <c r="N840" s="620"/>
      <c r="O840" s="620"/>
      <c r="P840" s="620"/>
      <c r="Q840" s="620"/>
      <c r="R840" s="620"/>
      <c r="S840" s="620"/>
      <c r="T840" s="620"/>
      <c r="U840" s="620"/>
    </row>
    <row r="841">
      <c r="A841" s="905"/>
      <c r="B841" s="905"/>
      <c r="C841" s="520"/>
      <c r="D841" s="906"/>
      <c r="E841" s="907"/>
      <c r="F841" s="908"/>
      <c r="G841" s="909"/>
      <c r="H841" s="910"/>
      <c r="I841" s="907"/>
      <c r="J841" s="912"/>
      <c r="K841" s="909"/>
      <c r="L841" s="913"/>
      <c r="M841" s="620"/>
      <c r="N841" s="620"/>
      <c r="O841" s="620"/>
      <c r="P841" s="620"/>
      <c r="Q841" s="620"/>
      <c r="R841" s="620"/>
      <c r="S841" s="620"/>
      <c r="T841" s="620"/>
      <c r="U841" s="620"/>
    </row>
    <row r="842">
      <c r="A842" s="905"/>
      <c r="B842" s="905"/>
      <c r="C842" s="520"/>
      <c r="D842" s="906"/>
      <c r="E842" s="907"/>
      <c r="F842" s="908"/>
      <c r="G842" s="909"/>
      <c r="H842" s="910"/>
      <c r="I842" s="907"/>
      <c r="J842" s="912"/>
      <c r="K842" s="909"/>
      <c r="L842" s="913"/>
      <c r="M842" s="620"/>
      <c r="N842" s="620"/>
      <c r="O842" s="620"/>
      <c r="P842" s="620"/>
      <c r="Q842" s="620"/>
      <c r="R842" s="620"/>
      <c r="S842" s="620"/>
      <c r="T842" s="620"/>
      <c r="U842" s="620"/>
    </row>
    <row r="843">
      <c r="A843" s="905"/>
      <c r="B843" s="905"/>
      <c r="C843" s="520"/>
      <c r="D843" s="906"/>
      <c r="E843" s="907"/>
      <c r="F843" s="908"/>
      <c r="G843" s="909"/>
      <c r="H843" s="910"/>
      <c r="I843" s="907"/>
      <c r="J843" s="912"/>
      <c r="K843" s="909"/>
      <c r="L843" s="913"/>
      <c r="M843" s="620"/>
      <c r="N843" s="620"/>
      <c r="O843" s="620"/>
      <c r="P843" s="620"/>
      <c r="Q843" s="620"/>
      <c r="R843" s="620"/>
      <c r="S843" s="620"/>
      <c r="T843" s="620"/>
      <c r="U843" s="620"/>
    </row>
    <row r="844">
      <c r="A844" s="905"/>
      <c r="B844" s="905"/>
      <c r="C844" s="520"/>
      <c r="D844" s="906"/>
      <c r="E844" s="907"/>
      <c r="F844" s="908"/>
      <c r="G844" s="909"/>
      <c r="H844" s="910"/>
      <c r="I844" s="907"/>
      <c r="J844" s="912"/>
      <c r="K844" s="909"/>
      <c r="L844" s="913"/>
      <c r="M844" s="620"/>
      <c r="N844" s="620"/>
      <c r="O844" s="620"/>
      <c r="P844" s="620"/>
      <c r="Q844" s="620"/>
      <c r="R844" s="620"/>
      <c r="S844" s="620"/>
      <c r="T844" s="620"/>
      <c r="U844" s="620"/>
    </row>
    <row r="845">
      <c r="A845" s="905"/>
      <c r="B845" s="905"/>
      <c r="C845" s="520"/>
      <c r="D845" s="906"/>
      <c r="E845" s="907"/>
      <c r="F845" s="908"/>
      <c r="G845" s="909"/>
      <c r="H845" s="910"/>
      <c r="I845" s="907"/>
      <c r="J845" s="912"/>
      <c r="K845" s="909"/>
      <c r="L845" s="913"/>
      <c r="M845" s="620"/>
      <c r="N845" s="620"/>
      <c r="O845" s="620"/>
      <c r="P845" s="620"/>
      <c r="Q845" s="620"/>
      <c r="R845" s="620"/>
      <c r="S845" s="620"/>
      <c r="T845" s="620"/>
      <c r="U845" s="620"/>
    </row>
    <row r="846">
      <c r="A846" s="905"/>
      <c r="B846" s="905"/>
      <c r="C846" s="520"/>
      <c r="D846" s="906"/>
      <c r="E846" s="907"/>
      <c r="F846" s="908"/>
      <c r="G846" s="909"/>
      <c r="H846" s="910"/>
      <c r="I846" s="907"/>
      <c r="J846" s="912"/>
      <c r="K846" s="909"/>
      <c r="L846" s="913"/>
      <c r="M846" s="620"/>
      <c r="N846" s="620"/>
      <c r="O846" s="620"/>
      <c r="P846" s="620"/>
      <c r="Q846" s="620"/>
      <c r="R846" s="620"/>
      <c r="S846" s="620"/>
      <c r="T846" s="620"/>
      <c r="U846" s="620"/>
    </row>
    <row r="847">
      <c r="A847" s="905"/>
      <c r="B847" s="905"/>
      <c r="C847" s="520"/>
      <c r="D847" s="906"/>
      <c r="E847" s="907"/>
      <c r="F847" s="908"/>
      <c r="G847" s="909"/>
      <c r="H847" s="910"/>
      <c r="I847" s="907"/>
      <c r="J847" s="912"/>
      <c r="K847" s="909"/>
      <c r="L847" s="913"/>
      <c r="M847" s="620"/>
      <c r="N847" s="620"/>
      <c r="O847" s="620"/>
      <c r="P847" s="620"/>
      <c r="Q847" s="620"/>
      <c r="R847" s="620"/>
      <c r="S847" s="620"/>
      <c r="T847" s="620"/>
      <c r="U847" s="620"/>
    </row>
    <row r="848">
      <c r="A848" s="905"/>
      <c r="B848" s="905"/>
      <c r="C848" s="520"/>
      <c r="D848" s="906"/>
      <c r="E848" s="907"/>
      <c r="F848" s="908"/>
      <c r="G848" s="909"/>
      <c r="H848" s="910"/>
      <c r="I848" s="907"/>
      <c r="J848" s="912"/>
      <c r="K848" s="909"/>
      <c r="L848" s="913"/>
      <c r="M848" s="620"/>
      <c r="N848" s="620"/>
      <c r="O848" s="620"/>
      <c r="P848" s="620"/>
      <c r="Q848" s="620"/>
      <c r="R848" s="620"/>
      <c r="S848" s="620"/>
      <c r="T848" s="620"/>
      <c r="U848" s="620"/>
    </row>
    <row r="849">
      <c r="A849" s="905"/>
      <c r="B849" s="905"/>
      <c r="C849" s="520"/>
      <c r="D849" s="906"/>
      <c r="E849" s="907"/>
      <c r="F849" s="908"/>
      <c r="G849" s="909"/>
      <c r="H849" s="910"/>
      <c r="I849" s="907"/>
      <c r="J849" s="912"/>
      <c r="K849" s="909"/>
      <c r="L849" s="913"/>
      <c r="M849" s="620"/>
      <c r="N849" s="620"/>
      <c r="O849" s="620"/>
      <c r="P849" s="620"/>
      <c r="Q849" s="620"/>
      <c r="R849" s="620"/>
      <c r="S849" s="620"/>
      <c r="T849" s="620"/>
      <c r="U849" s="620"/>
    </row>
    <row r="850">
      <c r="A850" s="905"/>
      <c r="B850" s="905"/>
      <c r="C850" s="520"/>
      <c r="D850" s="906"/>
      <c r="E850" s="907"/>
      <c r="F850" s="908"/>
      <c r="G850" s="909"/>
      <c r="H850" s="910"/>
      <c r="I850" s="907"/>
      <c r="J850" s="912"/>
      <c r="K850" s="909"/>
      <c r="L850" s="913"/>
      <c r="M850" s="620"/>
      <c r="N850" s="620"/>
      <c r="O850" s="620"/>
      <c r="P850" s="620"/>
      <c r="Q850" s="620"/>
      <c r="R850" s="620"/>
      <c r="S850" s="620"/>
      <c r="T850" s="620"/>
      <c r="U850" s="620"/>
    </row>
    <row r="851">
      <c r="A851" s="905"/>
      <c r="B851" s="905"/>
      <c r="C851" s="520"/>
      <c r="D851" s="906"/>
      <c r="E851" s="907"/>
      <c r="F851" s="908"/>
      <c r="G851" s="909"/>
      <c r="H851" s="910"/>
      <c r="I851" s="907"/>
      <c r="J851" s="912"/>
      <c r="K851" s="909"/>
      <c r="L851" s="913"/>
      <c r="M851" s="620"/>
      <c r="N851" s="620"/>
      <c r="O851" s="620"/>
      <c r="P851" s="620"/>
      <c r="Q851" s="620"/>
      <c r="R851" s="620"/>
      <c r="S851" s="620"/>
      <c r="T851" s="620"/>
      <c r="U851" s="620"/>
    </row>
    <row r="852">
      <c r="A852" s="905"/>
      <c r="B852" s="905"/>
      <c r="C852" s="520"/>
      <c r="D852" s="906"/>
      <c r="E852" s="907"/>
      <c r="F852" s="908"/>
      <c r="G852" s="909"/>
      <c r="H852" s="910"/>
      <c r="I852" s="907"/>
      <c r="J852" s="912"/>
      <c r="K852" s="909"/>
      <c r="L852" s="913"/>
      <c r="M852" s="620"/>
      <c r="N852" s="620"/>
      <c r="O852" s="620"/>
      <c r="P852" s="620"/>
      <c r="Q852" s="620"/>
      <c r="R852" s="620"/>
      <c r="S852" s="620"/>
      <c r="T852" s="620"/>
      <c r="U852" s="620"/>
    </row>
    <row r="853">
      <c r="A853" s="905"/>
      <c r="B853" s="905"/>
      <c r="C853" s="520"/>
      <c r="D853" s="906"/>
      <c r="E853" s="907"/>
      <c r="F853" s="908"/>
      <c r="G853" s="909"/>
      <c r="H853" s="910"/>
      <c r="I853" s="907"/>
      <c r="J853" s="912"/>
      <c r="K853" s="909"/>
      <c r="L853" s="913"/>
      <c r="M853" s="620"/>
      <c r="N853" s="620"/>
      <c r="O853" s="620"/>
      <c r="P853" s="620"/>
      <c r="Q853" s="620"/>
      <c r="R853" s="620"/>
      <c r="S853" s="620"/>
      <c r="T853" s="620"/>
      <c r="U853" s="620"/>
    </row>
    <row r="854">
      <c r="A854" s="905"/>
      <c r="B854" s="905"/>
      <c r="C854" s="520"/>
      <c r="D854" s="906"/>
      <c r="E854" s="907"/>
      <c r="F854" s="908"/>
      <c r="G854" s="909"/>
      <c r="H854" s="910"/>
      <c r="I854" s="907"/>
      <c r="J854" s="912"/>
      <c r="K854" s="909"/>
      <c r="L854" s="913"/>
      <c r="M854" s="620"/>
      <c r="N854" s="620"/>
      <c r="O854" s="620"/>
      <c r="P854" s="620"/>
      <c r="Q854" s="620"/>
      <c r="R854" s="620"/>
      <c r="S854" s="620"/>
      <c r="T854" s="620"/>
      <c r="U854" s="620"/>
    </row>
    <row r="855">
      <c r="A855" s="905"/>
      <c r="B855" s="905"/>
      <c r="C855" s="520"/>
      <c r="D855" s="906"/>
      <c r="E855" s="907"/>
      <c r="F855" s="908"/>
      <c r="G855" s="909"/>
      <c r="H855" s="910"/>
      <c r="I855" s="907"/>
      <c r="J855" s="912"/>
      <c r="K855" s="909"/>
      <c r="L855" s="913"/>
      <c r="M855" s="620"/>
      <c r="N855" s="620"/>
      <c r="O855" s="620"/>
      <c r="P855" s="620"/>
      <c r="Q855" s="620"/>
      <c r="R855" s="620"/>
      <c r="S855" s="620"/>
      <c r="T855" s="620"/>
      <c r="U855" s="620"/>
    </row>
    <row r="856">
      <c r="A856" s="905"/>
      <c r="B856" s="905"/>
      <c r="C856" s="520"/>
      <c r="D856" s="906"/>
      <c r="E856" s="907"/>
      <c r="F856" s="908"/>
      <c r="G856" s="909"/>
      <c r="H856" s="910"/>
      <c r="I856" s="907"/>
      <c r="J856" s="912"/>
      <c r="K856" s="909"/>
      <c r="L856" s="913"/>
      <c r="M856" s="620"/>
      <c r="N856" s="620"/>
      <c r="O856" s="620"/>
      <c r="P856" s="620"/>
      <c r="Q856" s="620"/>
      <c r="R856" s="620"/>
      <c r="S856" s="620"/>
      <c r="T856" s="620"/>
      <c r="U856" s="620"/>
    </row>
    <row r="857">
      <c r="A857" s="905"/>
      <c r="B857" s="905"/>
      <c r="C857" s="520"/>
      <c r="D857" s="906"/>
      <c r="E857" s="907"/>
      <c r="F857" s="908"/>
      <c r="G857" s="909"/>
      <c r="H857" s="910"/>
      <c r="I857" s="907"/>
      <c r="J857" s="912"/>
      <c r="K857" s="909"/>
      <c r="L857" s="913"/>
      <c r="M857" s="620"/>
      <c r="N857" s="620"/>
      <c r="O857" s="620"/>
      <c r="P857" s="620"/>
      <c r="Q857" s="620"/>
      <c r="R857" s="620"/>
      <c r="S857" s="620"/>
      <c r="T857" s="620"/>
      <c r="U857" s="620"/>
    </row>
    <row r="858">
      <c r="A858" s="905"/>
      <c r="B858" s="905"/>
      <c r="C858" s="520"/>
      <c r="D858" s="906"/>
      <c r="E858" s="907"/>
      <c r="F858" s="908"/>
      <c r="G858" s="909"/>
      <c r="H858" s="910"/>
      <c r="I858" s="907"/>
      <c r="J858" s="912"/>
      <c r="K858" s="909"/>
      <c r="L858" s="913"/>
      <c r="M858" s="620"/>
      <c r="N858" s="620"/>
      <c r="O858" s="620"/>
      <c r="P858" s="620"/>
      <c r="Q858" s="620"/>
      <c r="R858" s="620"/>
      <c r="S858" s="620"/>
      <c r="T858" s="620"/>
      <c r="U858" s="620"/>
    </row>
    <row r="859">
      <c r="A859" s="905"/>
      <c r="B859" s="905"/>
      <c r="C859" s="520"/>
      <c r="D859" s="906"/>
      <c r="E859" s="907"/>
      <c r="F859" s="908"/>
      <c r="G859" s="909"/>
      <c r="H859" s="910"/>
      <c r="I859" s="907"/>
      <c r="J859" s="912"/>
      <c r="K859" s="909"/>
      <c r="L859" s="913"/>
      <c r="M859" s="620"/>
      <c r="N859" s="620"/>
      <c r="O859" s="620"/>
      <c r="P859" s="620"/>
      <c r="Q859" s="620"/>
      <c r="R859" s="620"/>
      <c r="S859" s="620"/>
      <c r="T859" s="620"/>
      <c r="U859" s="620"/>
    </row>
    <row r="860">
      <c r="A860" s="905"/>
      <c r="B860" s="905"/>
      <c r="C860" s="520"/>
      <c r="D860" s="906"/>
      <c r="E860" s="907"/>
      <c r="F860" s="908"/>
      <c r="G860" s="909"/>
      <c r="H860" s="910"/>
      <c r="I860" s="907"/>
      <c r="J860" s="912"/>
      <c r="K860" s="909"/>
      <c r="L860" s="913"/>
      <c r="M860" s="620"/>
      <c r="N860" s="620"/>
      <c r="O860" s="620"/>
      <c r="P860" s="620"/>
      <c r="Q860" s="620"/>
      <c r="R860" s="620"/>
      <c r="S860" s="620"/>
      <c r="T860" s="620"/>
      <c r="U860" s="620"/>
    </row>
    <row r="861">
      <c r="A861" s="905"/>
      <c r="B861" s="905"/>
      <c r="C861" s="520"/>
      <c r="D861" s="906"/>
      <c r="E861" s="907"/>
      <c r="F861" s="908"/>
      <c r="G861" s="909"/>
      <c r="H861" s="910"/>
      <c r="I861" s="907"/>
      <c r="J861" s="912"/>
      <c r="K861" s="909"/>
      <c r="L861" s="913"/>
      <c r="M861" s="620"/>
      <c r="N861" s="620"/>
      <c r="O861" s="620"/>
      <c r="P861" s="620"/>
      <c r="Q861" s="620"/>
      <c r="R861" s="620"/>
      <c r="S861" s="620"/>
      <c r="T861" s="620"/>
      <c r="U861" s="620"/>
    </row>
    <row r="862">
      <c r="A862" s="905"/>
      <c r="B862" s="905"/>
      <c r="C862" s="520"/>
      <c r="D862" s="906"/>
      <c r="E862" s="907"/>
      <c r="F862" s="908"/>
      <c r="G862" s="909"/>
      <c r="H862" s="910"/>
      <c r="I862" s="907"/>
      <c r="J862" s="912"/>
      <c r="K862" s="909"/>
      <c r="L862" s="913"/>
      <c r="M862" s="620"/>
      <c r="N862" s="620"/>
      <c r="O862" s="620"/>
      <c r="P862" s="620"/>
      <c r="Q862" s="620"/>
      <c r="R862" s="620"/>
      <c r="S862" s="620"/>
      <c r="T862" s="620"/>
      <c r="U862" s="620"/>
    </row>
    <row r="863">
      <c r="A863" s="905"/>
      <c r="B863" s="905"/>
      <c r="C863" s="520"/>
      <c r="D863" s="906"/>
      <c r="E863" s="907"/>
      <c r="F863" s="908"/>
      <c r="G863" s="909"/>
      <c r="H863" s="910"/>
      <c r="I863" s="907"/>
      <c r="J863" s="912"/>
      <c r="K863" s="909"/>
      <c r="L863" s="913"/>
      <c r="M863" s="620"/>
      <c r="N863" s="620"/>
      <c r="O863" s="620"/>
      <c r="P863" s="620"/>
      <c r="Q863" s="620"/>
      <c r="R863" s="620"/>
      <c r="S863" s="620"/>
      <c r="T863" s="620"/>
      <c r="U863" s="620"/>
    </row>
    <row r="864">
      <c r="A864" s="905"/>
      <c r="B864" s="905"/>
      <c r="C864" s="520"/>
      <c r="D864" s="906"/>
      <c r="E864" s="907"/>
      <c r="F864" s="908"/>
      <c r="G864" s="909"/>
      <c r="H864" s="910"/>
      <c r="I864" s="907"/>
      <c r="J864" s="912"/>
      <c r="K864" s="909"/>
      <c r="L864" s="913"/>
      <c r="M864" s="620"/>
      <c r="N864" s="620"/>
      <c r="O864" s="620"/>
      <c r="P864" s="620"/>
      <c r="Q864" s="620"/>
      <c r="R864" s="620"/>
      <c r="S864" s="620"/>
      <c r="T864" s="620"/>
      <c r="U864" s="620"/>
    </row>
    <row r="865">
      <c r="A865" s="905"/>
      <c r="B865" s="905"/>
      <c r="C865" s="520"/>
      <c r="D865" s="906"/>
      <c r="E865" s="907"/>
      <c r="F865" s="908"/>
      <c r="G865" s="909"/>
      <c r="H865" s="910"/>
      <c r="I865" s="907"/>
      <c r="J865" s="912"/>
      <c r="K865" s="909"/>
      <c r="L865" s="913"/>
      <c r="M865" s="620"/>
      <c r="N865" s="620"/>
      <c r="O865" s="620"/>
      <c r="P865" s="620"/>
      <c r="Q865" s="620"/>
      <c r="R865" s="620"/>
      <c r="S865" s="620"/>
      <c r="T865" s="620"/>
      <c r="U865" s="620"/>
    </row>
    <row r="866">
      <c r="A866" s="905"/>
      <c r="B866" s="905"/>
      <c r="C866" s="520"/>
      <c r="D866" s="906"/>
      <c r="E866" s="907"/>
      <c r="F866" s="908"/>
      <c r="G866" s="909"/>
      <c r="H866" s="910"/>
      <c r="I866" s="907"/>
      <c r="J866" s="912"/>
      <c r="K866" s="909"/>
      <c r="L866" s="913"/>
      <c r="M866" s="620"/>
      <c r="N866" s="620"/>
      <c r="O866" s="620"/>
      <c r="P866" s="620"/>
      <c r="Q866" s="620"/>
      <c r="R866" s="620"/>
      <c r="S866" s="620"/>
      <c r="T866" s="620"/>
      <c r="U866" s="620"/>
    </row>
    <row r="867">
      <c r="A867" s="905"/>
      <c r="B867" s="905"/>
      <c r="C867" s="520"/>
      <c r="D867" s="906"/>
      <c r="E867" s="907"/>
      <c r="F867" s="908"/>
      <c r="G867" s="909"/>
      <c r="H867" s="910"/>
      <c r="I867" s="907"/>
      <c r="J867" s="912"/>
      <c r="K867" s="909"/>
      <c r="L867" s="913"/>
      <c r="M867" s="620"/>
      <c r="N867" s="620"/>
      <c r="O867" s="620"/>
      <c r="P867" s="620"/>
      <c r="Q867" s="620"/>
      <c r="R867" s="620"/>
      <c r="S867" s="620"/>
      <c r="T867" s="620"/>
      <c r="U867" s="620"/>
    </row>
    <row r="868">
      <c r="A868" s="905"/>
      <c r="B868" s="905"/>
      <c r="C868" s="520"/>
      <c r="D868" s="906"/>
      <c r="E868" s="907"/>
      <c r="F868" s="908"/>
      <c r="G868" s="909"/>
      <c r="H868" s="910"/>
      <c r="I868" s="907"/>
      <c r="J868" s="912"/>
      <c r="K868" s="909"/>
      <c r="L868" s="913"/>
      <c r="M868" s="620"/>
      <c r="N868" s="620"/>
      <c r="O868" s="620"/>
      <c r="P868" s="620"/>
      <c r="Q868" s="620"/>
      <c r="R868" s="620"/>
      <c r="S868" s="620"/>
      <c r="T868" s="620"/>
      <c r="U868" s="620"/>
    </row>
    <row r="869">
      <c r="A869" s="905"/>
      <c r="B869" s="905"/>
      <c r="C869" s="520"/>
      <c r="D869" s="906"/>
      <c r="E869" s="907"/>
      <c r="F869" s="908"/>
      <c r="G869" s="909"/>
      <c r="H869" s="910"/>
      <c r="I869" s="907"/>
      <c r="J869" s="912"/>
      <c r="K869" s="909"/>
      <c r="L869" s="913"/>
      <c r="M869" s="620"/>
      <c r="N869" s="620"/>
      <c r="O869" s="620"/>
      <c r="P869" s="620"/>
      <c r="Q869" s="620"/>
      <c r="R869" s="620"/>
      <c r="S869" s="620"/>
      <c r="T869" s="620"/>
      <c r="U869" s="620"/>
    </row>
    <row r="870">
      <c r="A870" s="905"/>
      <c r="B870" s="905"/>
      <c r="C870" s="520"/>
      <c r="D870" s="906"/>
      <c r="E870" s="907"/>
      <c r="F870" s="908"/>
      <c r="G870" s="909"/>
      <c r="H870" s="910"/>
      <c r="I870" s="907"/>
      <c r="J870" s="912"/>
      <c r="K870" s="909"/>
      <c r="L870" s="913"/>
      <c r="M870" s="620"/>
      <c r="N870" s="620"/>
      <c r="O870" s="620"/>
      <c r="P870" s="620"/>
      <c r="Q870" s="620"/>
      <c r="R870" s="620"/>
      <c r="S870" s="620"/>
      <c r="T870" s="620"/>
      <c r="U870" s="620"/>
    </row>
    <row r="871">
      <c r="A871" s="905"/>
      <c r="B871" s="905"/>
      <c r="C871" s="520"/>
      <c r="D871" s="906"/>
      <c r="E871" s="907"/>
      <c r="F871" s="908"/>
      <c r="G871" s="909"/>
      <c r="H871" s="910"/>
      <c r="I871" s="907"/>
      <c r="J871" s="912"/>
      <c r="K871" s="909"/>
      <c r="L871" s="913"/>
      <c r="M871" s="620"/>
      <c r="N871" s="620"/>
      <c r="O871" s="620"/>
      <c r="P871" s="620"/>
      <c r="Q871" s="620"/>
      <c r="R871" s="620"/>
      <c r="S871" s="620"/>
      <c r="T871" s="620"/>
      <c r="U871" s="620"/>
    </row>
    <row r="872">
      <c r="A872" s="905"/>
      <c r="B872" s="905"/>
      <c r="C872" s="520"/>
      <c r="D872" s="906"/>
      <c r="E872" s="907"/>
      <c r="F872" s="908"/>
      <c r="G872" s="909"/>
      <c r="H872" s="910"/>
      <c r="I872" s="907"/>
      <c r="J872" s="912"/>
      <c r="K872" s="909"/>
      <c r="L872" s="913"/>
      <c r="M872" s="620"/>
      <c r="N872" s="620"/>
      <c r="O872" s="620"/>
      <c r="P872" s="620"/>
      <c r="Q872" s="620"/>
      <c r="R872" s="620"/>
      <c r="S872" s="620"/>
      <c r="T872" s="620"/>
      <c r="U872" s="620"/>
    </row>
    <row r="873">
      <c r="A873" s="905"/>
      <c r="B873" s="905"/>
      <c r="C873" s="520"/>
      <c r="D873" s="906"/>
      <c r="E873" s="907"/>
      <c r="F873" s="908"/>
      <c r="G873" s="909"/>
      <c r="H873" s="910"/>
      <c r="I873" s="907"/>
      <c r="J873" s="912"/>
      <c r="K873" s="909"/>
      <c r="L873" s="913"/>
      <c r="M873" s="620"/>
      <c r="N873" s="620"/>
      <c r="O873" s="620"/>
      <c r="P873" s="620"/>
      <c r="Q873" s="620"/>
      <c r="R873" s="620"/>
      <c r="S873" s="620"/>
      <c r="T873" s="620"/>
      <c r="U873" s="620"/>
    </row>
    <row r="874">
      <c r="A874" s="905"/>
      <c r="B874" s="905"/>
      <c r="C874" s="520"/>
      <c r="D874" s="906"/>
      <c r="E874" s="907"/>
      <c r="F874" s="908"/>
      <c r="G874" s="909"/>
      <c r="H874" s="910"/>
      <c r="I874" s="907"/>
      <c r="J874" s="912"/>
      <c r="K874" s="909"/>
      <c r="L874" s="913"/>
      <c r="M874" s="620"/>
      <c r="N874" s="620"/>
      <c r="O874" s="620"/>
      <c r="P874" s="620"/>
      <c r="Q874" s="620"/>
      <c r="R874" s="620"/>
      <c r="S874" s="620"/>
      <c r="T874" s="620"/>
      <c r="U874" s="620"/>
    </row>
    <row r="875">
      <c r="A875" s="905"/>
      <c r="B875" s="905"/>
      <c r="C875" s="520"/>
      <c r="D875" s="906"/>
      <c r="E875" s="907"/>
      <c r="F875" s="908"/>
      <c r="G875" s="909"/>
      <c r="H875" s="910"/>
      <c r="I875" s="907"/>
      <c r="J875" s="912"/>
      <c r="K875" s="909"/>
      <c r="L875" s="913"/>
      <c r="M875" s="620"/>
      <c r="N875" s="620"/>
      <c r="O875" s="620"/>
      <c r="P875" s="620"/>
      <c r="Q875" s="620"/>
      <c r="R875" s="620"/>
      <c r="S875" s="620"/>
      <c r="T875" s="620"/>
      <c r="U875" s="620"/>
    </row>
    <row r="876">
      <c r="A876" s="905"/>
      <c r="B876" s="905"/>
      <c r="C876" s="520"/>
      <c r="D876" s="906"/>
      <c r="E876" s="907"/>
      <c r="F876" s="908"/>
      <c r="G876" s="909"/>
      <c r="H876" s="910"/>
      <c r="I876" s="907"/>
      <c r="J876" s="912"/>
      <c r="K876" s="909"/>
      <c r="L876" s="913"/>
      <c r="M876" s="620"/>
      <c r="N876" s="620"/>
      <c r="O876" s="620"/>
      <c r="P876" s="620"/>
      <c r="Q876" s="620"/>
      <c r="R876" s="620"/>
      <c r="S876" s="620"/>
      <c r="T876" s="620"/>
      <c r="U876" s="620"/>
    </row>
    <row r="877">
      <c r="A877" s="905"/>
      <c r="B877" s="905"/>
      <c r="C877" s="520"/>
      <c r="D877" s="906"/>
      <c r="E877" s="907"/>
      <c r="F877" s="908"/>
      <c r="G877" s="909"/>
      <c r="H877" s="910"/>
      <c r="I877" s="907"/>
      <c r="J877" s="912"/>
      <c r="K877" s="909"/>
      <c r="L877" s="913"/>
      <c r="M877" s="620"/>
      <c r="N877" s="620"/>
      <c r="O877" s="620"/>
      <c r="P877" s="620"/>
      <c r="Q877" s="620"/>
      <c r="R877" s="620"/>
      <c r="S877" s="620"/>
      <c r="T877" s="620"/>
      <c r="U877" s="620"/>
    </row>
    <row r="878">
      <c r="A878" s="905"/>
      <c r="B878" s="905"/>
      <c r="C878" s="520"/>
      <c r="D878" s="906"/>
      <c r="E878" s="907"/>
      <c r="F878" s="908"/>
      <c r="G878" s="909"/>
      <c r="H878" s="910"/>
      <c r="I878" s="907"/>
      <c r="J878" s="912"/>
      <c r="K878" s="909"/>
      <c r="L878" s="913"/>
      <c r="M878" s="620"/>
      <c r="N878" s="620"/>
      <c r="O878" s="620"/>
      <c r="P878" s="620"/>
      <c r="Q878" s="620"/>
      <c r="R878" s="620"/>
      <c r="S878" s="620"/>
      <c r="T878" s="620"/>
      <c r="U878" s="620"/>
    </row>
    <row r="879">
      <c r="A879" s="905"/>
      <c r="B879" s="905"/>
      <c r="C879" s="520"/>
      <c r="D879" s="906"/>
      <c r="E879" s="907"/>
      <c r="F879" s="908"/>
      <c r="G879" s="909"/>
      <c r="H879" s="910"/>
      <c r="I879" s="907"/>
      <c r="J879" s="912"/>
      <c r="K879" s="909"/>
      <c r="L879" s="913"/>
      <c r="M879" s="620"/>
      <c r="N879" s="620"/>
      <c r="O879" s="620"/>
      <c r="P879" s="620"/>
      <c r="Q879" s="620"/>
      <c r="R879" s="620"/>
      <c r="S879" s="620"/>
      <c r="T879" s="620"/>
      <c r="U879" s="620"/>
    </row>
    <row r="880">
      <c r="A880" s="905"/>
      <c r="B880" s="905"/>
      <c r="C880" s="520"/>
      <c r="D880" s="906"/>
      <c r="E880" s="907"/>
      <c r="F880" s="908"/>
      <c r="G880" s="909"/>
      <c r="H880" s="910"/>
      <c r="I880" s="907"/>
      <c r="J880" s="912"/>
      <c r="K880" s="909"/>
      <c r="L880" s="913"/>
      <c r="M880" s="620"/>
      <c r="N880" s="620"/>
      <c r="O880" s="620"/>
      <c r="P880" s="620"/>
      <c r="Q880" s="620"/>
      <c r="R880" s="620"/>
      <c r="S880" s="620"/>
      <c r="T880" s="620"/>
      <c r="U880" s="620"/>
    </row>
    <row r="881">
      <c r="A881" s="905"/>
      <c r="B881" s="905"/>
      <c r="C881" s="520"/>
      <c r="D881" s="906"/>
      <c r="E881" s="907"/>
      <c r="F881" s="908"/>
      <c r="G881" s="909"/>
      <c r="H881" s="910"/>
      <c r="I881" s="907"/>
      <c r="J881" s="912"/>
      <c r="K881" s="909"/>
      <c r="L881" s="913"/>
      <c r="M881" s="620"/>
      <c r="N881" s="620"/>
      <c r="O881" s="620"/>
      <c r="P881" s="620"/>
      <c r="Q881" s="620"/>
      <c r="R881" s="620"/>
      <c r="S881" s="620"/>
      <c r="T881" s="620"/>
      <c r="U881" s="620"/>
    </row>
    <row r="882">
      <c r="A882" s="905"/>
      <c r="B882" s="905"/>
      <c r="C882" s="520"/>
      <c r="D882" s="906"/>
      <c r="E882" s="907"/>
      <c r="F882" s="908"/>
      <c r="G882" s="909"/>
      <c r="H882" s="910"/>
      <c r="I882" s="907"/>
      <c r="J882" s="912"/>
      <c r="K882" s="909"/>
      <c r="L882" s="913"/>
      <c r="M882" s="620"/>
      <c r="N882" s="620"/>
      <c r="O882" s="620"/>
      <c r="P882" s="620"/>
      <c r="Q882" s="620"/>
      <c r="R882" s="620"/>
      <c r="S882" s="620"/>
      <c r="T882" s="620"/>
      <c r="U882" s="620"/>
    </row>
    <row r="883">
      <c r="A883" s="905"/>
      <c r="B883" s="905"/>
      <c r="C883" s="520"/>
      <c r="D883" s="906"/>
      <c r="E883" s="907"/>
      <c r="F883" s="908"/>
      <c r="G883" s="909"/>
      <c r="H883" s="910"/>
      <c r="I883" s="907"/>
      <c r="J883" s="912"/>
      <c r="K883" s="909"/>
      <c r="L883" s="913"/>
      <c r="M883" s="620"/>
      <c r="N883" s="620"/>
      <c r="O883" s="620"/>
      <c r="P883" s="620"/>
      <c r="Q883" s="620"/>
      <c r="R883" s="620"/>
      <c r="S883" s="620"/>
      <c r="T883" s="620"/>
      <c r="U883" s="620"/>
    </row>
    <row r="884">
      <c r="A884" s="905"/>
      <c r="B884" s="905"/>
      <c r="C884" s="520"/>
      <c r="D884" s="906"/>
      <c r="E884" s="907"/>
      <c r="F884" s="908"/>
      <c r="G884" s="909"/>
      <c r="H884" s="910"/>
      <c r="I884" s="907"/>
      <c r="J884" s="912"/>
      <c r="K884" s="909"/>
      <c r="L884" s="913"/>
      <c r="M884" s="620"/>
      <c r="N884" s="620"/>
      <c r="O884" s="620"/>
      <c r="P884" s="620"/>
      <c r="Q884" s="620"/>
      <c r="R884" s="620"/>
      <c r="S884" s="620"/>
      <c r="T884" s="620"/>
      <c r="U884" s="620"/>
    </row>
    <row r="885">
      <c r="A885" s="905"/>
      <c r="B885" s="905"/>
      <c r="C885" s="520"/>
      <c r="D885" s="906"/>
      <c r="E885" s="907"/>
      <c r="F885" s="908"/>
      <c r="G885" s="909"/>
      <c r="H885" s="910"/>
      <c r="I885" s="907"/>
      <c r="J885" s="912"/>
      <c r="K885" s="909"/>
      <c r="L885" s="913"/>
      <c r="M885" s="620"/>
      <c r="N885" s="620"/>
      <c r="O885" s="620"/>
      <c r="P885" s="620"/>
      <c r="Q885" s="620"/>
      <c r="R885" s="620"/>
      <c r="S885" s="620"/>
      <c r="T885" s="620"/>
      <c r="U885" s="620"/>
    </row>
    <row r="886">
      <c r="A886" s="905"/>
      <c r="B886" s="905"/>
      <c r="C886" s="520"/>
      <c r="D886" s="906"/>
      <c r="E886" s="907"/>
      <c r="F886" s="908"/>
      <c r="G886" s="909"/>
      <c r="H886" s="910"/>
      <c r="I886" s="907"/>
      <c r="J886" s="912"/>
      <c r="K886" s="909"/>
      <c r="L886" s="913"/>
      <c r="M886" s="620"/>
      <c r="N886" s="620"/>
      <c r="O886" s="620"/>
      <c r="P886" s="620"/>
      <c r="Q886" s="620"/>
      <c r="R886" s="620"/>
      <c r="S886" s="620"/>
      <c r="T886" s="620"/>
      <c r="U886" s="620"/>
    </row>
    <row r="887">
      <c r="A887" s="905"/>
      <c r="B887" s="905"/>
      <c r="C887" s="520"/>
      <c r="D887" s="906"/>
      <c r="E887" s="907"/>
      <c r="F887" s="908"/>
      <c r="G887" s="909"/>
      <c r="H887" s="910"/>
      <c r="I887" s="907"/>
      <c r="J887" s="912"/>
      <c r="K887" s="909"/>
      <c r="L887" s="913"/>
      <c r="M887" s="620"/>
      <c r="N887" s="620"/>
      <c r="O887" s="620"/>
      <c r="P887" s="620"/>
      <c r="Q887" s="620"/>
      <c r="R887" s="620"/>
      <c r="S887" s="620"/>
      <c r="T887" s="620"/>
      <c r="U887" s="620"/>
    </row>
    <row r="888">
      <c r="A888" s="905"/>
      <c r="B888" s="905"/>
      <c r="C888" s="520"/>
      <c r="D888" s="906"/>
      <c r="E888" s="907"/>
      <c r="F888" s="908"/>
      <c r="G888" s="909"/>
      <c r="H888" s="910"/>
      <c r="I888" s="907"/>
      <c r="J888" s="912"/>
      <c r="K888" s="909"/>
      <c r="L888" s="913"/>
      <c r="M888" s="620"/>
      <c r="N888" s="620"/>
      <c r="O888" s="620"/>
      <c r="P888" s="620"/>
      <c r="Q888" s="620"/>
      <c r="R888" s="620"/>
      <c r="S888" s="620"/>
      <c r="T888" s="620"/>
      <c r="U888" s="620"/>
    </row>
    <row r="889">
      <c r="A889" s="905"/>
      <c r="B889" s="905"/>
      <c r="C889" s="520"/>
      <c r="D889" s="906"/>
      <c r="E889" s="907"/>
      <c r="F889" s="908"/>
      <c r="G889" s="909"/>
      <c r="H889" s="910"/>
      <c r="I889" s="907"/>
      <c r="J889" s="912"/>
      <c r="K889" s="909"/>
      <c r="L889" s="913"/>
      <c r="M889" s="620"/>
      <c r="N889" s="620"/>
      <c r="O889" s="620"/>
      <c r="P889" s="620"/>
      <c r="Q889" s="620"/>
      <c r="R889" s="620"/>
      <c r="S889" s="620"/>
      <c r="T889" s="620"/>
      <c r="U889" s="620"/>
    </row>
    <row r="890">
      <c r="A890" s="905"/>
      <c r="B890" s="905"/>
      <c r="C890" s="520"/>
      <c r="D890" s="906"/>
      <c r="E890" s="907"/>
      <c r="F890" s="908"/>
      <c r="G890" s="909"/>
      <c r="H890" s="910"/>
      <c r="I890" s="907"/>
      <c r="J890" s="912"/>
      <c r="K890" s="909"/>
      <c r="L890" s="913"/>
      <c r="M890" s="620"/>
      <c r="N890" s="620"/>
      <c r="O890" s="620"/>
      <c r="P890" s="620"/>
      <c r="Q890" s="620"/>
      <c r="R890" s="620"/>
      <c r="S890" s="620"/>
      <c r="T890" s="620"/>
      <c r="U890" s="620"/>
    </row>
    <row r="891">
      <c r="A891" s="905"/>
      <c r="B891" s="905"/>
      <c r="C891" s="520"/>
      <c r="D891" s="906"/>
      <c r="E891" s="907"/>
      <c r="F891" s="908"/>
      <c r="G891" s="909"/>
      <c r="H891" s="910"/>
      <c r="I891" s="907"/>
      <c r="J891" s="912"/>
      <c r="K891" s="909"/>
      <c r="L891" s="913"/>
      <c r="M891" s="620"/>
      <c r="N891" s="620"/>
      <c r="O891" s="620"/>
      <c r="P891" s="620"/>
      <c r="Q891" s="620"/>
      <c r="R891" s="620"/>
      <c r="S891" s="620"/>
      <c r="T891" s="620"/>
      <c r="U891" s="620"/>
    </row>
    <row r="892">
      <c r="A892" s="905"/>
      <c r="B892" s="905"/>
      <c r="C892" s="520"/>
      <c r="D892" s="906"/>
      <c r="E892" s="907"/>
      <c r="F892" s="908"/>
      <c r="G892" s="909"/>
      <c r="H892" s="910"/>
      <c r="I892" s="907"/>
      <c r="J892" s="912"/>
      <c r="K892" s="909"/>
      <c r="L892" s="913"/>
      <c r="M892" s="620"/>
      <c r="N892" s="620"/>
      <c r="O892" s="620"/>
      <c r="P892" s="620"/>
      <c r="Q892" s="620"/>
      <c r="R892" s="620"/>
      <c r="S892" s="620"/>
      <c r="T892" s="620"/>
      <c r="U892" s="620"/>
    </row>
    <row r="893">
      <c r="A893" s="905"/>
      <c r="B893" s="905"/>
      <c r="C893" s="520"/>
      <c r="D893" s="906"/>
      <c r="E893" s="907"/>
      <c r="F893" s="908"/>
      <c r="G893" s="909"/>
      <c r="H893" s="910"/>
      <c r="I893" s="907"/>
      <c r="J893" s="912"/>
      <c r="K893" s="909"/>
      <c r="L893" s="913"/>
      <c r="M893" s="620"/>
      <c r="N893" s="620"/>
      <c r="O893" s="620"/>
      <c r="P893" s="620"/>
      <c r="Q893" s="620"/>
      <c r="R893" s="620"/>
      <c r="S893" s="620"/>
      <c r="T893" s="620"/>
      <c r="U893" s="620"/>
    </row>
    <row r="894">
      <c r="A894" s="905"/>
      <c r="B894" s="905"/>
      <c r="C894" s="520"/>
      <c r="D894" s="906"/>
      <c r="E894" s="907"/>
      <c r="F894" s="908"/>
      <c r="G894" s="909"/>
      <c r="H894" s="910"/>
      <c r="I894" s="907"/>
      <c r="J894" s="912"/>
      <c r="K894" s="909"/>
      <c r="L894" s="913"/>
      <c r="M894" s="620"/>
      <c r="N894" s="620"/>
      <c r="O894" s="620"/>
      <c r="P894" s="620"/>
      <c r="Q894" s="620"/>
      <c r="R894" s="620"/>
      <c r="S894" s="620"/>
      <c r="T894" s="620"/>
      <c r="U894" s="620"/>
    </row>
    <row r="895">
      <c r="A895" s="905"/>
      <c r="B895" s="905"/>
      <c r="C895" s="520"/>
      <c r="D895" s="906"/>
      <c r="E895" s="907"/>
      <c r="F895" s="908"/>
      <c r="G895" s="909"/>
      <c r="H895" s="910"/>
      <c r="I895" s="907"/>
      <c r="J895" s="912"/>
      <c r="K895" s="909"/>
      <c r="L895" s="913"/>
      <c r="M895" s="620"/>
      <c r="N895" s="620"/>
      <c r="O895" s="620"/>
      <c r="P895" s="620"/>
      <c r="Q895" s="620"/>
      <c r="R895" s="620"/>
      <c r="S895" s="620"/>
      <c r="T895" s="620"/>
      <c r="U895" s="620"/>
    </row>
    <row r="896">
      <c r="A896" s="905"/>
      <c r="B896" s="905"/>
      <c r="C896" s="520"/>
      <c r="D896" s="906"/>
      <c r="E896" s="907"/>
      <c r="F896" s="908"/>
      <c r="G896" s="909"/>
      <c r="H896" s="910"/>
      <c r="I896" s="907"/>
      <c r="J896" s="912"/>
      <c r="K896" s="909"/>
      <c r="L896" s="913"/>
      <c r="M896" s="620"/>
      <c r="N896" s="620"/>
      <c r="O896" s="620"/>
      <c r="P896" s="620"/>
      <c r="Q896" s="620"/>
      <c r="R896" s="620"/>
      <c r="S896" s="620"/>
      <c r="T896" s="620"/>
      <c r="U896" s="620"/>
    </row>
    <row r="897">
      <c r="A897" s="905"/>
      <c r="B897" s="905"/>
      <c r="C897" s="520"/>
      <c r="D897" s="906"/>
      <c r="E897" s="907"/>
      <c r="F897" s="908"/>
      <c r="G897" s="909"/>
      <c r="H897" s="910"/>
      <c r="I897" s="907"/>
      <c r="J897" s="912"/>
      <c r="K897" s="909"/>
      <c r="L897" s="913"/>
      <c r="M897" s="620"/>
      <c r="N897" s="620"/>
      <c r="O897" s="620"/>
      <c r="P897" s="620"/>
      <c r="Q897" s="620"/>
      <c r="R897" s="620"/>
      <c r="S897" s="620"/>
      <c r="T897" s="620"/>
      <c r="U897" s="620"/>
    </row>
    <row r="898">
      <c r="A898" s="905"/>
      <c r="B898" s="905"/>
      <c r="C898" s="520"/>
      <c r="D898" s="906"/>
      <c r="E898" s="907"/>
      <c r="F898" s="908"/>
      <c r="G898" s="909"/>
      <c r="H898" s="910"/>
      <c r="I898" s="907"/>
      <c r="J898" s="912"/>
      <c r="K898" s="909"/>
      <c r="L898" s="913"/>
      <c r="M898" s="620"/>
      <c r="N898" s="620"/>
      <c r="O898" s="620"/>
      <c r="P898" s="620"/>
      <c r="Q898" s="620"/>
      <c r="R898" s="620"/>
      <c r="S898" s="620"/>
      <c r="T898" s="620"/>
      <c r="U898" s="620"/>
    </row>
    <row r="899">
      <c r="A899" s="905"/>
      <c r="B899" s="905"/>
      <c r="C899" s="520"/>
      <c r="D899" s="906"/>
      <c r="E899" s="907"/>
      <c r="F899" s="908"/>
      <c r="G899" s="909"/>
      <c r="H899" s="910"/>
      <c r="I899" s="907"/>
      <c r="J899" s="912"/>
      <c r="K899" s="909"/>
      <c r="L899" s="913"/>
      <c r="M899" s="620"/>
      <c r="N899" s="620"/>
      <c r="O899" s="620"/>
      <c r="P899" s="620"/>
      <c r="Q899" s="620"/>
      <c r="R899" s="620"/>
      <c r="S899" s="620"/>
      <c r="T899" s="620"/>
      <c r="U899" s="620"/>
    </row>
    <row r="900">
      <c r="A900" s="905"/>
      <c r="B900" s="905"/>
      <c r="C900" s="520"/>
      <c r="D900" s="906"/>
      <c r="E900" s="907"/>
      <c r="F900" s="908"/>
      <c r="G900" s="909"/>
      <c r="H900" s="910"/>
      <c r="I900" s="907"/>
      <c r="J900" s="912"/>
      <c r="K900" s="909"/>
      <c r="L900" s="913"/>
      <c r="M900" s="620"/>
      <c r="N900" s="620"/>
      <c r="O900" s="620"/>
      <c r="P900" s="620"/>
      <c r="Q900" s="620"/>
      <c r="R900" s="620"/>
      <c r="S900" s="620"/>
      <c r="T900" s="620"/>
      <c r="U900" s="620"/>
    </row>
    <row r="901">
      <c r="A901" s="905"/>
      <c r="B901" s="905"/>
      <c r="C901" s="520"/>
      <c r="D901" s="906"/>
      <c r="E901" s="907"/>
      <c r="F901" s="908"/>
      <c r="G901" s="909"/>
      <c r="H901" s="910"/>
      <c r="I901" s="907"/>
      <c r="J901" s="912"/>
      <c r="K901" s="909"/>
      <c r="L901" s="913"/>
      <c r="M901" s="620"/>
      <c r="N901" s="620"/>
      <c r="O901" s="620"/>
      <c r="P901" s="620"/>
      <c r="Q901" s="620"/>
      <c r="R901" s="620"/>
      <c r="S901" s="620"/>
      <c r="T901" s="620"/>
      <c r="U901" s="620"/>
    </row>
    <row r="902">
      <c r="A902" s="905"/>
      <c r="B902" s="905"/>
      <c r="C902" s="520"/>
      <c r="D902" s="906"/>
      <c r="E902" s="907"/>
      <c r="F902" s="908"/>
      <c r="G902" s="909"/>
      <c r="H902" s="910"/>
      <c r="I902" s="907"/>
      <c r="J902" s="912"/>
      <c r="K902" s="909"/>
      <c r="L902" s="913"/>
      <c r="M902" s="620"/>
      <c r="N902" s="620"/>
      <c r="O902" s="620"/>
      <c r="P902" s="620"/>
      <c r="Q902" s="620"/>
      <c r="R902" s="620"/>
      <c r="S902" s="620"/>
      <c r="T902" s="620"/>
      <c r="U902" s="620"/>
    </row>
    <row r="903">
      <c r="A903" s="905"/>
      <c r="B903" s="905"/>
      <c r="C903" s="520"/>
      <c r="D903" s="906"/>
      <c r="E903" s="907"/>
      <c r="F903" s="908"/>
      <c r="G903" s="909"/>
      <c r="H903" s="910"/>
      <c r="I903" s="907"/>
      <c r="J903" s="912"/>
      <c r="K903" s="909"/>
      <c r="L903" s="913"/>
      <c r="M903" s="620"/>
      <c r="N903" s="620"/>
      <c r="O903" s="620"/>
      <c r="P903" s="620"/>
      <c r="Q903" s="620"/>
      <c r="R903" s="620"/>
      <c r="S903" s="620"/>
      <c r="T903" s="620"/>
      <c r="U903" s="620"/>
    </row>
    <row r="904">
      <c r="A904" s="905"/>
      <c r="B904" s="905"/>
      <c r="C904" s="520"/>
      <c r="D904" s="906"/>
      <c r="E904" s="907"/>
      <c r="F904" s="908"/>
      <c r="G904" s="909"/>
      <c r="H904" s="910"/>
      <c r="I904" s="907"/>
      <c r="J904" s="912"/>
      <c r="K904" s="909"/>
      <c r="L904" s="913"/>
      <c r="M904" s="620"/>
      <c r="N904" s="620"/>
      <c r="O904" s="620"/>
      <c r="P904" s="620"/>
      <c r="Q904" s="620"/>
      <c r="R904" s="620"/>
      <c r="S904" s="620"/>
      <c r="T904" s="620"/>
      <c r="U904" s="620"/>
    </row>
    <row r="905">
      <c r="A905" s="905"/>
      <c r="B905" s="905"/>
      <c r="C905" s="520"/>
      <c r="D905" s="906"/>
      <c r="E905" s="907"/>
      <c r="F905" s="908"/>
      <c r="G905" s="909"/>
      <c r="H905" s="910"/>
      <c r="I905" s="907"/>
      <c r="J905" s="912"/>
      <c r="K905" s="909"/>
      <c r="L905" s="913"/>
      <c r="M905" s="620"/>
      <c r="N905" s="620"/>
      <c r="O905" s="620"/>
      <c r="P905" s="620"/>
      <c r="Q905" s="620"/>
      <c r="R905" s="620"/>
      <c r="S905" s="620"/>
      <c r="T905" s="620"/>
      <c r="U905" s="620"/>
    </row>
    <row r="906">
      <c r="A906" s="905"/>
      <c r="B906" s="905"/>
      <c r="C906" s="520"/>
      <c r="D906" s="906"/>
      <c r="E906" s="907"/>
      <c r="F906" s="908"/>
      <c r="G906" s="909"/>
      <c r="H906" s="910"/>
      <c r="I906" s="907"/>
      <c r="J906" s="912"/>
      <c r="K906" s="909"/>
      <c r="L906" s="913"/>
      <c r="M906" s="620"/>
      <c r="N906" s="620"/>
      <c r="O906" s="620"/>
      <c r="P906" s="620"/>
      <c r="Q906" s="620"/>
      <c r="R906" s="620"/>
      <c r="S906" s="620"/>
      <c r="T906" s="620"/>
      <c r="U906" s="620"/>
    </row>
    <row r="907">
      <c r="A907" s="905"/>
      <c r="B907" s="905"/>
      <c r="C907" s="520"/>
      <c r="D907" s="906"/>
      <c r="E907" s="907"/>
      <c r="F907" s="908"/>
      <c r="G907" s="909"/>
      <c r="H907" s="910"/>
      <c r="I907" s="907"/>
      <c r="J907" s="912"/>
      <c r="K907" s="909"/>
      <c r="L907" s="913"/>
      <c r="M907" s="620"/>
      <c r="N907" s="620"/>
      <c r="O907" s="620"/>
      <c r="P907" s="620"/>
      <c r="Q907" s="620"/>
      <c r="R907" s="620"/>
      <c r="S907" s="620"/>
      <c r="T907" s="620"/>
      <c r="U907" s="620"/>
    </row>
    <row r="908">
      <c r="A908" s="905"/>
      <c r="B908" s="905"/>
      <c r="C908" s="520"/>
      <c r="D908" s="906"/>
      <c r="E908" s="907"/>
      <c r="F908" s="908"/>
      <c r="G908" s="909"/>
      <c r="H908" s="910"/>
      <c r="I908" s="907"/>
      <c r="J908" s="912"/>
      <c r="K908" s="909"/>
      <c r="L908" s="913"/>
      <c r="M908" s="620"/>
      <c r="N908" s="620"/>
      <c r="O908" s="620"/>
      <c r="P908" s="620"/>
      <c r="Q908" s="620"/>
      <c r="R908" s="620"/>
      <c r="S908" s="620"/>
      <c r="T908" s="620"/>
      <c r="U908" s="620"/>
    </row>
    <row r="909">
      <c r="A909" s="905"/>
      <c r="B909" s="905"/>
      <c r="C909" s="520"/>
      <c r="D909" s="906"/>
      <c r="E909" s="907"/>
      <c r="F909" s="908"/>
      <c r="G909" s="909"/>
      <c r="H909" s="910"/>
      <c r="I909" s="907"/>
      <c r="J909" s="912"/>
      <c r="K909" s="909"/>
      <c r="L909" s="913"/>
      <c r="M909" s="620"/>
      <c r="N909" s="620"/>
      <c r="O909" s="620"/>
      <c r="P909" s="620"/>
      <c r="Q909" s="620"/>
      <c r="R909" s="620"/>
      <c r="S909" s="620"/>
      <c r="T909" s="620"/>
      <c r="U909" s="620"/>
    </row>
    <row r="910">
      <c r="A910" s="905"/>
      <c r="B910" s="905"/>
      <c r="C910" s="520"/>
      <c r="D910" s="906"/>
      <c r="E910" s="907"/>
      <c r="F910" s="908"/>
      <c r="G910" s="909"/>
      <c r="H910" s="910"/>
      <c r="I910" s="907"/>
      <c r="J910" s="912"/>
      <c r="K910" s="909"/>
      <c r="L910" s="913"/>
      <c r="M910" s="620"/>
      <c r="N910" s="620"/>
      <c r="O910" s="620"/>
      <c r="P910" s="620"/>
      <c r="Q910" s="620"/>
      <c r="R910" s="620"/>
      <c r="S910" s="620"/>
      <c r="T910" s="620"/>
      <c r="U910" s="620"/>
    </row>
    <row r="911">
      <c r="A911" s="905"/>
      <c r="B911" s="905"/>
      <c r="C911" s="520"/>
      <c r="D911" s="906"/>
      <c r="E911" s="907"/>
      <c r="F911" s="908"/>
      <c r="G911" s="909"/>
      <c r="H911" s="910"/>
      <c r="I911" s="907"/>
      <c r="J911" s="912"/>
      <c r="K911" s="909"/>
      <c r="L911" s="913"/>
      <c r="M911" s="620"/>
      <c r="N911" s="620"/>
      <c r="O911" s="620"/>
      <c r="P911" s="620"/>
      <c r="Q911" s="620"/>
      <c r="R911" s="620"/>
      <c r="S911" s="620"/>
      <c r="T911" s="620"/>
      <c r="U911" s="620"/>
    </row>
    <row r="912">
      <c r="A912" s="905"/>
      <c r="B912" s="905"/>
      <c r="C912" s="520"/>
      <c r="D912" s="906"/>
      <c r="E912" s="907"/>
      <c r="F912" s="908"/>
      <c r="G912" s="909"/>
      <c r="H912" s="910"/>
      <c r="I912" s="907"/>
      <c r="J912" s="912"/>
      <c r="K912" s="909"/>
      <c r="L912" s="913"/>
      <c r="M912" s="620"/>
      <c r="N912" s="620"/>
      <c r="O912" s="620"/>
      <c r="P912" s="620"/>
      <c r="Q912" s="620"/>
      <c r="R912" s="620"/>
      <c r="S912" s="620"/>
      <c r="T912" s="620"/>
      <c r="U912" s="620"/>
    </row>
    <row r="913">
      <c r="A913" s="905"/>
      <c r="B913" s="905"/>
      <c r="C913" s="520"/>
      <c r="D913" s="906"/>
      <c r="E913" s="907"/>
      <c r="F913" s="908"/>
      <c r="G913" s="909"/>
      <c r="H913" s="910"/>
      <c r="I913" s="907"/>
      <c r="J913" s="912"/>
      <c r="K913" s="909"/>
      <c r="L913" s="913"/>
      <c r="M913" s="620"/>
      <c r="N913" s="620"/>
      <c r="O913" s="620"/>
      <c r="P913" s="620"/>
      <c r="Q913" s="620"/>
      <c r="R913" s="620"/>
      <c r="S913" s="620"/>
      <c r="T913" s="620"/>
      <c r="U913" s="620"/>
    </row>
    <row r="914">
      <c r="A914" s="905"/>
      <c r="B914" s="905"/>
      <c r="C914" s="520"/>
      <c r="D914" s="906"/>
      <c r="E914" s="907"/>
      <c r="F914" s="908"/>
      <c r="G914" s="909"/>
      <c r="H914" s="910"/>
      <c r="I914" s="907"/>
      <c r="J914" s="912"/>
      <c r="K914" s="909"/>
      <c r="L914" s="913"/>
      <c r="M914" s="620"/>
      <c r="N914" s="620"/>
      <c r="O914" s="620"/>
      <c r="P914" s="620"/>
      <c r="Q914" s="620"/>
      <c r="R914" s="620"/>
      <c r="S914" s="620"/>
      <c r="T914" s="620"/>
      <c r="U914" s="620"/>
    </row>
    <row r="915">
      <c r="A915" s="905"/>
      <c r="B915" s="905"/>
      <c r="C915" s="520"/>
      <c r="D915" s="906"/>
      <c r="E915" s="907"/>
      <c r="F915" s="908"/>
      <c r="G915" s="909"/>
      <c r="H915" s="910"/>
      <c r="I915" s="907"/>
      <c r="J915" s="912"/>
      <c r="K915" s="909"/>
      <c r="L915" s="913"/>
      <c r="M915" s="620"/>
      <c r="N915" s="620"/>
      <c r="O915" s="620"/>
      <c r="P915" s="620"/>
      <c r="Q915" s="620"/>
      <c r="R915" s="620"/>
      <c r="S915" s="620"/>
      <c r="T915" s="620"/>
      <c r="U915" s="620"/>
    </row>
    <row r="916">
      <c r="A916" s="905"/>
      <c r="B916" s="905"/>
      <c r="C916" s="520"/>
      <c r="D916" s="906"/>
      <c r="E916" s="907"/>
      <c r="F916" s="908"/>
      <c r="G916" s="909"/>
      <c r="H916" s="910"/>
      <c r="I916" s="907"/>
      <c r="J916" s="912"/>
      <c r="K916" s="909"/>
      <c r="L916" s="913"/>
      <c r="M916" s="620"/>
      <c r="N916" s="620"/>
      <c r="O916" s="620"/>
      <c r="P916" s="620"/>
      <c r="Q916" s="620"/>
      <c r="R916" s="620"/>
      <c r="S916" s="620"/>
      <c r="T916" s="620"/>
      <c r="U916" s="620"/>
    </row>
    <row r="917">
      <c r="A917" s="905"/>
      <c r="B917" s="905"/>
      <c r="C917" s="520"/>
      <c r="D917" s="906"/>
      <c r="E917" s="907"/>
      <c r="F917" s="908"/>
      <c r="G917" s="909"/>
      <c r="H917" s="910"/>
      <c r="I917" s="907"/>
      <c r="J917" s="912"/>
      <c r="K917" s="909"/>
      <c r="L917" s="913"/>
      <c r="M917" s="620"/>
      <c r="N917" s="620"/>
      <c r="O917" s="620"/>
      <c r="P917" s="620"/>
      <c r="Q917" s="620"/>
      <c r="R917" s="620"/>
      <c r="S917" s="620"/>
      <c r="T917" s="620"/>
      <c r="U917" s="620"/>
    </row>
    <row r="918">
      <c r="A918" s="905"/>
      <c r="B918" s="905"/>
      <c r="C918" s="520"/>
      <c r="D918" s="906"/>
      <c r="E918" s="907"/>
      <c r="F918" s="908"/>
      <c r="G918" s="909"/>
      <c r="H918" s="910"/>
      <c r="I918" s="907"/>
      <c r="J918" s="912"/>
      <c r="K918" s="909"/>
      <c r="L918" s="913"/>
      <c r="M918" s="620"/>
      <c r="N918" s="620"/>
      <c r="O918" s="620"/>
      <c r="P918" s="620"/>
      <c r="Q918" s="620"/>
      <c r="R918" s="620"/>
      <c r="S918" s="620"/>
      <c r="T918" s="620"/>
      <c r="U918" s="620"/>
    </row>
    <row r="919">
      <c r="A919" s="905"/>
      <c r="B919" s="905"/>
      <c r="C919" s="520"/>
      <c r="D919" s="906"/>
      <c r="E919" s="907"/>
      <c r="F919" s="908"/>
      <c r="G919" s="909"/>
      <c r="H919" s="910"/>
      <c r="I919" s="907"/>
      <c r="J919" s="912"/>
      <c r="K919" s="909"/>
      <c r="L919" s="913"/>
      <c r="M919" s="620"/>
      <c r="N919" s="620"/>
      <c r="O919" s="620"/>
      <c r="P919" s="620"/>
      <c r="Q919" s="620"/>
      <c r="R919" s="620"/>
      <c r="S919" s="620"/>
      <c r="T919" s="620"/>
      <c r="U919" s="620"/>
    </row>
    <row r="920">
      <c r="A920" s="905"/>
      <c r="B920" s="905"/>
      <c r="C920" s="520"/>
      <c r="D920" s="906"/>
      <c r="E920" s="907"/>
      <c r="F920" s="908"/>
      <c r="G920" s="909"/>
      <c r="H920" s="910"/>
      <c r="I920" s="907"/>
      <c r="J920" s="912"/>
      <c r="K920" s="909"/>
      <c r="L920" s="913"/>
      <c r="M920" s="620"/>
      <c r="N920" s="620"/>
      <c r="O920" s="620"/>
      <c r="P920" s="620"/>
      <c r="Q920" s="620"/>
      <c r="R920" s="620"/>
      <c r="S920" s="620"/>
      <c r="T920" s="620"/>
      <c r="U920" s="620"/>
    </row>
    <row r="921">
      <c r="A921" s="905"/>
      <c r="B921" s="905"/>
      <c r="C921" s="520"/>
      <c r="D921" s="906"/>
      <c r="E921" s="907"/>
      <c r="F921" s="908"/>
      <c r="G921" s="909"/>
      <c r="H921" s="910"/>
      <c r="I921" s="907"/>
      <c r="J921" s="912"/>
      <c r="K921" s="909"/>
      <c r="L921" s="913"/>
      <c r="M921" s="620"/>
      <c r="N921" s="620"/>
      <c r="O921" s="620"/>
      <c r="P921" s="620"/>
      <c r="Q921" s="620"/>
      <c r="R921" s="620"/>
      <c r="S921" s="620"/>
      <c r="T921" s="620"/>
      <c r="U921" s="620"/>
    </row>
    <row r="922">
      <c r="A922" s="905"/>
      <c r="B922" s="905"/>
      <c r="C922" s="520"/>
      <c r="D922" s="906"/>
      <c r="E922" s="907"/>
      <c r="F922" s="908"/>
      <c r="G922" s="909"/>
      <c r="H922" s="910"/>
      <c r="I922" s="907"/>
      <c r="J922" s="912"/>
      <c r="K922" s="909"/>
      <c r="L922" s="913"/>
      <c r="M922" s="620"/>
      <c r="N922" s="620"/>
      <c r="O922" s="620"/>
      <c r="P922" s="620"/>
      <c r="Q922" s="620"/>
      <c r="R922" s="620"/>
      <c r="S922" s="620"/>
      <c r="T922" s="620"/>
      <c r="U922" s="620"/>
    </row>
    <row r="923">
      <c r="A923" s="905"/>
      <c r="B923" s="905"/>
      <c r="C923" s="520"/>
      <c r="D923" s="906"/>
      <c r="E923" s="907"/>
      <c r="F923" s="908"/>
      <c r="G923" s="909"/>
      <c r="H923" s="910"/>
      <c r="I923" s="907"/>
      <c r="J923" s="912"/>
      <c r="K923" s="909"/>
      <c r="L923" s="913"/>
      <c r="M923" s="620"/>
      <c r="N923" s="620"/>
      <c r="O923" s="620"/>
      <c r="P923" s="620"/>
      <c r="Q923" s="620"/>
      <c r="R923" s="620"/>
      <c r="S923" s="620"/>
      <c r="T923" s="620"/>
      <c r="U923" s="620"/>
    </row>
    <row r="924">
      <c r="A924" s="905"/>
      <c r="B924" s="905"/>
      <c r="C924" s="520"/>
      <c r="D924" s="906"/>
      <c r="E924" s="907"/>
      <c r="F924" s="908"/>
      <c r="G924" s="909"/>
      <c r="H924" s="910"/>
      <c r="I924" s="907"/>
      <c r="J924" s="912"/>
      <c r="K924" s="909"/>
      <c r="L924" s="913"/>
      <c r="M924" s="620"/>
      <c r="N924" s="620"/>
      <c r="O924" s="620"/>
      <c r="P924" s="620"/>
      <c r="Q924" s="620"/>
      <c r="R924" s="620"/>
      <c r="S924" s="620"/>
      <c r="T924" s="620"/>
      <c r="U924" s="620"/>
    </row>
    <row r="925">
      <c r="A925" s="905"/>
      <c r="B925" s="905"/>
      <c r="C925" s="520"/>
      <c r="D925" s="906"/>
      <c r="E925" s="907"/>
      <c r="F925" s="908"/>
      <c r="G925" s="909"/>
      <c r="H925" s="910"/>
      <c r="I925" s="907"/>
      <c r="J925" s="912"/>
      <c r="K925" s="909"/>
      <c r="L925" s="913"/>
      <c r="M925" s="620"/>
      <c r="N925" s="620"/>
      <c r="O925" s="620"/>
      <c r="P925" s="620"/>
      <c r="Q925" s="620"/>
      <c r="R925" s="620"/>
      <c r="S925" s="620"/>
      <c r="T925" s="620"/>
      <c r="U925" s="620"/>
    </row>
    <row r="926">
      <c r="A926" s="905"/>
      <c r="B926" s="905"/>
      <c r="C926" s="520"/>
      <c r="D926" s="906"/>
      <c r="E926" s="907"/>
      <c r="F926" s="908"/>
      <c r="G926" s="909"/>
      <c r="H926" s="910"/>
      <c r="I926" s="907"/>
      <c r="J926" s="912"/>
      <c r="K926" s="909"/>
      <c r="L926" s="913"/>
      <c r="M926" s="620"/>
      <c r="N926" s="620"/>
      <c r="O926" s="620"/>
      <c r="P926" s="620"/>
      <c r="Q926" s="620"/>
      <c r="R926" s="620"/>
      <c r="S926" s="620"/>
      <c r="T926" s="620"/>
      <c r="U926" s="620"/>
    </row>
    <row r="927">
      <c r="A927" s="905"/>
      <c r="B927" s="905"/>
      <c r="C927" s="520"/>
      <c r="D927" s="906"/>
      <c r="E927" s="907"/>
      <c r="F927" s="908"/>
      <c r="G927" s="909"/>
      <c r="H927" s="910"/>
      <c r="I927" s="907"/>
      <c r="J927" s="912"/>
      <c r="K927" s="909"/>
      <c r="L927" s="913"/>
      <c r="M927" s="620"/>
      <c r="N927" s="620"/>
      <c r="O927" s="620"/>
      <c r="P927" s="620"/>
      <c r="Q927" s="620"/>
      <c r="R927" s="620"/>
      <c r="S927" s="620"/>
      <c r="T927" s="620"/>
      <c r="U927" s="620"/>
    </row>
    <row r="928">
      <c r="A928" s="905"/>
      <c r="B928" s="905"/>
      <c r="C928" s="520"/>
      <c r="D928" s="906"/>
      <c r="E928" s="907"/>
      <c r="F928" s="908"/>
      <c r="G928" s="909"/>
      <c r="H928" s="910"/>
      <c r="I928" s="907"/>
      <c r="J928" s="912"/>
      <c r="K928" s="909"/>
      <c r="L928" s="913"/>
      <c r="M928" s="620"/>
      <c r="N928" s="620"/>
      <c r="O928" s="620"/>
      <c r="P928" s="620"/>
      <c r="Q928" s="620"/>
      <c r="R928" s="620"/>
      <c r="S928" s="620"/>
      <c r="T928" s="620"/>
      <c r="U928" s="620"/>
    </row>
    <row r="929">
      <c r="A929" s="905"/>
      <c r="B929" s="905"/>
      <c r="C929" s="520"/>
      <c r="D929" s="906"/>
      <c r="E929" s="907"/>
      <c r="F929" s="908"/>
      <c r="G929" s="909"/>
      <c r="H929" s="910"/>
      <c r="I929" s="907"/>
      <c r="J929" s="912"/>
      <c r="K929" s="909"/>
      <c r="L929" s="913"/>
      <c r="M929" s="620"/>
      <c r="N929" s="620"/>
      <c r="O929" s="620"/>
      <c r="P929" s="620"/>
      <c r="Q929" s="620"/>
      <c r="R929" s="620"/>
      <c r="S929" s="620"/>
      <c r="T929" s="620"/>
      <c r="U929" s="620"/>
    </row>
    <row r="930">
      <c r="A930" s="905"/>
      <c r="B930" s="905"/>
      <c r="C930" s="520"/>
      <c r="D930" s="906"/>
      <c r="E930" s="907"/>
      <c r="F930" s="908"/>
      <c r="G930" s="909"/>
      <c r="H930" s="910"/>
      <c r="I930" s="907"/>
      <c r="J930" s="912"/>
      <c r="K930" s="909"/>
      <c r="L930" s="913"/>
      <c r="M930" s="620"/>
      <c r="N930" s="620"/>
      <c r="O930" s="620"/>
      <c r="P930" s="620"/>
      <c r="Q930" s="620"/>
      <c r="R930" s="620"/>
      <c r="S930" s="620"/>
      <c r="T930" s="620"/>
      <c r="U930" s="620"/>
    </row>
    <row r="931">
      <c r="A931" s="905"/>
      <c r="B931" s="905"/>
      <c r="C931" s="520"/>
      <c r="D931" s="906"/>
      <c r="E931" s="907"/>
      <c r="F931" s="908"/>
      <c r="G931" s="909"/>
      <c r="H931" s="910"/>
      <c r="I931" s="907"/>
      <c r="J931" s="912"/>
      <c r="K931" s="909"/>
      <c r="L931" s="913"/>
      <c r="M931" s="620"/>
      <c r="N931" s="620"/>
      <c r="O931" s="620"/>
      <c r="P931" s="620"/>
      <c r="Q931" s="620"/>
      <c r="R931" s="620"/>
      <c r="S931" s="620"/>
      <c r="T931" s="620"/>
      <c r="U931" s="620"/>
    </row>
    <row r="932">
      <c r="A932" s="905"/>
      <c r="B932" s="905"/>
      <c r="C932" s="520"/>
      <c r="D932" s="906"/>
      <c r="E932" s="907"/>
      <c r="F932" s="908"/>
      <c r="G932" s="909"/>
      <c r="H932" s="910"/>
      <c r="I932" s="907"/>
      <c r="J932" s="912"/>
      <c r="K932" s="909"/>
      <c r="L932" s="913"/>
      <c r="M932" s="620"/>
      <c r="N932" s="620"/>
      <c r="O932" s="620"/>
      <c r="P932" s="620"/>
      <c r="Q932" s="620"/>
      <c r="R932" s="620"/>
      <c r="S932" s="620"/>
      <c r="T932" s="620"/>
      <c r="U932" s="620"/>
    </row>
    <row r="933">
      <c r="A933" s="905"/>
      <c r="B933" s="905"/>
      <c r="C933" s="520"/>
      <c r="D933" s="906"/>
      <c r="E933" s="907"/>
      <c r="F933" s="908"/>
      <c r="G933" s="909"/>
      <c r="H933" s="910"/>
      <c r="I933" s="907"/>
      <c r="J933" s="912"/>
      <c r="K933" s="909"/>
      <c r="L933" s="913"/>
      <c r="M933" s="620"/>
      <c r="N933" s="620"/>
      <c r="O933" s="620"/>
      <c r="P933" s="620"/>
      <c r="Q933" s="620"/>
      <c r="R933" s="620"/>
      <c r="S933" s="620"/>
      <c r="T933" s="620"/>
      <c r="U933" s="620"/>
    </row>
    <row r="934">
      <c r="A934" s="905"/>
      <c r="B934" s="905"/>
      <c r="C934" s="520"/>
      <c r="D934" s="906"/>
      <c r="E934" s="907"/>
      <c r="F934" s="908"/>
      <c r="G934" s="909"/>
      <c r="H934" s="910"/>
      <c r="I934" s="907"/>
      <c r="J934" s="912"/>
      <c r="K934" s="909"/>
      <c r="L934" s="913"/>
      <c r="M934" s="620"/>
      <c r="N934" s="620"/>
      <c r="O934" s="620"/>
      <c r="P934" s="620"/>
      <c r="Q934" s="620"/>
      <c r="R934" s="620"/>
      <c r="S934" s="620"/>
      <c r="T934" s="620"/>
      <c r="U934" s="620"/>
    </row>
    <row r="935">
      <c r="A935" s="905"/>
      <c r="B935" s="905"/>
      <c r="C935" s="520"/>
      <c r="D935" s="906"/>
      <c r="E935" s="907"/>
      <c r="F935" s="908"/>
      <c r="G935" s="909"/>
      <c r="H935" s="910"/>
      <c r="I935" s="907"/>
      <c r="J935" s="912"/>
      <c r="K935" s="909"/>
      <c r="L935" s="913"/>
      <c r="M935" s="620"/>
      <c r="N935" s="620"/>
      <c r="O935" s="620"/>
      <c r="P935" s="620"/>
      <c r="Q935" s="620"/>
      <c r="R935" s="620"/>
      <c r="S935" s="620"/>
      <c r="T935" s="620"/>
      <c r="U935" s="620"/>
    </row>
    <row r="936">
      <c r="A936" s="905"/>
      <c r="B936" s="905"/>
      <c r="C936" s="520"/>
      <c r="D936" s="906"/>
      <c r="E936" s="907"/>
      <c r="F936" s="908"/>
      <c r="G936" s="909"/>
      <c r="H936" s="910"/>
      <c r="I936" s="907"/>
      <c r="J936" s="912"/>
      <c r="K936" s="909"/>
      <c r="L936" s="913"/>
      <c r="M936" s="620"/>
      <c r="N936" s="620"/>
      <c r="O936" s="620"/>
      <c r="P936" s="620"/>
      <c r="Q936" s="620"/>
      <c r="R936" s="620"/>
      <c r="S936" s="620"/>
      <c r="T936" s="620"/>
      <c r="U936" s="620"/>
    </row>
    <row r="937">
      <c r="A937" s="905"/>
      <c r="B937" s="905"/>
      <c r="C937" s="520"/>
      <c r="D937" s="906"/>
      <c r="E937" s="907"/>
      <c r="F937" s="908"/>
      <c r="G937" s="909"/>
      <c r="H937" s="910"/>
      <c r="I937" s="907"/>
      <c r="J937" s="912"/>
      <c r="K937" s="909"/>
      <c r="L937" s="913"/>
      <c r="M937" s="620"/>
      <c r="N937" s="620"/>
      <c r="O937" s="620"/>
      <c r="P937" s="620"/>
      <c r="Q937" s="620"/>
      <c r="R937" s="620"/>
      <c r="S937" s="620"/>
      <c r="T937" s="620"/>
      <c r="U937" s="620"/>
    </row>
    <row r="938">
      <c r="A938" s="905"/>
      <c r="B938" s="905"/>
      <c r="C938" s="520"/>
      <c r="D938" s="906"/>
      <c r="E938" s="907"/>
      <c r="F938" s="908"/>
      <c r="G938" s="909"/>
      <c r="H938" s="910"/>
      <c r="I938" s="907"/>
      <c r="J938" s="912"/>
      <c r="K938" s="909"/>
      <c r="L938" s="913"/>
      <c r="M938" s="620"/>
      <c r="N938" s="620"/>
      <c r="O938" s="620"/>
      <c r="P938" s="620"/>
      <c r="Q938" s="620"/>
      <c r="R938" s="620"/>
      <c r="S938" s="620"/>
      <c r="T938" s="620"/>
      <c r="U938" s="620"/>
    </row>
    <row r="939">
      <c r="A939" s="905"/>
      <c r="B939" s="905"/>
      <c r="C939" s="520"/>
      <c r="D939" s="906"/>
      <c r="E939" s="907"/>
      <c r="F939" s="908"/>
      <c r="G939" s="909"/>
      <c r="H939" s="910"/>
      <c r="I939" s="907"/>
      <c r="J939" s="912"/>
      <c r="K939" s="909"/>
      <c r="L939" s="913"/>
      <c r="M939" s="620"/>
      <c r="N939" s="620"/>
      <c r="O939" s="620"/>
      <c r="P939" s="620"/>
      <c r="Q939" s="620"/>
      <c r="R939" s="620"/>
      <c r="S939" s="620"/>
      <c r="T939" s="620"/>
      <c r="U939" s="620"/>
    </row>
    <row r="940">
      <c r="A940" s="905"/>
      <c r="B940" s="905"/>
      <c r="C940" s="520"/>
      <c r="D940" s="906"/>
      <c r="E940" s="907"/>
      <c r="F940" s="908"/>
      <c r="G940" s="909"/>
      <c r="H940" s="910"/>
      <c r="I940" s="907"/>
      <c r="J940" s="912"/>
      <c r="K940" s="909"/>
      <c r="L940" s="913"/>
      <c r="M940" s="620"/>
      <c r="N940" s="620"/>
      <c r="O940" s="620"/>
      <c r="P940" s="620"/>
      <c r="Q940" s="620"/>
      <c r="R940" s="620"/>
      <c r="S940" s="620"/>
      <c r="T940" s="620"/>
      <c r="U940" s="620"/>
    </row>
    <row r="941">
      <c r="A941" s="905"/>
      <c r="B941" s="905"/>
      <c r="C941" s="520"/>
      <c r="D941" s="906"/>
      <c r="E941" s="907"/>
      <c r="F941" s="908"/>
      <c r="G941" s="909"/>
      <c r="H941" s="910"/>
      <c r="I941" s="907"/>
      <c r="J941" s="912"/>
      <c r="K941" s="909"/>
      <c r="L941" s="913"/>
      <c r="M941" s="620"/>
      <c r="N941" s="620"/>
      <c r="O941" s="620"/>
      <c r="P941" s="620"/>
      <c r="Q941" s="620"/>
      <c r="R941" s="620"/>
      <c r="S941" s="620"/>
      <c r="T941" s="620"/>
      <c r="U941" s="620"/>
    </row>
    <row r="942">
      <c r="A942" s="905"/>
      <c r="B942" s="905"/>
      <c r="C942" s="520"/>
      <c r="D942" s="906"/>
      <c r="E942" s="907"/>
      <c r="F942" s="908"/>
      <c r="G942" s="909"/>
      <c r="H942" s="910"/>
      <c r="I942" s="907"/>
      <c r="J942" s="912"/>
      <c r="K942" s="909"/>
      <c r="L942" s="913"/>
      <c r="M942" s="620"/>
      <c r="N942" s="620"/>
      <c r="O942" s="620"/>
      <c r="P942" s="620"/>
      <c r="Q942" s="620"/>
      <c r="R942" s="620"/>
      <c r="S942" s="620"/>
      <c r="T942" s="620"/>
      <c r="U942" s="620"/>
    </row>
    <row r="943">
      <c r="A943" s="905"/>
      <c r="B943" s="905"/>
      <c r="C943" s="520"/>
      <c r="D943" s="906"/>
      <c r="E943" s="907"/>
      <c r="F943" s="908"/>
      <c r="G943" s="909"/>
      <c r="H943" s="910"/>
      <c r="I943" s="907"/>
      <c r="J943" s="912"/>
      <c r="K943" s="909"/>
      <c r="L943" s="913"/>
      <c r="M943" s="620"/>
      <c r="N943" s="620"/>
      <c r="O943" s="620"/>
      <c r="P943" s="620"/>
      <c r="Q943" s="620"/>
      <c r="R943" s="620"/>
      <c r="S943" s="620"/>
      <c r="T943" s="620"/>
      <c r="U943" s="620"/>
    </row>
    <row r="944">
      <c r="A944" s="905"/>
      <c r="B944" s="905"/>
      <c r="C944" s="520"/>
      <c r="D944" s="906"/>
      <c r="E944" s="907"/>
      <c r="F944" s="908"/>
      <c r="G944" s="909"/>
      <c r="H944" s="910"/>
      <c r="I944" s="907"/>
      <c r="J944" s="912"/>
      <c r="K944" s="909"/>
      <c r="L944" s="913"/>
      <c r="M944" s="620"/>
      <c r="N944" s="620"/>
      <c r="O944" s="620"/>
      <c r="P944" s="620"/>
      <c r="Q944" s="620"/>
      <c r="R944" s="620"/>
      <c r="S944" s="620"/>
      <c r="T944" s="620"/>
      <c r="U944" s="620"/>
    </row>
    <row r="945">
      <c r="A945" s="905"/>
      <c r="B945" s="905"/>
      <c r="C945" s="520"/>
      <c r="D945" s="906"/>
      <c r="E945" s="907"/>
      <c r="F945" s="908"/>
      <c r="G945" s="909"/>
      <c r="H945" s="910"/>
      <c r="I945" s="907"/>
      <c r="J945" s="912"/>
      <c r="K945" s="909"/>
      <c r="L945" s="913"/>
      <c r="M945" s="620"/>
      <c r="N945" s="620"/>
      <c r="O945" s="620"/>
      <c r="P945" s="620"/>
      <c r="Q945" s="620"/>
      <c r="R945" s="620"/>
      <c r="S945" s="620"/>
      <c r="T945" s="620"/>
      <c r="U945" s="620"/>
    </row>
    <row r="946">
      <c r="A946" s="905"/>
      <c r="B946" s="905"/>
      <c r="C946" s="520"/>
      <c r="D946" s="906"/>
      <c r="E946" s="907"/>
      <c r="F946" s="908"/>
      <c r="G946" s="909"/>
      <c r="H946" s="910"/>
      <c r="I946" s="907"/>
      <c r="J946" s="912"/>
      <c r="K946" s="909"/>
      <c r="L946" s="913"/>
      <c r="M946" s="620"/>
      <c r="N946" s="620"/>
      <c r="O946" s="620"/>
      <c r="P946" s="620"/>
      <c r="Q946" s="620"/>
      <c r="R946" s="620"/>
      <c r="S946" s="620"/>
      <c r="T946" s="620"/>
      <c r="U946" s="620"/>
    </row>
    <row r="947">
      <c r="A947" s="905"/>
      <c r="B947" s="905"/>
      <c r="C947" s="520"/>
      <c r="D947" s="906"/>
      <c r="E947" s="907"/>
      <c r="F947" s="908"/>
      <c r="G947" s="909"/>
      <c r="H947" s="910"/>
      <c r="I947" s="907"/>
      <c r="J947" s="912"/>
      <c r="K947" s="909"/>
      <c r="L947" s="913"/>
      <c r="M947" s="620"/>
      <c r="N947" s="620"/>
      <c r="O947" s="620"/>
      <c r="P947" s="620"/>
      <c r="Q947" s="620"/>
      <c r="R947" s="620"/>
      <c r="S947" s="620"/>
      <c r="T947" s="620"/>
      <c r="U947" s="620"/>
    </row>
    <row r="948">
      <c r="A948" s="905"/>
      <c r="B948" s="905"/>
      <c r="C948" s="520"/>
      <c r="D948" s="906"/>
      <c r="E948" s="907"/>
      <c r="F948" s="908"/>
      <c r="G948" s="909"/>
      <c r="H948" s="910"/>
      <c r="I948" s="907"/>
      <c r="J948" s="912"/>
      <c r="K948" s="909"/>
      <c r="L948" s="913"/>
      <c r="M948" s="620"/>
      <c r="N948" s="620"/>
      <c r="O948" s="620"/>
      <c r="P948" s="620"/>
      <c r="Q948" s="620"/>
      <c r="R948" s="620"/>
      <c r="S948" s="620"/>
      <c r="T948" s="620"/>
      <c r="U948" s="620"/>
    </row>
    <row r="949">
      <c r="A949" s="905"/>
      <c r="B949" s="905"/>
      <c r="C949" s="520"/>
      <c r="D949" s="906"/>
      <c r="E949" s="907"/>
      <c r="F949" s="908"/>
      <c r="G949" s="909"/>
      <c r="H949" s="910"/>
      <c r="I949" s="907"/>
      <c r="J949" s="912"/>
      <c r="K949" s="909"/>
      <c r="L949" s="913"/>
      <c r="M949" s="620"/>
      <c r="N949" s="620"/>
      <c r="O949" s="620"/>
      <c r="P949" s="620"/>
      <c r="Q949" s="620"/>
      <c r="R949" s="620"/>
      <c r="S949" s="620"/>
      <c r="T949" s="620"/>
      <c r="U949" s="620"/>
    </row>
    <row r="950">
      <c r="A950" s="905"/>
      <c r="B950" s="905"/>
      <c r="C950" s="520"/>
      <c r="D950" s="906"/>
      <c r="E950" s="907"/>
      <c r="F950" s="908"/>
      <c r="G950" s="909"/>
      <c r="H950" s="910"/>
      <c r="I950" s="907"/>
      <c r="J950" s="912"/>
      <c r="K950" s="909"/>
      <c r="L950" s="913"/>
      <c r="M950" s="620"/>
      <c r="N950" s="620"/>
      <c r="O950" s="620"/>
      <c r="P950" s="620"/>
      <c r="Q950" s="620"/>
      <c r="R950" s="620"/>
      <c r="S950" s="620"/>
      <c r="T950" s="620"/>
      <c r="U950" s="620"/>
    </row>
    <row r="951">
      <c r="A951" s="905"/>
      <c r="B951" s="905"/>
      <c r="C951" s="520"/>
      <c r="D951" s="906"/>
      <c r="E951" s="907"/>
      <c r="F951" s="908"/>
      <c r="G951" s="909"/>
      <c r="H951" s="910"/>
      <c r="I951" s="907"/>
      <c r="J951" s="912"/>
      <c r="K951" s="909"/>
      <c r="L951" s="913"/>
      <c r="M951" s="620"/>
      <c r="N951" s="620"/>
      <c r="O951" s="620"/>
      <c r="P951" s="620"/>
      <c r="Q951" s="620"/>
      <c r="R951" s="620"/>
      <c r="S951" s="620"/>
      <c r="T951" s="620"/>
      <c r="U951" s="620"/>
    </row>
    <row r="952">
      <c r="A952" s="905"/>
      <c r="B952" s="905"/>
      <c r="C952" s="520"/>
      <c r="D952" s="906"/>
      <c r="E952" s="907"/>
      <c r="F952" s="908"/>
      <c r="G952" s="909"/>
      <c r="H952" s="910"/>
      <c r="I952" s="907"/>
      <c r="J952" s="912"/>
      <c r="K952" s="909"/>
      <c r="L952" s="913"/>
      <c r="M952" s="620"/>
      <c r="N952" s="620"/>
      <c r="O952" s="620"/>
      <c r="P952" s="620"/>
      <c r="Q952" s="620"/>
      <c r="R952" s="620"/>
      <c r="S952" s="620"/>
      <c r="T952" s="620"/>
      <c r="U952" s="620"/>
    </row>
    <row r="953">
      <c r="A953" s="905"/>
      <c r="B953" s="905"/>
      <c r="C953" s="520"/>
      <c r="D953" s="906"/>
      <c r="E953" s="907"/>
      <c r="F953" s="908"/>
      <c r="G953" s="909"/>
      <c r="H953" s="910"/>
      <c r="I953" s="907"/>
      <c r="J953" s="912"/>
      <c r="K953" s="909"/>
      <c r="L953" s="913"/>
      <c r="M953" s="620"/>
      <c r="N953" s="620"/>
      <c r="O953" s="620"/>
      <c r="P953" s="620"/>
      <c r="Q953" s="620"/>
      <c r="R953" s="620"/>
      <c r="S953" s="620"/>
      <c r="T953" s="620"/>
      <c r="U953" s="620"/>
    </row>
    <row r="954">
      <c r="A954" s="905"/>
      <c r="B954" s="905"/>
      <c r="C954" s="520"/>
      <c r="D954" s="906"/>
      <c r="E954" s="907"/>
      <c r="F954" s="908"/>
      <c r="G954" s="909"/>
      <c r="H954" s="910"/>
      <c r="I954" s="907"/>
      <c r="J954" s="912"/>
      <c r="K954" s="909"/>
      <c r="L954" s="913"/>
      <c r="M954" s="620"/>
      <c r="N954" s="620"/>
      <c r="O954" s="620"/>
      <c r="P954" s="620"/>
      <c r="Q954" s="620"/>
      <c r="R954" s="620"/>
      <c r="S954" s="620"/>
      <c r="T954" s="620"/>
      <c r="U954" s="620"/>
    </row>
    <row r="955">
      <c r="A955" s="905"/>
      <c r="B955" s="905"/>
      <c r="C955" s="520"/>
      <c r="D955" s="906"/>
      <c r="E955" s="907"/>
      <c r="F955" s="908"/>
      <c r="G955" s="909"/>
      <c r="H955" s="910"/>
      <c r="I955" s="907"/>
      <c r="J955" s="912"/>
      <c r="K955" s="909"/>
      <c r="L955" s="913"/>
      <c r="M955" s="620"/>
      <c r="N955" s="620"/>
      <c r="O955" s="620"/>
      <c r="P955" s="620"/>
      <c r="Q955" s="620"/>
      <c r="R955" s="620"/>
      <c r="S955" s="620"/>
      <c r="T955" s="620"/>
      <c r="U955" s="620"/>
    </row>
    <row r="956">
      <c r="A956" s="905"/>
      <c r="B956" s="905"/>
      <c r="C956" s="520"/>
      <c r="D956" s="906"/>
      <c r="E956" s="907"/>
      <c r="F956" s="908"/>
      <c r="G956" s="909"/>
      <c r="H956" s="910"/>
      <c r="I956" s="907"/>
      <c r="J956" s="912"/>
      <c r="K956" s="909"/>
      <c r="L956" s="913"/>
      <c r="M956" s="620"/>
      <c r="N956" s="620"/>
      <c r="O956" s="620"/>
      <c r="P956" s="620"/>
      <c r="Q956" s="620"/>
      <c r="R956" s="620"/>
      <c r="S956" s="620"/>
      <c r="T956" s="620"/>
      <c r="U956" s="620"/>
    </row>
    <row r="957">
      <c r="A957" s="905"/>
      <c r="B957" s="905"/>
      <c r="C957" s="520"/>
      <c r="D957" s="906"/>
      <c r="E957" s="907"/>
      <c r="F957" s="908"/>
      <c r="G957" s="909"/>
      <c r="H957" s="910"/>
      <c r="I957" s="907"/>
      <c r="J957" s="912"/>
      <c r="K957" s="909"/>
      <c r="L957" s="913"/>
      <c r="M957" s="620"/>
      <c r="N957" s="620"/>
      <c r="O957" s="620"/>
      <c r="P957" s="620"/>
      <c r="Q957" s="620"/>
      <c r="R957" s="620"/>
      <c r="S957" s="620"/>
      <c r="T957" s="620"/>
      <c r="U957" s="620"/>
    </row>
    <row r="958">
      <c r="A958" s="905"/>
      <c r="B958" s="905"/>
      <c r="C958" s="520"/>
      <c r="D958" s="906"/>
      <c r="E958" s="907"/>
      <c r="F958" s="908"/>
      <c r="G958" s="909"/>
      <c r="H958" s="910"/>
      <c r="I958" s="907"/>
      <c r="J958" s="912"/>
      <c r="K958" s="909"/>
      <c r="L958" s="913"/>
      <c r="M958" s="620"/>
      <c r="N958" s="620"/>
      <c r="O958" s="620"/>
      <c r="P958" s="620"/>
      <c r="Q958" s="620"/>
      <c r="R958" s="620"/>
      <c r="S958" s="620"/>
      <c r="T958" s="620"/>
      <c r="U958" s="620"/>
    </row>
    <row r="959">
      <c r="A959" s="905"/>
      <c r="B959" s="905"/>
      <c r="C959" s="520"/>
      <c r="D959" s="906"/>
      <c r="E959" s="907"/>
      <c r="F959" s="908"/>
      <c r="G959" s="909"/>
      <c r="H959" s="910"/>
      <c r="I959" s="907"/>
      <c r="J959" s="912"/>
      <c r="K959" s="909"/>
      <c r="L959" s="913"/>
      <c r="M959" s="620"/>
      <c r="N959" s="620"/>
      <c r="O959" s="620"/>
      <c r="P959" s="620"/>
      <c r="Q959" s="620"/>
      <c r="R959" s="620"/>
      <c r="S959" s="620"/>
      <c r="T959" s="620"/>
      <c r="U959" s="620"/>
    </row>
    <row r="960">
      <c r="A960" s="905"/>
      <c r="B960" s="905"/>
      <c r="C960" s="520"/>
      <c r="D960" s="906"/>
      <c r="E960" s="907"/>
      <c r="F960" s="908"/>
      <c r="G960" s="909"/>
      <c r="H960" s="910"/>
      <c r="I960" s="907"/>
      <c r="J960" s="912"/>
      <c r="K960" s="909"/>
      <c r="L960" s="913"/>
      <c r="M960" s="620"/>
      <c r="N960" s="620"/>
      <c r="O960" s="620"/>
      <c r="P960" s="620"/>
      <c r="Q960" s="620"/>
      <c r="R960" s="620"/>
      <c r="S960" s="620"/>
      <c r="T960" s="620"/>
      <c r="U960" s="620"/>
    </row>
    <row r="961">
      <c r="A961" s="905"/>
      <c r="B961" s="905"/>
      <c r="C961" s="520"/>
      <c r="D961" s="906"/>
      <c r="E961" s="907"/>
      <c r="F961" s="908"/>
      <c r="G961" s="909"/>
      <c r="H961" s="910"/>
      <c r="I961" s="907"/>
      <c r="J961" s="912"/>
      <c r="K961" s="909"/>
      <c r="L961" s="913"/>
      <c r="M961" s="620"/>
      <c r="N961" s="620"/>
      <c r="O961" s="620"/>
      <c r="P961" s="620"/>
      <c r="Q961" s="620"/>
      <c r="R961" s="620"/>
      <c r="S961" s="620"/>
      <c r="T961" s="620"/>
      <c r="U961" s="620"/>
    </row>
    <row r="962">
      <c r="A962" s="905"/>
      <c r="B962" s="905"/>
      <c r="C962" s="520"/>
      <c r="D962" s="906"/>
      <c r="E962" s="907"/>
      <c r="F962" s="908"/>
      <c r="G962" s="909"/>
      <c r="H962" s="910"/>
      <c r="I962" s="907"/>
      <c r="J962" s="912"/>
      <c r="K962" s="909"/>
      <c r="L962" s="913"/>
      <c r="M962" s="620"/>
      <c r="N962" s="620"/>
      <c r="O962" s="620"/>
      <c r="P962" s="620"/>
      <c r="Q962" s="620"/>
      <c r="R962" s="620"/>
      <c r="S962" s="620"/>
      <c r="T962" s="620"/>
      <c r="U962" s="620"/>
    </row>
    <row r="963">
      <c r="A963" s="905"/>
      <c r="B963" s="905"/>
      <c r="C963" s="520"/>
      <c r="D963" s="906"/>
      <c r="E963" s="907"/>
      <c r="F963" s="908"/>
      <c r="G963" s="909"/>
      <c r="H963" s="910"/>
      <c r="I963" s="907"/>
      <c r="J963" s="912"/>
      <c r="K963" s="909"/>
      <c r="L963" s="913"/>
      <c r="M963" s="620"/>
      <c r="N963" s="620"/>
      <c r="O963" s="620"/>
      <c r="P963" s="620"/>
      <c r="Q963" s="620"/>
      <c r="R963" s="620"/>
      <c r="S963" s="620"/>
      <c r="T963" s="620"/>
      <c r="U963" s="620"/>
    </row>
    <row r="964">
      <c r="A964" s="905"/>
      <c r="B964" s="905"/>
      <c r="C964" s="520"/>
      <c r="D964" s="906"/>
      <c r="E964" s="907"/>
      <c r="F964" s="908"/>
      <c r="G964" s="909"/>
      <c r="H964" s="910"/>
      <c r="I964" s="907"/>
      <c r="J964" s="912"/>
      <c r="K964" s="909"/>
      <c r="L964" s="913"/>
      <c r="M964" s="620"/>
      <c r="N964" s="620"/>
      <c r="O964" s="620"/>
      <c r="P964" s="620"/>
      <c r="Q964" s="620"/>
      <c r="R964" s="620"/>
      <c r="S964" s="620"/>
      <c r="T964" s="620"/>
      <c r="U964" s="620"/>
    </row>
    <row r="965">
      <c r="A965" s="905"/>
      <c r="B965" s="905"/>
      <c r="C965" s="520"/>
      <c r="D965" s="906"/>
      <c r="E965" s="907"/>
      <c r="F965" s="908"/>
      <c r="G965" s="909"/>
      <c r="H965" s="910"/>
      <c r="I965" s="907"/>
      <c r="J965" s="912"/>
      <c r="K965" s="909"/>
      <c r="L965" s="913"/>
      <c r="M965" s="620"/>
      <c r="N965" s="620"/>
      <c r="O965" s="620"/>
      <c r="P965" s="620"/>
      <c r="Q965" s="620"/>
      <c r="R965" s="620"/>
      <c r="S965" s="620"/>
      <c r="T965" s="620"/>
      <c r="U965" s="620"/>
    </row>
    <row r="966">
      <c r="A966" s="905"/>
      <c r="B966" s="905"/>
      <c r="C966" s="520"/>
      <c r="D966" s="906"/>
      <c r="E966" s="907"/>
      <c r="F966" s="908"/>
      <c r="G966" s="909"/>
      <c r="H966" s="910"/>
      <c r="I966" s="907"/>
      <c r="J966" s="912"/>
      <c r="K966" s="909"/>
      <c r="L966" s="913"/>
      <c r="M966" s="620"/>
      <c r="N966" s="620"/>
      <c r="O966" s="620"/>
      <c r="P966" s="620"/>
      <c r="Q966" s="620"/>
      <c r="R966" s="620"/>
      <c r="S966" s="620"/>
      <c r="T966" s="620"/>
      <c r="U966" s="620"/>
    </row>
    <row r="967">
      <c r="A967" s="905"/>
      <c r="B967" s="905"/>
      <c r="C967" s="520"/>
      <c r="D967" s="906"/>
      <c r="E967" s="907"/>
      <c r="F967" s="908"/>
      <c r="G967" s="909"/>
      <c r="H967" s="910"/>
      <c r="I967" s="907"/>
      <c r="J967" s="912"/>
      <c r="K967" s="909"/>
      <c r="L967" s="913"/>
      <c r="M967" s="620"/>
      <c r="N967" s="620"/>
      <c r="O967" s="620"/>
      <c r="P967" s="620"/>
      <c r="Q967" s="620"/>
      <c r="R967" s="620"/>
      <c r="S967" s="620"/>
      <c r="T967" s="620"/>
      <c r="U967" s="620"/>
    </row>
    <row r="968">
      <c r="A968" s="905"/>
      <c r="B968" s="905"/>
      <c r="C968" s="520"/>
      <c r="D968" s="906"/>
      <c r="E968" s="907"/>
      <c r="F968" s="908"/>
      <c r="G968" s="909"/>
      <c r="H968" s="910"/>
      <c r="I968" s="907"/>
      <c r="J968" s="912"/>
      <c r="K968" s="909"/>
      <c r="L968" s="913"/>
      <c r="M968" s="620"/>
      <c r="N968" s="620"/>
      <c r="O968" s="620"/>
      <c r="P968" s="620"/>
      <c r="Q968" s="620"/>
      <c r="R968" s="620"/>
      <c r="S968" s="620"/>
      <c r="T968" s="620"/>
      <c r="U968" s="620"/>
    </row>
    <row r="969">
      <c r="A969" s="905"/>
      <c r="B969" s="905"/>
      <c r="C969" s="520"/>
      <c r="D969" s="906"/>
      <c r="E969" s="907"/>
      <c r="F969" s="908"/>
      <c r="G969" s="909"/>
      <c r="H969" s="910"/>
      <c r="I969" s="907"/>
      <c r="J969" s="912"/>
      <c r="K969" s="909"/>
      <c r="L969" s="913"/>
      <c r="M969" s="620"/>
      <c r="N969" s="620"/>
      <c r="O969" s="620"/>
      <c r="P969" s="620"/>
      <c r="Q969" s="620"/>
      <c r="R969" s="620"/>
      <c r="S969" s="620"/>
      <c r="T969" s="620"/>
      <c r="U969" s="620"/>
    </row>
    <row r="970">
      <c r="A970" s="905"/>
      <c r="B970" s="905"/>
      <c r="C970" s="520"/>
      <c r="D970" s="906"/>
      <c r="E970" s="907"/>
      <c r="F970" s="908"/>
      <c r="G970" s="909"/>
      <c r="H970" s="910"/>
      <c r="I970" s="907"/>
      <c r="J970" s="912"/>
      <c r="K970" s="909"/>
      <c r="L970" s="913"/>
      <c r="M970" s="620"/>
      <c r="N970" s="620"/>
      <c r="O970" s="620"/>
      <c r="P970" s="620"/>
      <c r="Q970" s="620"/>
      <c r="R970" s="620"/>
      <c r="S970" s="620"/>
      <c r="T970" s="620"/>
      <c r="U970" s="620"/>
    </row>
    <row r="971">
      <c r="A971" s="905"/>
      <c r="B971" s="905"/>
      <c r="C971" s="520"/>
      <c r="D971" s="906"/>
      <c r="E971" s="907"/>
      <c r="F971" s="908"/>
      <c r="G971" s="909"/>
      <c r="H971" s="910"/>
      <c r="I971" s="907"/>
      <c r="J971" s="912"/>
      <c r="K971" s="909"/>
      <c r="L971" s="913"/>
      <c r="M971" s="620"/>
      <c r="N971" s="620"/>
      <c r="O971" s="620"/>
      <c r="P971" s="620"/>
      <c r="Q971" s="620"/>
      <c r="R971" s="620"/>
      <c r="S971" s="620"/>
      <c r="T971" s="620"/>
      <c r="U971" s="620"/>
    </row>
    <row r="972">
      <c r="A972" s="905"/>
      <c r="B972" s="905"/>
      <c r="C972" s="520"/>
      <c r="D972" s="906"/>
      <c r="E972" s="907"/>
      <c r="F972" s="908"/>
      <c r="G972" s="909"/>
      <c r="H972" s="910"/>
      <c r="I972" s="907"/>
      <c r="J972" s="912"/>
      <c r="K972" s="909"/>
      <c r="L972" s="913"/>
      <c r="M972" s="620"/>
      <c r="N972" s="620"/>
      <c r="O972" s="620"/>
      <c r="P972" s="620"/>
      <c r="Q972" s="620"/>
      <c r="R972" s="620"/>
      <c r="S972" s="620"/>
      <c r="T972" s="620"/>
      <c r="U972" s="620"/>
    </row>
    <row r="973">
      <c r="A973" s="905"/>
      <c r="B973" s="905"/>
      <c r="C973" s="520"/>
      <c r="D973" s="906"/>
      <c r="E973" s="907"/>
      <c r="F973" s="908"/>
      <c r="G973" s="909"/>
      <c r="H973" s="910"/>
      <c r="I973" s="907"/>
      <c r="J973" s="912"/>
      <c r="K973" s="909"/>
      <c r="L973" s="913"/>
      <c r="M973" s="620"/>
      <c r="N973" s="620"/>
      <c r="O973" s="620"/>
      <c r="P973" s="620"/>
      <c r="Q973" s="620"/>
      <c r="R973" s="620"/>
      <c r="S973" s="620"/>
      <c r="T973" s="620"/>
      <c r="U973" s="620"/>
    </row>
    <row r="974">
      <c r="A974" s="905"/>
      <c r="B974" s="905"/>
      <c r="C974" s="520"/>
      <c r="D974" s="906"/>
      <c r="E974" s="907"/>
      <c r="F974" s="908"/>
      <c r="G974" s="909"/>
      <c r="H974" s="910"/>
      <c r="I974" s="907"/>
      <c r="J974" s="912"/>
      <c r="K974" s="909"/>
      <c r="L974" s="913"/>
      <c r="M974" s="620"/>
      <c r="N974" s="620"/>
      <c r="O974" s="620"/>
      <c r="P974" s="620"/>
      <c r="Q974" s="620"/>
      <c r="R974" s="620"/>
      <c r="S974" s="620"/>
      <c r="T974" s="620"/>
      <c r="U974" s="620"/>
    </row>
    <row r="975">
      <c r="A975" s="905"/>
      <c r="B975" s="905"/>
      <c r="C975" s="520"/>
      <c r="D975" s="906"/>
      <c r="E975" s="907"/>
      <c r="F975" s="908"/>
      <c r="G975" s="909"/>
      <c r="H975" s="910"/>
      <c r="I975" s="907"/>
      <c r="J975" s="912"/>
      <c r="K975" s="909"/>
      <c r="L975" s="913"/>
      <c r="M975" s="620"/>
      <c r="N975" s="620"/>
      <c r="O975" s="620"/>
      <c r="P975" s="620"/>
      <c r="Q975" s="620"/>
      <c r="R975" s="620"/>
      <c r="S975" s="620"/>
      <c r="T975" s="620"/>
      <c r="U975" s="620"/>
    </row>
    <row r="976">
      <c r="A976" s="905"/>
      <c r="B976" s="905"/>
      <c r="C976" s="520"/>
      <c r="D976" s="906"/>
      <c r="E976" s="907"/>
      <c r="F976" s="908"/>
      <c r="G976" s="909"/>
      <c r="H976" s="910"/>
      <c r="I976" s="907"/>
      <c r="J976" s="912"/>
      <c r="K976" s="909"/>
      <c r="L976" s="913"/>
      <c r="M976" s="620"/>
      <c r="N976" s="620"/>
      <c r="O976" s="620"/>
      <c r="P976" s="620"/>
      <c r="Q976" s="620"/>
      <c r="R976" s="620"/>
      <c r="S976" s="620"/>
      <c r="T976" s="620"/>
      <c r="U976" s="620"/>
    </row>
    <row r="977">
      <c r="A977" s="905"/>
      <c r="B977" s="905"/>
      <c r="C977" s="520"/>
      <c r="D977" s="906"/>
      <c r="E977" s="907"/>
      <c r="F977" s="908"/>
      <c r="G977" s="909"/>
      <c r="H977" s="910"/>
      <c r="I977" s="907"/>
      <c r="J977" s="912"/>
      <c r="K977" s="909"/>
      <c r="L977" s="913"/>
      <c r="M977" s="620"/>
      <c r="N977" s="620"/>
      <c r="O977" s="620"/>
      <c r="P977" s="620"/>
      <c r="Q977" s="620"/>
      <c r="R977" s="620"/>
      <c r="S977" s="620"/>
      <c r="T977" s="620"/>
      <c r="U977" s="620"/>
    </row>
    <row r="978">
      <c r="A978" s="905"/>
      <c r="B978" s="905"/>
      <c r="C978" s="520"/>
      <c r="D978" s="906"/>
      <c r="E978" s="907"/>
      <c r="F978" s="908"/>
      <c r="G978" s="909"/>
      <c r="H978" s="910"/>
      <c r="I978" s="907"/>
      <c r="J978" s="912"/>
      <c r="K978" s="909"/>
      <c r="L978" s="913"/>
      <c r="M978" s="620"/>
      <c r="N978" s="620"/>
      <c r="O978" s="620"/>
      <c r="P978" s="620"/>
      <c r="Q978" s="620"/>
      <c r="R978" s="620"/>
      <c r="S978" s="620"/>
      <c r="T978" s="620"/>
      <c r="U978" s="620"/>
    </row>
    <row r="979">
      <c r="A979" s="905"/>
      <c r="B979" s="905"/>
      <c r="C979" s="520"/>
      <c r="D979" s="906"/>
      <c r="E979" s="907"/>
      <c r="F979" s="908"/>
      <c r="G979" s="909"/>
      <c r="H979" s="910"/>
      <c r="I979" s="907"/>
      <c r="J979" s="912"/>
      <c r="K979" s="909"/>
      <c r="L979" s="913"/>
      <c r="M979" s="620"/>
      <c r="N979" s="620"/>
      <c r="O979" s="620"/>
      <c r="P979" s="620"/>
      <c r="Q979" s="620"/>
      <c r="R979" s="620"/>
      <c r="S979" s="620"/>
      <c r="T979" s="620"/>
      <c r="U979" s="620"/>
    </row>
    <row r="980">
      <c r="A980" s="905"/>
      <c r="B980" s="905"/>
      <c r="C980" s="520"/>
      <c r="D980" s="906"/>
      <c r="E980" s="907"/>
      <c r="F980" s="908"/>
      <c r="G980" s="909"/>
      <c r="H980" s="910"/>
      <c r="I980" s="907"/>
      <c r="J980" s="912"/>
      <c r="K980" s="909"/>
      <c r="L980" s="913"/>
      <c r="M980" s="620"/>
      <c r="N980" s="620"/>
      <c r="O980" s="620"/>
      <c r="P980" s="620"/>
      <c r="Q980" s="620"/>
      <c r="R980" s="620"/>
      <c r="S980" s="620"/>
      <c r="T980" s="620"/>
      <c r="U980" s="620"/>
    </row>
    <row r="981">
      <c r="A981" s="905"/>
      <c r="B981" s="905"/>
      <c r="C981" s="520"/>
      <c r="D981" s="906"/>
      <c r="E981" s="907"/>
      <c r="F981" s="908"/>
      <c r="G981" s="909"/>
      <c r="H981" s="910"/>
      <c r="I981" s="907"/>
      <c r="J981" s="912"/>
      <c r="K981" s="909"/>
      <c r="L981" s="913"/>
      <c r="M981" s="620"/>
      <c r="N981" s="620"/>
      <c r="O981" s="620"/>
      <c r="P981" s="620"/>
      <c r="Q981" s="620"/>
      <c r="R981" s="620"/>
      <c r="S981" s="620"/>
      <c r="T981" s="620"/>
      <c r="U981" s="620"/>
    </row>
    <row r="982">
      <c r="A982" s="905"/>
      <c r="B982" s="905"/>
      <c r="C982" s="520"/>
      <c r="D982" s="906"/>
      <c r="E982" s="907"/>
      <c r="F982" s="908"/>
      <c r="G982" s="909"/>
      <c r="H982" s="910"/>
      <c r="I982" s="907"/>
      <c r="J982" s="912"/>
      <c r="K982" s="909"/>
      <c r="L982" s="913"/>
      <c r="M982" s="620"/>
      <c r="N982" s="620"/>
      <c r="O982" s="620"/>
      <c r="P982" s="620"/>
      <c r="Q982" s="620"/>
      <c r="R982" s="620"/>
      <c r="S982" s="620"/>
      <c r="T982" s="620"/>
      <c r="U982" s="620"/>
    </row>
    <row r="983">
      <c r="A983" s="905"/>
      <c r="B983" s="905"/>
      <c r="C983" s="520"/>
      <c r="D983" s="906"/>
      <c r="E983" s="907"/>
      <c r="F983" s="908"/>
      <c r="G983" s="909"/>
      <c r="H983" s="910"/>
      <c r="I983" s="907"/>
      <c r="J983" s="912"/>
      <c r="K983" s="909"/>
      <c r="L983" s="913"/>
      <c r="M983" s="620"/>
      <c r="N983" s="620"/>
      <c r="O983" s="620"/>
      <c r="P983" s="620"/>
      <c r="Q983" s="620"/>
      <c r="R983" s="620"/>
      <c r="S983" s="620"/>
      <c r="T983" s="620"/>
      <c r="U983" s="620"/>
    </row>
    <row r="984">
      <c r="A984" s="905"/>
      <c r="B984" s="905"/>
      <c r="C984" s="520"/>
      <c r="D984" s="906"/>
      <c r="E984" s="907"/>
      <c r="F984" s="908"/>
      <c r="G984" s="909"/>
      <c r="H984" s="910"/>
      <c r="I984" s="907"/>
      <c r="J984" s="912"/>
      <c r="K984" s="909"/>
      <c r="L984" s="913"/>
      <c r="M984" s="620"/>
      <c r="N984" s="620"/>
      <c r="O984" s="620"/>
      <c r="P984" s="620"/>
      <c r="Q984" s="620"/>
      <c r="R984" s="620"/>
      <c r="S984" s="620"/>
      <c r="T984" s="620"/>
      <c r="U984" s="620"/>
    </row>
    <row r="985">
      <c r="A985" s="905"/>
      <c r="B985" s="905"/>
      <c r="C985" s="520"/>
      <c r="D985" s="906"/>
      <c r="E985" s="907"/>
      <c r="F985" s="908"/>
      <c r="G985" s="909"/>
      <c r="H985" s="910"/>
      <c r="I985" s="907"/>
      <c r="J985" s="912"/>
      <c r="K985" s="909"/>
      <c r="L985" s="913"/>
      <c r="M985" s="620"/>
      <c r="N985" s="620"/>
      <c r="O985" s="620"/>
      <c r="P985" s="620"/>
      <c r="Q985" s="620"/>
      <c r="R985" s="620"/>
      <c r="S985" s="620"/>
      <c r="T985" s="620"/>
      <c r="U985" s="620"/>
    </row>
    <row r="986">
      <c r="A986" s="905"/>
      <c r="B986" s="905"/>
      <c r="C986" s="520"/>
      <c r="D986" s="906"/>
      <c r="E986" s="907"/>
      <c r="F986" s="908"/>
      <c r="G986" s="909"/>
      <c r="H986" s="910"/>
      <c r="I986" s="907"/>
      <c r="J986" s="912"/>
      <c r="K986" s="909"/>
      <c r="L986" s="913"/>
      <c r="M986" s="620"/>
      <c r="N986" s="620"/>
      <c r="O986" s="620"/>
      <c r="P986" s="620"/>
      <c r="Q986" s="620"/>
      <c r="R986" s="620"/>
      <c r="S986" s="620"/>
      <c r="T986" s="620"/>
      <c r="U986" s="620"/>
    </row>
    <row r="987">
      <c r="A987" s="905"/>
      <c r="B987" s="905"/>
      <c r="C987" s="520"/>
      <c r="D987" s="906"/>
      <c r="E987" s="907"/>
      <c r="F987" s="908"/>
      <c r="G987" s="909"/>
      <c r="H987" s="910"/>
      <c r="I987" s="907"/>
      <c r="J987" s="912"/>
      <c r="K987" s="909"/>
      <c r="L987" s="913"/>
      <c r="M987" s="620"/>
      <c r="N987" s="620"/>
      <c r="O987" s="620"/>
      <c r="P987" s="620"/>
      <c r="Q987" s="620"/>
      <c r="R987" s="620"/>
      <c r="S987" s="620"/>
      <c r="T987" s="620"/>
      <c r="U987" s="620"/>
    </row>
    <row r="988">
      <c r="A988" s="905"/>
      <c r="B988" s="905"/>
      <c r="C988" s="520"/>
      <c r="D988" s="906"/>
      <c r="E988" s="907"/>
      <c r="F988" s="908"/>
      <c r="G988" s="909"/>
      <c r="H988" s="910"/>
      <c r="I988" s="907"/>
      <c r="J988" s="912"/>
      <c r="K988" s="909"/>
      <c r="L988" s="913"/>
      <c r="M988" s="620"/>
      <c r="N988" s="620"/>
      <c r="O988" s="620"/>
      <c r="P988" s="620"/>
      <c r="Q988" s="620"/>
      <c r="R988" s="620"/>
      <c r="S988" s="620"/>
      <c r="T988" s="620"/>
      <c r="U988" s="620"/>
    </row>
    <row r="989">
      <c r="A989" s="905"/>
      <c r="B989" s="905"/>
      <c r="C989" s="520"/>
      <c r="D989" s="906"/>
      <c r="E989" s="907"/>
      <c r="F989" s="908"/>
      <c r="G989" s="909"/>
      <c r="H989" s="910"/>
      <c r="I989" s="907"/>
      <c r="J989" s="912"/>
      <c r="K989" s="909"/>
      <c r="L989" s="913"/>
      <c r="M989" s="620"/>
      <c r="N989" s="620"/>
      <c r="O989" s="620"/>
      <c r="P989" s="620"/>
      <c r="Q989" s="620"/>
      <c r="R989" s="620"/>
      <c r="S989" s="620"/>
      <c r="T989" s="620"/>
      <c r="U989" s="620"/>
    </row>
    <row r="990">
      <c r="A990" s="905"/>
      <c r="B990" s="905"/>
      <c r="C990" s="520"/>
      <c r="D990" s="906"/>
      <c r="E990" s="907"/>
      <c r="F990" s="908"/>
      <c r="G990" s="909"/>
      <c r="H990" s="910"/>
      <c r="I990" s="907"/>
      <c r="J990" s="912"/>
      <c r="K990" s="909"/>
      <c r="L990" s="913"/>
      <c r="M990" s="620"/>
      <c r="N990" s="620"/>
      <c r="O990" s="620"/>
      <c r="P990" s="620"/>
      <c r="Q990" s="620"/>
      <c r="R990" s="620"/>
      <c r="S990" s="620"/>
      <c r="T990" s="620"/>
      <c r="U990" s="620"/>
    </row>
    <row r="991">
      <c r="A991" s="905"/>
      <c r="B991" s="905"/>
      <c r="C991" s="520"/>
      <c r="D991" s="906"/>
      <c r="E991" s="907"/>
      <c r="F991" s="908"/>
      <c r="G991" s="909"/>
      <c r="H991" s="910"/>
      <c r="I991" s="907"/>
      <c r="J991" s="912"/>
      <c r="K991" s="909"/>
      <c r="L991" s="913"/>
      <c r="M991" s="620"/>
      <c r="N991" s="620"/>
      <c r="O991" s="620"/>
      <c r="P991" s="620"/>
      <c r="Q991" s="620"/>
      <c r="R991" s="620"/>
      <c r="S991" s="620"/>
      <c r="T991" s="620"/>
      <c r="U991" s="620"/>
    </row>
    <row r="992">
      <c r="A992" s="905"/>
      <c r="B992" s="905"/>
      <c r="C992" s="520"/>
      <c r="D992" s="906"/>
      <c r="E992" s="907"/>
      <c r="F992" s="908"/>
      <c r="G992" s="909"/>
      <c r="H992" s="910"/>
      <c r="I992" s="907"/>
      <c r="J992" s="912"/>
      <c r="K992" s="909"/>
      <c r="L992" s="913"/>
      <c r="M992" s="620"/>
      <c r="N992" s="620"/>
      <c r="O992" s="620"/>
      <c r="P992" s="620"/>
      <c r="Q992" s="620"/>
      <c r="R992" s="620"/>
      <c r="S992" s="620"/>
      <c r="T992" s="620"/>
      <c r="U992" s="620"/>
    </row>
    <row r="993">
      <c r="A993" s="905"/>
      <c r="B993" s="905"/>
      <c r="C993" s="520"/>
      <c r="D993" s="906"/>
      <c r="E993" s="907"/>
      <c r="F993" s="908"/>
      <c r="G993" s="909"/>
      <c r="H993" s="910"/>
      <c r="I993" s="907"/>
      <c r="J993" s="912"/>
      <c r="K993" s="909"/>
      <c r="L993" s="913"/>
      <c r="M993" s="620"/>
      <c r="N993" s="620"/>
      <c r="O993" s="620"/>
      <c r="P993" s="620"/>
      <c r="Q993" s="620"/>
      <c r="R993" s="620"/>
      <c r="S993" s="620"/>
      <c r="T993" s="620"/>
      <c r="U993" s="620"/>
    </row>
    <row r="994">
      <c r="A994" s="905"/>
      <c r="B994" s="905"/>
      <c r="C994" s="520"/>
      <c r="D994" s="906"/>
      <c r="E994" s="907"/>
      <c r="F994" s="908"/>
      <c r="G994" s="909"/>
      <c r="H994" s="910"/>
      <c r="I994" s="907"/>
      <c r="J994" s="912"/>
      <c r="K994" s="909"/>
      <c r="L994" s="913"/>
      <c r="M994" s="620"/>
      <c r="N994" s="620"/>
      <c r="O994" s="620"/>
      <c r="P994" s="620"/>
      <c r="Q994" s="620"/>
      <c r="R994" s="620"/>
      <c r="S994" s="620"/>
      <c r="T994" s="620"/>
      <c r="U994" s="620"/>
    </row>
    <row r="995">
      <c r="A995" s="905"/>
      <c r="B995" s="905"/>
      <c r="C995" s="520"/>
      <c r="D995" s="906"/>
      <c r="E995" s="907"/>
      <c r="F995" s="908"/>
      <c r="G995" s="909"/>
      <c r="H995" s="910"/>
      <c r="I995" s="907"/>
      <c r="J995" s="912"/>
      <c r="K995" s="909"/>
      <c r="L995" s="913"/>
      <c r="M995" s="620"/>
      <c r="N995" s="620"/>
      <c r="O995" s="620"/>
      <c r="P995" s="620"/>
      <c r="Q995" s="620"/>
      <c r="R995" s="620"/>
      <c r="S995" s="620"/>
      <c r="T995" s="620"/>
      <c r="U995" s="620"/>
    </row>
    <row r="996">
      <c r="A996" s="905"/>
      <c r="B996" s="905"/>
      <c r="C996" s="520"/>
      <c r="D996" s="906"/>
      <c r="E996" s="907"/>
      <c r="F996" s="908"/>
      <c r="G996" s="909"/>
      <c r="H996" s="910"/>
      <c r="I996" s="907"/>
      <c r="J996" s="912"/>
      <c r="K996" s="909"/>
      <c r="L996" s="913"/>
      <c r="M996" s="620"/>
      <c r="N996" s="620"/>
      <c r="O996" s="620"/>
      <c r="P996" s="620"/>
      <c r="Q996" s="620"/>
      <c r="R996" s="620"/>
      <c r="S996" s="620"/>
      <c r="T996" s="620"/>
      <c r="U996" s="620"/>
    </row>
    <row r="997">
      <c r="A997" s="905"/>
      <c r="B997" s="905"/>
      <c r="C997" s="520"/>
      <c r="D997" s="906"/>
      <c r="E997" s="907"/>
      <c r="F997" s="908"/>
      <c r="G997" s="909"/>
      <c r="H997" s="910"/>
      <c r="I997" s="907"/>
      <c r="J997" s="912"/>
      <c r="K997" s="909"/>
      <c r="L997" s="913"/>
      <c r="M997" s="620"/>
      <c r="N997" s="620"/>
      <c r="O997" s="620"/>
      <c r="P997" s="620"/>
      <c r="Q997" s="620"/>
      <c r="R997" s="620"/>
      <c r="S997" s="620"/>
      <c r="T997" s="620"/>
      <c r="U997" s="620"/>
    </row>
    <row r="998">
      <c r="A998" s="905"/>
      <c r="B998" s="905"/>
      <c r="C998" s="520"/>
      <c r="D998" s="906"/>
      <c r="E998" s="907"/>
      <c r="F998" s="908"/>
      <c r="G998" s="909"/>
      <c r="H998" s="910"/>
      <c r="I998" s="907"/>
      <c r="J998" s="912"/>
      <c r="K998" s="909"/>
      <c r="L998" s="913"/>
      <c r="M998" s="620"/>
      <c r="N998" s="620"/>
      <c r="O998" s="620"/>
      <c r="P998" s="620"/>
      <c r="Q998" s="620"/>
      <c r="R998" s="620"/>
      <c r="S998" s="620"/>
      <c r="T998" s="620"/>
      <c r="U998" s="620"/>
    </row>
    <row r="999">
      <c r="A999" s="905"/>
      <c r="B999" s="905"/>
      <c r="C999" s="520"/>
      <c r="D999" s="906"/>
      <c r="E999" s="907"/>
      <c r="F999" s="908"/>
      <c r="G999" s="909"/>
      <c r="H999" s="910"/>
      <c r="I999" s="907"/>
      <c r="J999" s="912"/>
      <c r="K999" s="909"/>
      <c r="L999" s="913"/>
      <c r="M999" s="620"/>
      <c r="N999" s="620"/>
      <c r="O999" s="620"/>
      <c r="P999" s="620"/>
      <c r="Q999" s="620"/>
      <c r="R999" s="620"/>
      <c r="S999" s="620"/>
      <c r="T999" s="620"/>
      <c r="U999" s="620"/>
    </row>
    <row r="1000">
      <c r="A1000" s="905"/>
      <c r="B1000" s="905"/>
      <c r="C1000" s="520"/>
      <c r="D1000" s="906"/>
      <c r="E1000" s="907"/>
      <c r="F1000" s="908"/>
      <c r="G1000" s="909"/>
      <c r="H1000" s="910"/>
      <c r="I1000" s="907"/>
      <c r="J1000" s="912"/>
      <c r="K1000" s="909"/>
      <c r="L1000" s="913"/>
      <c r="M1000" s="620"/>
      <c r="N1000" s="620"/>
      <c r="O1000" s="620"/>
      <c r="P1000" s="620"/>
      <c r="Q1000" s="620"/>
      <c r="R1000" s="620"/>
      <c r="S1000" s="620"/>
      <c r="T1000" s="620"/>
      <c r="U1000" s="620"/>
    </row>
    <row r="1001">
      <c r="A1001" s="905"/>
      <c r="B1001" s="905"/>
      <c r="C1001" s="520"/>
      <c r="D1001" s="906"/>
      <c r="E1001" s="907"/>
      <c r="F1001" s="908"/>
      <c r="G1001" s="909"/>
      <c r="H1001" s="910"/>
      <c r="I1001" s="907"/>
      <c r="J1001" s="912"/>
      <c r="K1001" s="909"/>
      <c r="L1001" s="913"/>
      <c r="M1001" s="620"/>
      <c r="N1001" s="620"/>
      <c r="O1001" s="620"/>
      <c r="P1001" s="620"/>
      <c r="Q1001" s="620"/>
      <c r="R1001" s="620"/>
      <c r="S1001" s="620"/>
      <c r="T1001" s="620"/>
      <c r="U1001" s="620"/>
    </row>
    <row r="1002">
      <c r="A1002" s="905"/>
      <c r="B1002" s="905"/>
      <c r="C1002" s="520"/>
      <c r="D1002" s="906"/>
      <c r="E1002" s="907"/>
      <c r="F1002" s="908"/>
      <c r="G1002" s="909"/>
      <c r="H1002" s="910"/>
      <c r="I1002" s="907"/>
      <c r="J1002" s="912"/>
      <c r="K1002" s="909"/>
      <c r="L1002" s="913"/>
      <c r="M1002" s="620"/>
      <c r="N1002" s="620"/>
      <c r="O1002" s="620"/>
      <c r="P1002" s="620"/>
      <c r="Q1002" s="620"/>
      <c r="R1002" s="620"/>
      <c r="S1002" s="620"/>
      <c r="T1002" s="620"/>
      <c r="U1002" s="620"/>
    </row>
    <row r="1003">
      <c r="A1003" s="905"/>
      <c r="B1003" s="905"/>
      <c r="C1003" s="520"/>
      <c r="D1003" s="906"/>
      <c r="E1003" s="907"/>
      <c r="F1003" s="908"/>
      <c r="G1003" s="909"/>
      <c r="H1003" s="910"/>
      <c r="I1003" s="907"/>
      <c r="J1003" s="912"/>
      <c r="K1003" s="909"/>
      <c r="L1003" s="913"/>
      <c r="M1003" s="620"/>
      <c r="N1003" s="620"/>
      <c r="O1003" s="620"/>
      <c r="P1003" s="620"/>
      <c r="Q1003" s="620"/>
      <c r="R1003" s="620"/>
      <c r="S1003" s="620"/>
      <c r="T1003" s="620"/>
      <c r="U1003" s="620"/>
    </row>
    <row r="1004">
      <c r="A1004" s="905"/>
      <c r="B1004" s="905"/>
      <c r="C1004" s="520"/>
      <c r="D1004" s="906"/>
      <c r="E1004" s="907"/>
      <c r="F1004" s="908"/>
      <c r="G1004" s="909"/>
      <c r="H1004" s="910"/>
      <c r="I1004" s="907"/>
      <c r="J1004" s="912"/>
      <c r="K1004" s="909"/>
      <c r="L1004" s="913"/>
      <c r="M1004" s="620"/>
      <c r="N1004" s="620"/>
      <c r="O1004" s="620"/>
      <c r="P1004" s="620"/>
      <c r="Q1004" s="620"/>
      <c r="R1004" s="620"/>
      <c r="S1004" s="620"/>
      <c r="T1004" s="620"/>
      <c r="U1004" s="620"/>
    </row>
    <row r="1005">
      <c r="A1005" s="905"/>
      <c r="B1005" s="905"/>
      <c r="C1005" s="520"/>
      <c r="D1005" s="906"/>
      <c r="E1005" s="907"/>
      <c r="F1005" s="908"/>
      <c r="G1005" s="909"/>
      <c r="H1005" s="910"/>
      <c r="I1005" s="907"/>
      <c r="J1005" s="912"/>
      <c r="K1005" s="909"/>
      <c r="L1005" s="913"/>
      <c r="M1005" s="620"/>
      <c r="N1005" s="620"/>
      <c r="O1005" s="620"/>
      <c r="P1005" s="620"/>
      <c r="Q1005" s="620"/>
      <c r="R1005" s="620"/>
      <c r="S1005" s="620"/>
      <c r="T1005" s="620"/>
      <c r="U1005" s="620"/>
    </row>
    <row r="1006">
      <c r="A1006" s="905"/>
      <c r="B1006" s="905"/>
      <c r="C1006" s="520"/>
      <c r="D1006" s="906"/>
      <c r="E1006" s="907"/>
      <c r="F1006" s="908"/>
      <c r="G1006" s="909"/>
      <c r="H1006" s="910"/>
      <c r="I1006" s="907"/>
      <c r="J1006" s="912"/>
      <c r="K1006" s="909"/>
      <c r="L1006" s="913"/>
      <c r="M1006" s="620"/>
      <c r="N1006" s="620"/>
      <c r="O1006" s="620"/>
      <c r="P1006" s="620"/>
      <c r="Q1006" s="620"/>
      <c r="R1006" s="620"/>
      <c r="S1006" s="620"/>
      <c r="T1006" s="620"/>
      <c r="U1006" s="620"/>
    </row>
    <row r="1007">
      <c r="A1007" s="905"/>
      <c r="B1007" s="905"/>
      <c r="C1007" s="520"/>
      <c r="D1007" s="906"/>
      <c r="E1007" s="907"/>
      <c r="F1007" s="908"/>
      <c r="G1007" s="909"/>
      <c r="H1007" s="910"/>
      <c r="I1007" s="907"/>
      <c r="J1007" s="912"/>
      <c r="K1007" s="909"/>
      <c r="L1007" s="913"/>
      <c r="M1007" s="620"/>
      <c r="N1007" s="620"/>
      <c r="O1007" s="620"/>
      <c r="P1007" s="620"/>
      <c r="Q1007" s="620"/>
      <c r="R1007" s="620"/>
      <c r="S1007" s="620"/>
      <c r="T1007" s="620"/>
      <c r="U1007" s="620"/>
    </row>
    <row r="1008">
      <c r="A1008" s="905"/>
      <c r="B1008" s="905"/>
      <c r="C1008" s="520"/>
      <c r="D1008" s="906"/>
      <c r="E1008" s="907"/>
      <c r="F1008" s="908"/>
      <c r="G1008" s="909"/>
      <c r="H1008" s="910"/>
      <c r="I1008" s="907"/>
      <c r="J1008" s="912"/>
      <c r="K1008" s="909"/>
      <c r="L1008" s="913"/>
      <c r="M1008" s="620"/>
      <c r="N1008" s="620"/>
      <c r="O1008" s="620"/>
      <c r="P1008" s="620"/>
      <c r="Q1008" s="620"/>
      <c r="R1008" s="620"/>
      <c r="S1008" s="620"/>
      <c r="T1008" s="620"/>
      <c r="U1008" s="620"/>
    </row>
    <row r="1009">
      <c r="A1009" s="905"/>
      <c r="B1009" s="905"/>
      <c r="C1009" s="520"/>
      <c r="D1009" s="906"/>
      <c r="E1009" s="907"/>
      <c r="F1009" s="908"/>
      <c r="G1009" s="909"/>
      <c r="H1009" s="910"/>
      <c r="I1009" s="907"/>
      <c r="J1009" s="912"/>
      <c r="K1009" s="909"/>
      <c r="L1009" s="913"/>
      <c r="M1009" s="620"/>
      <c r="N1009" s="620"/>
      <c r="O1009" s="620"/>
      <c r="P1009" s="620"/>
      <c r="Q1009" s="620"/>
      <c r="R1009" s="620"/>
      <c r="S1009" s="620"/>
      <c r="T1009" s="620"/>
      <c r="U1009" s="620"/>
    </row>
    <row r="1010">
      <c r="A1010" s="905"/>
      <c r="B1010" s="905"/>
      <c r="C1010" s="520"/>
      <c r="D1010" s="906"/>
      <c r="E1010" s="907"/>
      <c r="F1010" s="908"/>
      <c r="G1010" s="909"/>
      <c r="H1010" s="910"/>
      <c r="I1010" s="907"/>
      <c r="J1010" s="912"/>
      <c r="K1010" s="909"/>
      <c r="L1010" s="913"/>
      <c r="M1010" s="620"/>
      <c r="N1010" s="620"/>
      <c r="O1010" s="620"/>
      <c r="P1010" s="620"/>
      <c r="Q1010" s="620"/>
      <c r="R1010" s="620"/>
      <c r="S1010" s="620"/>
      <c r="T1010" s="620"/>
      <c r="U1010" s="620"/>
    </row>
    <row r="1011">
      <c r="A1011" s="905"/>
      <c r="B1011" s="905"/>
      <c r="C1011" s="520"/>
      <c r="D1011" s="906"/>
      <c r="E1011" s="907"/>
      <c r="F1011" s="908"/>
      <c r="G1011" s="909"/>
      <c r="H1011" s="910"/>
      <c r="I1011" s="907"/>
      <c r="J1011" s="912"/>
      <c r="K1011" s="909"/>
      <c r="L1011" s="913"/>
      <c r="M1011" s="620"/>
      <c r="N1011" s="620"/>
      <c r="O1011" s="620"/>
      <c r="P1011" s="620"/>
      <c r="Q1011" s="620"/>
      <c r="R1011" s="620"/>
      <c r="S1011" s="620"/>
      <c r="T1011" s="620"/>
      <c r="U1011" s="620"/>
    </row>
    <row r="1012">
      <c r="A1012" s="905"/>
      <c r="B1012" s="905"/>
      <c r="C1012" s="520"/>
      <c r="D1012" s="906"/>
      <c r="E1012" s="907"/>
      <c r="F1012" s="908"/>
      <c r="G1012" s="909"/>
      <c r="H1012" s="910"/>
      <c r="I1012" s="907"/>
      <c r="J1012" s="912"/>
      <c r="K1012" s="909"/>
      <c r="L1012" s="913"/>
      <c r="M1012" s="620"/>
      <c r="N1012" s="620"/>
      <c r="O1012" s="620"/>
      <c r="P1012" s="620"/>
      <c r="Q1012" s="620"/>
      <c r="R1012" s="620"/>
      <c r="S1012" s="620"/>
      <c r="T1012" s="620"/>
      <c r="U1012" s="620"/>
    </row>
    <row r="1013">
      <c r="A1013" s="905"/>
      <c r="B1013" s="905"/>
      <c r="C1013" s="520"/>
      <c r="D1013" s="906"/>
      <c r="E1013" s="907"/>
      <c r="F1013" s="908"/>
      <c r="G1013" s="909"/>
      <c r="H1013" s="910"/>
      <c r="I1013" s="907"/>
      <c r="J1013" s="912"/>
      <c r="K1013" s="909"/>
      <c r="L1013" s="913"/>
      <c r="M1013" s="620"/>
      <c r="N1013" s="620"/>
      <c r="O1013" s="620"/>
      <c r="P1013" s="620"/>
      <c r="Q1013" s="620"/>
      <c r="R1013" s="620"/>
      <c r="S1013" s="620"/>
      <c r="T1013" s="620"/>
      <c r="U1013" s="620"/>
    </row>
    <row r="1014">
      <c r="A1014" s="905"/>
      <c r="B1014" s="905"/>
      <c r="C1014" s="520"/>
      <c r="D1014" s="906"/>
      <c r="E1014" s="907"/>
      <c r="F1014" s="908"/>
      <c r="G1014" s="909"/>
      <c r="H1014" s="910"/>
      <c r="I1014" s="907"/>
      <c r="J1014" s="912"/>
      <c r="K1014" s="909"/>
      <c r="L1014" s="913"/>
      <c r="M1014" s="620"/>
      <c r="N1014" s="620"/>
      <c r="O1014" s="620"/>
      <c r="P1014" s="620"/>
      <c r="Q1014" s="620"/>
      <c r="R1014" s="620"/>
      <c r="S1014" s="620"/>
      <c r="T1014" s="620"/>
      <c r="U1014" s="620"/>
    </row>
    <row r="1015">
      <c r="A1015" s="905"/>
      <c r="B1015" s="905"/>
      <c r="C1015" s="520"/>
      <c r="D1015" s="906"/>
      <c r="E1015" s="907"/>
      <c r="F1015" s="908"/>
      <c r="G1015" s="909"/>
      <c r="H1015" s="910"/>
      <c r="I1015" s="907"/>
      <c r="J1015" s="912"/>
      <c r="K1015" s="909"/>
      <c r="L1015" s="913"/>
      <c r="M1015" s="620"/>
      <c r="N1015" s="620"/>
      <c r="O1015" s="620"/>
      <c r="P1015" s="620"/>
      <c r="Q1015" s="620"/>
      <c r="R1015" s="620"/>
      <c r="S1015" s="620"/>
      <c r="T1015" s="620"/>
      <c r="U1015" s="620"/>
    </row>
    <row r="1016">
      <c r="A1016" s="905"/>
      <c r="B1016" s="905"/>
      <c r="C1016" s="520"/>
      <c r="D1016" s="906"/>
      <c r="E1016" s="907"/>
      <c r="F1016" s="908"/>
      <c r="G1016" s="909"/>
      <c r="H1016" s="910"/>
      <c r="I1016" s="907"/>
      <c r="J1016" s="912"/>
      <c r="K1016" s="909"/>
      <c r="L1016" s="913"/>
      <c r="M1016" s="620"/>
      <c r="N1016" s="620"/>
      <c r="O1016" s="620"/>
      <c r="P1016" s="620"/>
      <c r="Q1016" s="620"/>
      <c r="R1016" s="620"/>
      <c r="S1016" s="620"/>
      <c r="T1016" s="620"/>
      <c r="U1016" s="620"/>
    </row>
    <row r="1017">
      <c r="A1017" s="905"/>
      <c r="B1017" s="905"/>
      <c r="C1017" s="520"/>
      <c r="D1017" s="906"/>
      <c r="E1017" s="907"/>
      <c r="F1017" s="908"/>
      <c r="G1017" s="909"/>
      <c r="H1017" s="910"/>
      <c r="I1017" s="907"/>
      <c r="J1017" s="912"/>
      <c r="K1017" s="909"/>
      <c r="L1017" s="913"/>
      <c r="M1017" s="620"/>
      <c r="N1017" s="620"/>
      <c r="O1017" s="620"/>
      <c r="P1017" s="620"/>
      <c r="Q1017" s="620"/>
      <c r="R1017" s="620"/>
      <c r="S1017" s="620"/>
      <c r="T1017" s="620"/>
      <c r="U1017" s="620"/>
    </row>
    <row r="1018">
      <c r="A1018" s="905"/>
      <c r="B1018" s="905"/>
      <c r="C1018" s="520"/>
      <c r="D1018" s="906"/>
      <c r="E1018" s="907"/>
      <c r="F1018" s="908"/>
      <c r="G1018" s="909"/>
      <c r="H1018" s="910"/>
      <c r="I1018" s="907"/>
      <c r="J1018" s="912"/>
      <c r="K1018" s="909"/>
      <c r="L1018" s="913"/>
      <c r="M1018" s="620"/>
      <c r="N1018" s="620"/>
      <c r="O1018" s="620"/>
      <c r="P1018" s="620"/>
      <c r="Q1018" s="620"/>
      <c r="R1018" s="620"/>
      <c r="S1018" s="620"/>
      <c r="T1018" s="620"/>
      <c r="U1018" s="620"/>
    </row>
    <row r="1019">
      <c r="A1019" s="905"/>
      <c r="B1019" s="905"/>
      <c r="C1019" s="520"/>
      <c r="D1019" s="906"/>
      <c r="E1019" s="907"/>
      <c r="F1019" s="908"/>
      <c r="G1019" s="909"/>
      <c r="H1019" s="910"/>
      <c r="I1019" s="907"/>
      <c r="J1019" s="912"/>
      <c r="K1019" s="909"/>
      <c r="L1019" s="913"/>
      <c r="M1019" s="620"/>
      <c r="N1019" s="620"/>
      <c r="O1019" s="620"/>
      <c r="P1019" s="620"/>
      <c r="Q1019" s="620"/>
      <c r="R1019" s="620"/>
      <c r="S1019" s="620"/>
      <c r="T1019" s="620"/>
      <c r="U1019" s="620"/>
    </row>
    <row r="1020">
      <c r="A1020" s="905"/>
      <c r="B1020" s="905"/>
      <c r="C1020" s="520"/>
      <c r="D1020" s="906"/>
      <c r="E1020" s="907"/>
      <c r="F1020" s="908"/>
      <c r="G1020" s="909"/>
      <c r="H1020" s="910"/>
      <c r="I1020" s="907"/>
      <c r="J1020" s="912"/>
      <c r="K1020" s="909"/>
      <c r="L1020" s="913"/>
      <c r="M1020" s="620"/>
      <c r="N1020" s="620"/>
      <c r="O1020" s="620"/>
      <c r="P1020" s="620"/>
      <c r="Q1020" s="620"/>
      <c r="R1020" s="620"/>
      <c r="S1020" s="620"/>
      <c r="T1020" s="620"/>
      <c r="U1020" s="620"/>
    </row>
    <row r="1021">
      <c r="A1021" s="905"/>
      <c r="B1021" s="905"/>
      <c r="C1021" s="520"/>
      <c r="D1021" s="906"/>
      <c r="E1021" s="907"/>
      <c r="F1021" s="908"/>
      <c r="G1021" s="909"/>
      <c r="H1021" s="910"/>
      <c r="I1021" s="907"/>
      <c r="J1021" s="912"/>
      <c r="K1021" s="909"/>
      <c r="L1021" s="913"/>
      <c r="M1021" s="620"/>
      <c r="N1021" s="620"/>
      <c r="O1021" s="620"/>
      <c r="P1021" s="620"/>
      <c r="Q1021" s="620"/>
      <c r="R1021" s="620"/>
      <c r="S1021" s="620"/>
      <c r="T1021" s="620"/>
      <c r="U1021" s="620"/>
    </row>
    <row r="1022">
      <c r="A1022" s="905"/>
      <c r="B1022" s="905"/>
      <c r="C1022" s="520"/>
      <c r="D1022" s="906"/>
      <c r="E1022" s="907"/>
      <c r="F1022" s="908"/>
      <c r="G1022" s="909"/>
      <c r="H1022" s="910"/>
      <c r="I1022" s="907"/>
      <c r="J1022" s="912"/>
      <c r="K1022" s="909"/>
      <c r="L1022" s="913"/>
      <c r="M1022" s="620"/>
      <c r="N1022" s="620"/>
      <c r="O1022" s="620"/>
      <c r="P1022" s="620"/>
      <c r="Q1022" s="620"/>
      <c r="R1022" s="620"/>
      <c r="S1022" s="620"/>
      <c r="T1022" s="620"/>
      <c r="U1022" s="620"/>
    </row>
    <row r="1023">
      <c r="A1023" s="905"/>
      <c r="B1023" s="905"/>
      <c r="C1023" s="520"/>
      <c r="D1023" s="906"/>
      <c r="E1023" s="907"/>
      <c r="F1023" s="908"/>
      <c r="G1023" s="909"/>
      <c r="H1023" s="910"/>
      <c r="I1023" s="907"/>
      <c r="J1023" s="912"/>
      <c r="K1023" s="909"/>
      <c r="L1023" s="913"/>
      <c r="M1023" s="620"/>
      <c r="N1023" s="620"/>
      <c r="O1023" s="620"/>
      <c r="P1023" s="620"/>
      <c r="Q1023" s="620"/>
      <c r="R1023" s="620"/>
      <c r="S1023" s="620"/>
      <c r="T1023" s="620"/>
      <c r="U1023" s="620"/>
    </row>
    <row r="1024">
      <c r="A1024" s="905"/>
      <c r="B1024" s="905"/>
      <c r="C1024" s="520"/>
      <c r="D1024" s="906"/>
      <c r="E1024" s="907"/>
      <c r="F1024" s="908"/>
      <c r="G1024" s="909"/>
      <c r="H1024" s="910"/>
      <c r="I1024" s="907"/>
      <c r="J1024" s="912"/>
      <c r="K1024" s="909"/>
      <c r="L1024" s="913"/>
      <c r="M1024" s="620"/>
      <c r="N1024" s="620"/>
      <c r="O1024" s="620"/>
      <c r="P1024" s="620"/>
      <c r="Q1024" s="620"/>
      <c r="R1024" s="620"/>
      <c r="S1024" s="620"/>
      <c r="T1024" s="620"/>
      <c r="U1024" s="620"/>
    </row>
    <row r="1025">
      <c r="A1025" s="905"/>
      <c r="B1025" s="905"/>
      <c r="C1025" s="520"/>
      <c r="D1025" s="906"/>
      <c r="E1025" s="907"/>
      <c r="F1025" s="908"/>
      <c r="G1025" s="909"/>
      <c r="H1025" s="910"/>
      <c r="I1025" s="907"/>
      <c r="J1025" s="912"/>
      <c r="K1025" s="909"/>
      <c r="L1025" s="913"/>
      <c r="M1025" s="620"/>
      <c r="N1025" s="620"/>
      <c r="O1025" s="620"/>
      <c r="P1025" s="620"/>
      <c r="Q1025" s="620"/>
      <c r="R1025" s="620"/>
      <c r="S1025" s="620"/>
      <c r="T1025" s="620"/>
      <c r="U1025" s="620"/>
    </row>
    <row r="1026">
      <c r="A1026" s="905"/>
      <c r="B1026" s="905"/>
      <c r="C1026" s="520"/>
      <c r="D1026" s="906"/>
      <c r="E1026" s="907"/>
      <c r="F1026" s="908"/>
      <c r="G1026" s="909"/>
      <c r="H1026" s="910"/>
      <c r="I1026" s="907"/>
      <c r="J1026" s="912"/>
      <c r="K1026" s="909"/>
      <c r="L1026" s="913"/>
      <c r="M1026" s="620"/>
      <c r="N1026" s="620"/>
      <c r="O1026" s="620"/>
      <c r="P1026" s="620"/>
      <c r="Q1026" s="620"/>
      <c r="R1026" s="620"/>
      <c r="S1026" s="620"/>
      <c r="T1026" s="620"/>
      <c r="U1026" s="620"/>
    </row>
    <row r="1027">
      <c r="A1027" s="905"/>
      <c r="B1027" s="905"/>
      <c r="C1027" s="520"/>
      <c r="D1027" s="906"/>
      <c r="E1027" s="907"/>
      <c r="F1027" s="908"/>
      <c r="G1027" s="909"/>
      <c r="H1027" s="910"/>
      <c r="I1027" s="907"/>
      <c r="J1027" s="912"/>
      <c r="K1027" s="909"/>
      <c r="L1027" s="913"/>
      <c r="M1027" s="620"/>
      <c r="N1027" s="620"/>
      <c r="O1027" s="620"/>
      <c r="P1027" s="620"/>
      <c r="Q1027" s="620"/>
      <c r="R1027" s="620"/>
      <c r="S1027" s="620"/>
      <c r="T1027" s="620"/>
      <c r="U1027" s="620"/>
    </row>
    <row r="1028">
      <c r="A1028" s="905"/>
      <c r="B1028" s="905"/>
      <c r="C1028" s="520"/>
      <c r="D1028" s="906"/>
      <c r="E1028" s="907"/>
      <c r="F1028" s="908"/>
      <c r="G1028" s="909"/>
      <c r="H1028" s="910"/>
      <c r="I1028" s="907"/>
      <c r="J1028" s="912"/>
      <c r="K1028" s="909"/>
      <c r="L1028" s="913"/>
      <c r="M1028" s="620"/>
      <c r="N1028" s="620"/>
      <c r="O1028" s="620"/>
      <c r="P1028" s="620"/>
      <c r="Q1028" s="620"/>
      <c r="R1028" s="620"/>
      <c r="S1028" s="620"/>
      <c r="T1028" s="620"/>
      <c r="U1028" s="620"/>
    </row>
    <row r="1029">
      <c r="A1029" s="905"/>
      <c r="B1029" s="905"/>
      <c r="C1029" s="520"/>
      <c r="D1029" s="906"/>
      <c r="E1029" s="907"/>
      <c r="F1029" s="908"/>
      <c r="G1029" s="909"/>
      <c r="H1029" s="910"/>
      <c r="I1029" s="907"/>
      <c r="J1029" s="912"/>
      <c r="K1029" s="909"/>
      <c r="L1029" s="913"/>
      <c r="M1029" s="620"/>
      <c r="N1029" s="620"/>
      <c r="O1029" s="620"/>
      <c r="P1029" s="620"/>
      <c r="Q1029" s="620"/>
      <c r="R1029" s="620"/>
      <c r="S1029" s="620"/>
      <c r="T1029" s="620"/>
      <c r="U1029" s="620"/>
    </row>
    <row r="1030">
      <c r="A1030" s="905"/>
      <c r="B1030" s="905"/>
      <c r="C1030" s="520"/>
      <c r="D1030" s="906"/>
      <c r="E1030" s="907"/>
      <c r="F1030" s="908"/>
      <c r="G1030" s="909"/>
      <c r="H1030" s="910"/>
      <c r="I1030" s="907"/>
      <c r="J1030" s="912"/>
      <c r="K1030" s="909"/>
      <c r="L1030" s="913"/>
      <c r="M1030" s="620"/>
      <c r="N1030" s="620"/>
      <c r="O1030" s="620"/>
      <c r="P1030" s="620"/>
      <c r="Q1030" s="620"/>
      <c r="R1030" s="620"/>
      <c r="S1030" s="620"/>
      <c r="T1030" s="620"/>
      <c r="U1030" s="620"/>
    </row>
    <row r="1031">
      <c r="A1031" s="905"/>
      <c r="B1031" s="905"/>
      <c r="C1031" s="520"/>
      <c r="D1031" s="906"/>
      <c r="E1031" s="907"/>
      <c r="F1031" s="908"/>
      <c r="G1031" s="909"/>
      <c r="H1031" s="910"/>
      <c r="I1031" s="907"/>
      <c r="J1031" s="912"/>
      <c r="K1031" s="909"/>
      <c r="L1031" s="913"/>
      <c r="M1031" s="620"/>
      <c r="N1031" s="620"/>
      <c r="O1031" s="620"/>
      <c r="P1031" s="620"/>
      <c r="Q1031" s="620"/>
      <c r="R1031" s="620"/>
      <c r="S1031" s="620"/>
      <c r="T1031" s="620"/>
      <c r="U1031" s="620"/>
    </row>
    <row r="1032">
      <c r="A1032" s="905"/>
      <c r="B1032" s="905"/>
      <c r="C1032" s="520"/>
      <c r="D1032" s="906"/>
      <c r="E1032" s="907"/>
      <c r="F1032" s="908"/>
      <c r="G1032" s="909"/>
      <c r="H1032" s="910"/>
      <c r="I1032" s="907"/>
      <c r="J1032" s="912"/>
      <c r="K1032" s="909"/>
      <c r="L1032" s="913"/>
      <c r="M1032" s="620"/>
      <c r="N1032" s="620"/>
      <c r="O1032" s="620"/>
      <c r="P1032" s="620"/>
      <c r="Q1032" s="620"/>
      <c r="R1032" s="620"/>
      <c r="S1032" s="620"/>
      <c r="T1032" s="620"/>
      <c r="U1032" s="620"/>
    </row>
    <row r="1033">
      <c r="A1033" s="905"/>
      <c r="B1033" s="905"/>
      <c r="C1033" s="520"/>
      <c r="D1033" s="906"/>
      <c r="E1033" s="907"/>
      <c r="F1033" s="908"/>
      <c r="G1033" s="909"/>
      <c r="H1033" s="910"/>
      <c r="I1033" s="907"/>
      <c r="J1033" s="912"/>
      <c r="K1033" s="909"/>
      <c r="L1033" s="913"/>
      <c r="M1033" s="620"/>
      <c r="N1033" s="620"/>
      <c r="O1033" s="620"/>
      <c r="P1033" s="620"/>
      <c r="Q1033" s="620"/>
      <c r="R1033" s="620"/>
      <c r="S1033" s="620"/>
      <c r="T1033" s="620"/>
      <c r="U1033" s="620"/>
    </row>
    <row r="1034">
      <c r="A1034" s="905"/>
      <c r="B1034" s="905"/>
      <c r="C1034" s="520"/>
      <c r="D1034" s="906"/>
      <c r="E1034" s="907"/>
      <c r="F1034" s="908"/>
      <c r="G1034" s="909"/>
      <c r="H1034" s="910"/>
      <c r="I1034" s="907"/>
      <c r="J1034" s="912"/>
      <c r="K1034" s="909"/>
      <c r="L1034" s="913"/>
      <c r="M1034" s="620"/>
      <c r="N1034" s="620"/>
      <c r="O1034" s="620"/>
      <c r="P1034" s="620"/>
      <c r="Q1034" s="620"/>
      <c r="R1034" s="620"/>
      <c r="S1034" s="620"/>
      <c r="T1034" s="620"/>
      <c r="U1034" s="620"/>
    </row>
    <row r="1035">
      <c r="A1035" s="905"/>
      <c r="B1035" s="905"/>
      <c r="C1035" s="520"/>
      <c r="D1035" s="906"/>
      <c r="E1035" s="907"/>
      <c r="F1035" s="908"/>
      <c r="G1035" s="909"/>
      <c r="H1035" s="910"/>
      <c r="I1035" s="907"/>
      <c r="J1035" s="912"/>
      <c r="K1035" s="909"/>
      <c r="L1035" s="913"/>
      <c r="M1035" s="620"/>
      <c r="N1035" s="620"/>
      <c r="O1035" s="620"/>
      <c r="P1035" s="620"/>
      <c r="Q1035" s="620"/>
      <c r="R1035" s="620"/>
      <c r="S1035" s="620"/>
      <c r="T1035" s="620"/>
      <c r="U1035" s="620"/>
    </row>
    <row r="1036">
      <c r="A1036" s="905"/>
      <c r="B1036" s="905"/>
      <c r="C1036" s="520"/>
      <c r="D1036" s="906"/>
      <c r="E1036" s="907"/>
      <c r="F1036" s="908"/>
      <c r="G1036" s="909"/>
      <c r="H1036" s="910"/>
      <c r="I1036" s="907"/>
      <c r="J1036" s="912"/>
      <c r="K1036" s="909"/>
      <c r="L1036" s="913"/>
      <c r="M1036" s="620"/>
      <c r="N1036" s="620"/>
      <c r="O1036" s="620"/>
      <c r="P1036" s="620"/>
      <c r="Q1036" s="620"/>
      <c r="R1036" s="620"/>
      <c r="S1036" s="620"/>
      <c r="T1036" s="620"/>
      <c r="U1036" s="620"/>
    </row>
    <row r="1037">
      <c r="A1037" s="905"/>
      <c r="B1037" s="905"/>
      <c r="C1037" s="520"/>
      <c r="D1037" s="906"/>
      <c r="E1037" s="907"/>
      <c r="F1037" s="908"/>
      <c r="G1037" s="909"/>
      <c r="H1037" s="910"/>
      <c r="I1037" s="907"/>
      <c r="J1037" s="912"/>
      <c r="K1037" s="909"/>
      <c r="L1037" s="913"/>
      <c r="M1037" s="620"/>
      <c r="N1037" s="620"/>
      <c r="O1037" s="620"/>
      <c r="P1037" s="620"/>
      <c r="Q1037" s="620"/>
      <c r="R1037" s="620"/>
      <c r="S1037" s="620"/>
      <c r="T1037" s="620"/>
      <c r="U1037" s="620"/>
    </row>
    <row r="1038">
      <c r="A1038" s="905"/>
      <c r="B1038" s="905"/>
      <c r="C1038" s="520"/>
      <c r="D1038" s="906"/>
      <c r="E1038" s="907"/>
      <c r="F1038" s="908"/>
      <c r="G1038" s="909"/>
      <c r="H1038" s="910"/>
      <c r="I1038" s="907"/>
      <c r="J1038" s="912"/>
      <c r="K1038" s="909"/>
      <c r="L1038" s="913"/>
      <c r="M1038" s="620"/>
      <c r="N1038" s="620"/>
      <c r="O1038" s="620"/>
      <c r="P1038" s="620"/>
      <c r="Q1038" s="620"/>
      <c r="R1038" s="620"/>
      <c r="S1038" s="620"/>
      <c r="T1038" s="620"/>
      <c r="U1038" s="620"/>
    </row>
    <row r="1039">
      <c r="A1039" s="905"/>
      <c r="B1039" s="905"/>
      <c r="C1039" s="520"/>
      <c r="D1039" s="906"/>
      <c r="E1039" s="907"/>
      <c r="F1039" s="908"/>
      <c r="G1039" s="909"/>
      <c r="H1039" s="910"/>
      <c r="I1039" s="907"/>
      <c r="J1039" s="912"/>
      <c r="K1039" s="909"/>
      <c r="L1039" s="913"/>
      <c r="M1039" s="620"/>
      <c r="N1039" s="620"/>
      <c r="O1039" s="620"/>
      <c r="P1039" s="620"/>
      <c r="Q1039" s="620"/>
      <c r="R1039" s="620"/>
      <c r="S1039" s="620"/>
      <c r="T1039" s="620"/>
      <c r="U1039" s="620"/>
    </row>
    <row r="1040">
      <c r="A1040" s="905"/>
      <c r="B1040" s="905"/>
      <c r="C1040" s="520"/>
      <c r="D1040" s="906"/>
      <c r="E1040" s="907"/>
      <c r="F1040" s="908"/>
      <c r="G1040" s="909"/>
      <c r="H1040" s="910"/>
      <c r="I1040" s="907"/>
      <c r="J1040" s="912"/>
      <c r="K1040" s="909"/>
      <c r="L1040" s="913"/>
      <c r="M1040" s="620"/>
      <c r="N1040" s="620"/>
      <c r="O1040" s="620"/>
      <c r="P1040" s="620"/>
      <c r="Q1040" s="620"/>
      <c r="R1040" s="620"/>
      <c r="S1040" s="620"/>
      <c r="T1040" s="620"/>
      <c r="U1040" s="620"/>
    </row>
    <row r="1041">
      <c r="A1041" s="905"/>
      <c r="B1041" s="905"/>
      <c r="C1041" s="520"/>
      <c r="D1041" s="906"/>
      <c r="E1041" s="907"/>
      <c r="F1041" s="908"/>
      <c r="G1041" s="909"/>
      <c r="H1041" s="910"/>
      <c r="I1041" s="907"/>
      <c r="J1041" s="912"/>
      <c r="K1041" s="909"/>
      <c r="L1041" s="913"/>
      <c r="M1041" s="620"/>
      <c r="N1041" s="620"/>
      <c r="O1041" s="620"/>
      <c r="P1041" s="620"/>
      <c r="Q1041" s="620"/>
      <c r="R1041" s="620"/>
      <c r="S1041" s="620"/>
      <c r="T1041" s="620"/>
      <c r="U1041" s="620"/>
    </row>
    <row r="1042">
      <c r="A1042" s="905"/>
      <c r="B1042" s="905"/>
      <c r="C1042" s="520"/>
      <c r="D1042" s="906"/>
      <c r="E1042" s="907"/>
      <c r="F1042" s="908"/>
      <c r="G1042" s="909"/>
      <c r="H1042" s="910"/>
      <c r="I1042" s="907"/>
      <c r="J1042" s="912"/>
      <c r="K1042" s="909"/>
      <c r="L1042" s="913"/>
      <c r="M1042" s="620"/>
      <c r="N1042" s="620"/>
      <c r="O1042" s="620"/>
      <c r="P1042" s="620"/>
      <c r="Q1042" s="620"/>
      <c r="R1042" s="620"/>
      <c r="S1042" s="620"/>
      <c r="T1042" s="620"/>
      <c r="U1042" s="620"/>
    </row>
    <row r="1043">
      <c r="A1043" s="905"/>
      <c r="B1043" s="905"/>
      <c r="C1043" s="520"/>
      <c r="D1043" s="906"/>
      <c r="E1043" s="907"/>
      <c r="F1043" s="908"/>
      <c r="G1043" s="909"/>
      <c r="H1043" s="910"/>
      <c r="I1043" s="907"/>
      <c r="J1043" s="912"/>
      <c r="K1043" s="909"/>
      <c r="L1043" s="913"/>
      <c r="M1043" s="620"/>
      <c r="N1043" s="620"/>
      <c r="O1043" s="620"/>
      <c r="P1043" s="620"/>
      <c r="Q1043" s="620"/>
      <c r="R1043" s="620"/>
      <c r="S1043" s="620"/>
      <c r="T1043" s="620"/>
      <c r="U1043" s="620"/>
    </row>
    <row r="1044">
      <c r="A1044" s="905"/>
      <c r="B1044" s="905"/>
      <c r="C1044" s="520"/>
      <c r="D1044" s="906"/>
      <c r="E1044" s="907"/>
      <c r="F1044" s="908"/>
      <c r="G1044" s="909"/>
      <c r="H1044" s="910"/>
      <c r="I1044" s="907"/>
      <c r="J1044" s="912"/>
      <c r="K1044" s="909"/>
      <c r="L1044" s="913"/>
      <c r="M1044" s="620"/>
      <c r="N1044" s="620"/>
      <c r="O1044" s="620"/>
      <c r="P1044" s="620"/>
      <c r="Q1044" s="620"/>
      <c r="R1044" s="620"/>
      <c r="S1044" s="620"/>
      <c r="T1044" s="620"/>
      <c r="U1044" s="620"/>
    </row>
    <row r="1045">
      <c r="A1045" s="905"/>
      <c r="B1045" s="905"/>
      <c r="C1045" s="520"/>
      <c r="D1045" s="906"/>
      <c r="E1045" s="907"/>
      <c r="F1045" s="908"/>
      <c r="G1045" s="909"/>
      <c r="H1045" s="910"/>
      <c r="I1045" s="907"/>
      <c r="J1045" s="912"/>
      <c r="K1045" s="909"/>
      <c r="L1045" s="913"/>
      <c r="M1045" s="620"/>
      <c r="N1045" s="620"/>
      <c r="O1045" s="620"/>
      <c r="P1045" s="620"/>
      <c r="Q1045" s="620"/>
      <c r="R1045" s="620"/>
      <c r="S1045" s="620"/>
      <c r="T1045" s="620"/>
      <c r="U1045" s="620"/>
    </row>
    <row r="1046">
      <c r="A1046" s="905"/>
      <c r="B1046" s="905"/>
      <c r="C1046" s="520"/>
      <c r="D1046" s="906"/>
      <c r="E1046" s="907"/>
      <c r="F1046" s="908"/>
      <c r="G1046" s="909"/>
      <c r="H1046" s="910"/>
      <c r="I1046" s="907"/>
      <c r="J1046" s="912"/>
      <c r="K1046" s="909"/>
      <c r="L1046" s="913"/>
      <c r="M1046" s="620"/>
      <c r="N1046" s="620"/>
      <c r="O1046" s="620"/>
      <c r="P1046" s="620"/>
      <c r="Q1046" s="620"/>
      <c r="R1046" s="620"/>
      <c r="S1046" s="620"/>
      <c r="T1046" s="620"/>
      <c r="U1046" s="620"/>
    </row>
    <row r="1047">
      <c r="A1047" s="905"/>
      <c r="B1047" s="905"/>
      <c r="C1047" s="520"/>
      <c r="D1047" s="906"/>
      <c r="E1047" s="907"/>
      <c r="F1047" s="908"/>
      <c r="G1047" s="909"/>
      <c r="H1047" s="910"/>
      <c r="I1047" s="907"/>
      <c r="J1047" s="912"/>
      <c r="K1047" s="909"/>
      <c r="L1047" s="913"/>
      <c r="M1047" s="620"/>
      <c r="N1047" s="620"/>
      <c r="O1047" s="620"/>
      <c r="P1047" s="620"/>
      <c r="Q1047" s="620"/>
      <c r="R1047" s="620"/>
      <c r="S1047" s="620"/>
      <c r="T1047" s="620"/>
      <c r="U1047" s="620"/>
    </row>
    <row r="1048">
      <c r="A1048" s="905"/>
      <c r="B1048" s="905"/>
      <c r="C1048" s="520"/>
      <c r="D1048" s="906"/>
      <c r="E1048" s="907"/>
      <c r="F1048" s="908"/>
      <c r="G1048" s="909"/>
      <c r="H1048" s="910"/>
      <c r="I1048" s="907"/>
      <c r="J1048" s="912"/>
      <c r="K1048" s="909"/>
      <c r="L1048" s="913"/>
      <c r="M1048" s="620"/>
      <c r="N1048" s="620"/>
      <c r="O1048" s="620"/>
      <c r="P1048" s="620"/>
      <c r="Q1048" s="620"/>
      <c r="R1048" s="620"/>
      <c r="S1048" s="620"/>
      <c r="T1048" s="620"/>
      <c r="U1048" s="620"/>
    </row>
    <row r="1049">
      <c r="A1049" s="905"/>
      <c r="B1049" s="905"/>
      <c r="C1049" s="520"/>
      <c r="D1049" s="906"/>
      <c r="E1049" s="907"/>
      <c r="F1049" s="908"/>
      <c r="G1049" s="909"/>
      <c r="H1049" s="910"/>
      <c r="I1049" s="907"/>
      <c r="J1049" s="912"/>
      <c r="K1049" s="909"/>
      <c r="L1049" s="913"/>
      <c r="M1049" s="620"/>
      <c r="N1049" s="620"/>
      <c r="O1049" s="620"/>
      <c r="P1049" s="620"/>
      <c r="Q1049" s="620"/>
      <c r="R1049" s="620"/>
      <c r="S1049" s="620"/>
      <c r="T1049" s="620"/>
      <c r="U1049" s="620"/>
    </row>
    <row r="1050">
      <c r="A1050" s="905"/>
      <c r="B1050" s="905"/>
      <c r="C1050" s="520"/>
      <c r="D1050" s="906"/>
      <c r="E1050" s="907"/>
      <c r="F1050" s="908"/>
      <c r="G1050" s="909"/>
      <c r="H1050" s="910"/>
      <c r="I1050" s="907"/>
      <c r="J1050" s="912"/>
      <c r="K1050" s="909"/>
      <c r="L1050" s="913"/>
      <c r="M1050" s="620"/>
      <c r="N1050" s="620"/>
      <c r="O1050" s="620"/>
      <c r="P1050" s="620"/>
      <c r="Q1050" s="620"/>
      <c r="R1050" s="620"/>
      <c r="S1050" s="620"/>
      <c r="T1050" s="620"/>
      <c r="U1050" s="620"/>
    </row>
    <row r="1051">
      <c r="A1051" s="905"/>
      <c r="B1051" s="905"/>
      <c r="C1051" s="520"/>
      <c r="D1051" s="906"/>
      <c r="E1051" s="907"/>
      <c r="F1051" s="908"/>
      <c r="G1051" s="909"/>
      <c r="H1051" s="910"/>
      <c r="I1051" s="907"/>
      <c r="J1051" s="912"/>
      <c r="K1051" s="909"/>
      <c r="L1051" s="913"/>
      <c r="M1051" s="620"/>
      <c r="N1051" s="620"/>
      <c r="O1051" s="620"/>
      <c r="P1051" s="620"/>
      <c r="Q1051" s="620"/>
      <c r="R1051" s="620"/>
      <c r="S1051" s="620"/>
      <c r="T1051" s="620"/>
      <c r="U1051" s="620"/>
    </row>
    <row r="1052">
      <c r="A1052" s="905"/>
      <c r="B1052" s="905"/>
      <c r="C1052" s="520"/>
      <c r="D1052" s="906"/>
      <c r="E1052" s="907"/>
      <c r="F1052" s="908"/>
      <c r="G1052" s="909"/>
      <c r="H1052" s="910"/>
      <c r="I1052" s="907"/>
      <c r="J1052" s="912"/>
      <c r="K1052" s="909"/>
      <c r="L1052" s="913"/>
      <c r="M1052" s="620"/>
      <c r="N1052" s="620"/>
      <c r="O1052" s="620"/>
      <c r="P1052" s="620"/>
      <c r="Q1052" s="620"/>
      <c r="R1052" s="620"/>
      <c r="S1052" s="620"/>
      <c r="T1052" s="620"/>
      <c r="U1052" s="620"/>
    </row>
    <row r="1053">
      <c r="A1053" s="905"/>
      <c r="B1053" s="905"/>
      <c r="C1053" s="520"/>
      <c r="D1053" s="906"/>
      <c r="E1053" s="907"/>
      <c r="F1053" s="908"/>
      <c r="G1053" s="909"/>
      <c r="H1053" s="910"/>
      <c r="I1053" s="907"/>
      <c r="J1053" s="912"/>
      <c r="K1053" s="909"/>
      <c r="L1053" s="913"/>
      <c r="M1053" s="620"/>
      <c r="N1053" s="620"/>
      <c r="O1053" s="620"/>
      <c r="P1053" s="620"/>
      <c r="Q1053" s="620"/>
      <c r="R1053" s="620"/>
      <c r="S1053" s="620"/>
      <c r="T1053" s="620"/>
      <c r="U1053" s="620"/>
    </row>
    <row r="1054">
      <c r="A1054" s="905"/>
      <c r="B1054" s="905"/>
      <c r="C1054" s="520"/>
      <c r="D1054" s="906"/>
      <c r="E1054" s="907"/>
      <c r="F1054" s="908"/>
      <c r="G1054" s="909"/>
      <c r="H1054" s="910"/>
      <c r="I1054" s="907"/>
      <c r="J1054" s="912"/>
      <c r="K1054" s="909"/>
      <c r="L1054" s="913"/>
      <c r="M1054" s="620"/>
      <c r="N1054" s="620"/>
      <c r="O1054" s="620"/>
      <c r="P1054" s="620"/>
      <c r="Q1054" s="620"/>
      <c r="R1054" s="620"/>
      <c r="S1054" s="620"/>
      <c r="T1054" s="620"/>
      <c r="U1054" s="620"/>
    </row>
    <row r="1055">
      <c r="A1055" s="905"/>
      <c r="B1055" s="905"/>
      <c r="C1055" s="520"/>
      <c r="D1055" s="906"/>
      <c r="E1055" s="907"/>
      <c r="F1055" s="908"/>
      <c r="G1055" s="909"/>
      <c r="H1055" s="910"/>
      <c r="I1055" s="907"/>
      <c r="J1055" s="912"/>
      <c r="K1055" s="909"/>
      <c r="L1055" s="913"/>
      <c r="M1055" s="620"/>
      <c r="N1055" s="620"/>
      <c r="O1055" s="620"/>
      <c r="P1055" s="620"/>
      <c r="Q1055" s="620"/>
      <c r="R1055" s="620"/>
      <c r="S1055" s="620"/>
      <c r="T1055" s="620"/>
      <c r="U1055" s="620"/>
    </row>
    <row r="1056">
      <c r="A1056" s="905"/>
      <c r="B1056" s="905"/>
      <c r="C1056" s="520"/>
      <c r="D1056" s="906"/>
      <c r="E1056" s="907"/>
      <c r="F1056" s="908"/>
      <c r="G1056" s="909"/>
      <c r="H1056" s="910"/>
      <c r="I1056" s="907"/>
      <c r="J1056" s="912"/>
      <c r="K1056" s="909"/>
      <c r="L1056" s="913"/>
      <c r="M1056" s="620"/>
      <c r="N1056" s="620"/>
      <c r="O1056" s="620"/>
      <c r="P1056" s="620"/>
      <c r="Q1056" s="620"/>
      <c r="R1056" s="620"/>
      <c r="S1056" s="620"/>
      <c r="T1056" s="620"/>
      <c r="U1056" s="620"/>
    </row>
    <row r="1057">
      <c r="A1057" s="905"/>
      <c r="B1057" s="905"/>
      <c r="C1057" s="520"/>
      <c r="D1057" s="906"/>
      <c r="E1057" s="907"/>
      <c r="F1057" s="908"/>
      <c r="G1057" s="909"/>
      <c r="H1057" s="910"/>
      <c r="I1057" s="907"/>
      <c r="J1057" s="912"/>
      <c r="K1057" s="909"/>
      <c r="L1057" s="913"/>
      <c r="M1057" s="620"/>
      <c r="N1057" s="620"/>
      <c r="O1057" s="620"/>
      <c r="P1057" s="620"/>
      <c r="Q1057" s="620"/>
      <c r="R1057" s="620"/>
      <c r="S1057" s="620"/>
      <c r="T1057" s="620"/>
      <c r="U1057" s="620"/>
    </row>
    <row r="1058">
      <c r="A1058" s="905"/>
      <c r="B1058" s="905"/>
      <c r="C1058" s="520"/>
      <c r="D1058" s="906"/>
      <c r="E1058" s="907"/>
      <c r="F1058" s="908"/>
      <c r="G1058" s="909"/>
      <c r="H1058" s="910"/>
      <c r="I1058" s="907"/>
      <c r="J1058" s="912"/>
      <c r="K1058" s="909"/>
      <c r="L1058" s="913"/>
      <c r="M1058" s="620"/>
      <c r="N1058" s="620"/>
      <c r="O1058" s="620"/>
      <c r="P1058" s="620"/>
      <c r="Q1058" s="620"/>
      <c r="R1058" s="620"/>
      <c r="S1058" s="620"/>
      <c r="T1058" s="620"/>
      <c r="U1058" s="620"/>
    </row>
    <row r="1059">
      <c r="A1059" s="905"/>
      <c r="B1059" s="905"/>
      <c r="C1059" s="520"/>
      <c r="D1059" s="906"/>
      <c r="E1059" s="907"/>
      <c r="F1059" s="908"/>
      <c r="G1059" s="909"/>
      <c r="H1059" s="910"/>
      <c r="I1059" s="907"/>
      <c r="J1059" s="912"/>
      <c r="K1059" s="909"/>
      <c r="L1059" s="913"/>
      <c r="M1059" s="620"/>
      <c r="N1059" s="620"/>
      <c r="O1059" s="620"/>
      <c r="P1059" s="620"/>
      <c r="Q1059" s="620"/>
      <c r="R1059" s="620"/>
      <c r="S1059" s="620"/>
      <c r="T1059" s="620"/>
      <c r="U1059" s="620"/>
    </row>
    <row r="1060">
      <c r="A1060" s="905"/>
      <c r="B1060" s="905"/>
      <c r="C1060" s="520"/>
      <c r="D1060" s="906"/>
      <c r="E1060" s="907"/>
      <c r="F1060" s="908"/>
      <c r="G1060" s="909"/>
      <c r="H1060" s="910"/>
      <c r="I1060" s="907"/>
      <c r="J1060" s="912"/>
      <c r="K1060" s="909"/>
      <c r="L1060" s="913"/>
      <c r="M1060" s="620"/>
      <c r="N1060" s="620"/>
      <c r="O1060" s="620"/>
      <c r="P1060" s="620"/>
      <c r="Q1060" s="620"/>
      <c r="R1060" s="620"/>
      <c r="S1060" s="620"/>
      <c r="T1060" s="620"/>
      <c r="U1060" s="620"/>
    </row>
    <row r="1061">
      <c r="A1061" s="905"/>
      <c r="B1061" s="905"/>
      <c r="C1061" s="520"/>
      <c r="D1061" s="906"/>
      <c r="E1061" s="907"/>
      <c r="F1061" s="908"/>
      <c r="G1061" s="909"/>
      <c r="H1061" s="910"/>
      <c r="I1061" s="907"/>
      <c r="J1061" s="912"/>
      <c r="K1061" s="909"/>
      <c r="L1061" s="913"/>
      <c r="M1061" s="620"/>
      <c r="N1061" s="620"/>
      <c r="O1061" s="620"/>
      <c r="P1061" s="620"/>
      <c r="Q1061" s="620"/>
      <c r="R1061" s="620"/>
      <c r="S1061" s="620"/>
      <c r="T1061" s="620"/>
      <c r="U1061" s="620"/>
    </row>
    <row r="1062">
      <c r="A1062" s="905"/>
      <c r="B1062" s="905"/>
      <c r="C1062" s="520"/>
      <c r="D1062" s="906"/>
      <c r="E1062" s="907"/>
      <c r="F1062" s="908"/>
      <c r="G1062" s="909"/>
      <c r="H1062" s="910"/>
      <c r="I1062" s="907"/>
      <c r="J1062" s="912"/>
      <c r="K1062" s="909"/>
      <c r="L1062" s="913"/>
      <c r="M1062" s="620"/>
      <c r="N1062" s="620"/>
      <c r="O1062" s="620"/>
      <c r="P1062" s="620"/>
      <c r="Q1062" s="620"/>
      <c r="R1062" s="620"/>
      <c r="S1062" s="620"/>
      <c r="T1062" s="620"/>
      <c r="U1062" s="620"/>
    </row>
    <row r="1063">
      <c r="A1063" s="905"/>
      <c r="B1063" s="905"/>
      <c r="C1063" s="520"/>
      <c r="D1063" s="906"/>
      <c r="E1063" s="907"/>
      <c r="F1063" s="908"/>
      <c r="G1063" s="909"/>
      <c r="H1063" s="910"/>
      <c r="I1063" s="907"/>
      <c r="J1063" s="912"/>
      <c r="K1063" s="909"/>
      <c r="L1063" s="913"/>
      <c r="M1063" s="620"/>
      <c r="N1063" s="620"/>
      <c r="O1063" s="620"/>
      <c r="P1063" s="620"/>
      <c r="Q1063" s="620"/>
      <c r="R1063" s="620"/>
      <c r="S1063" s="620"/>
      <c r="T1063" s="620"/>
      <c r="U1063" s="620"/>
    </row>
    <row r="1064">
      <c r="A1064" s="905"/>
      <c r="B1064" s="905"/>
      <c r="C1064" s="520"/>
      <c r="D1064" s="906"/>
      <c r="E1064" s="907"/>
      <c r="F1064" s="908"/>
      <c r="G1064" s="909"/>
      <c r="H1064" s="910"/>
      <c r="I1064" s="907"/>
      <c r="J1064" s="912"/>
      <c r="K1064" s="909"/>
      <c r="L1064" s="913"/>
      <c r="M1064" s="620"/>
      <c r="N1064" s="620"/>
      <c r="O1064" s="620"/>
      <c r="P1064" s="620"/>
      <c r="Q1064" s="620"/>
      <c r="R1064" s="620"/>
      <c r="S1064" s="620"/>
      <c r="T1064" s="620"/>
      <c r="U1064" s="620"/>
    </row>
    <row r="1065">
      <c r="A1065" s="905"/>
      <c r="B1065" s="905"/>
      <c r="C1065" s="520"/>
      <c r="D1065" s="906"/>
      <c r="E1065" s="907"/>
      <c r="F1065" s="908"/>
      <c r="G1065" s="909"/>
      <c r="H1065" s="910"/>
      <c r="I1065" s="907"/>
      <c r="J1065" s="912"/>
      <c r="K1065" s="909"/>
      <c r="L1065" s="913"/>
      <c r="M1065" s="620"/>
      <c r="N1065" s="620"/>
      <c r="O1065" s="620"/>
      <c r="P1065" s="620"/>
      <c r="Q1065" s="620"/>
      <c r="R1065" s="620"/>
      <c r="S1065" s="620"/>
      <c r="T1065" s="620"/>
      <c r="U1065" s="620"/>
    </row>
    <row r="1066">
      <c r="A1066" s="905"/>
      <c r="B1066" s="905"/>
      <c r="C1066" s="520"/>
      <c r="D1066" s="906"/>
      <c r="E1066" s="907"/>
      <c r="F1066" s="908"/>
      <c r="G1066" s="909"/>
      <c r="H1066" s="910"/>
      <c r="I1066" s="907"/>
      <c r="J1066" s="912"/>
      <c r="K1066" s="909"/>
      <c r="L1066" s="913"/>
      <c r="M1066" s="620"/>
      <c r="N1066" s="620"/>
      <c r="O1066" s="620"/>
      <c r="P1066" s="620"/>
      <c r="Q1066" s="620"/>
      <c r="R1066" s="620"/>
      <c r="S1066" s="620"/>
      <c r="T1066" s="620"/>
      <c r="U1066" s="620"/>
    </row>
    <row r="1067">
      <c r="A1067" s="905"/>
      <c r="B1067" s="905"/>
      <c r="C1067" s="520"/>
      <c r="D1067" s="906"/>
      <c r="E1067" s="907"/>
      <c r="F1067" s="908"/>
      <c r="G1067" s="909"/>
      <c r="H1067" s="910"/>
      <c r="I1067" s="907"/>
      <c r="J1067" s="912"/>
      <c r="K1067" s="909"/>
      <c r="L1067" s="913"/>
      <c r="M1067" s="620"/>
      <c r="N1067" s="620"/>
      <c r="O1067" s="620"/>
      <c r="P1067" s="620"/>
      <c r="Q1067" s="620"/>
      <c r="R1067" s="620"/>
      <c r="S1067" s="620"/>
      <c r="T1067" s="620"/>
      <c r="U1067" s="620"/>
    </row>
    <row r="1068">
      <c r="A1068" s="905"/>
      <c r="B1068" s="905"/>
      <c r="C1068" s="520"/>
      <c r="D1068" s="906"/>
      <c r="E1068" s="907"/>
      <c r="F1068" s="908"/>
      <c r="G1068" s="909"/>
      <c r="H1068" s="910"/>
      <c r="I1068" s="907"/>
      <c r="J1068" s="912"/>
      <c r="K1068" s="909"/>
      <c r="L1068" s="913"/>
      <c r="M1068" s="620"/>
      <c r="N1068" s="620"/>
      <c r="O1068" s="620"/>
      <c r="P1068" s="620"/>
      <c r="Q1068" s="620"/>
      <c r="R1068" s="620"/>
      <c r="S1068" s="620"/>
      <c r="T1068" s="620"/>
      <c r="U1068" s="620"/>
    </row>
    <row r="1069">
      <c r="A1069" s="905"/>
      <c r="B1069" s="905"/>
      <c r="C1069" s="520"/>
      <c r="D1069" s="906"/>
      <c r="E1069" s="907"/>
      <c r="F1069" s="908"/>
      <c r="G1069" s="909"/>
      <c r="H1069" s="910"/>
      <c r="I1069" s="907"/>
      <c r="J1069" s="912"/>
      <c r="K1069" s="909"/>
      <c r="L1069" s="913"/>
      <c r="M1069" s="620"/>
      <c r="N1069" s="620"/>
      <c r="O1069" s="620"/>
      <c r="P1069" s="620"/>
      <c r="Q1069" s="620"/>
      <c r="R1069" s="620"/>
      <c r="S1069" s="620"/>
      <c r="T1069" s="620"/>
      <c r="U1069" s="620"/>
    </row>
    <row r="1070">
      <c r="A1070" s="905"/>
      <c r="B1070" s="905"/>
      <c r="C1070" s="520"/>
      <c r="D1070" s="906"/>
      <c r="E1070" s="907"/>
      <c r="F1070" s="908"/>
      <c r="G1070" s="909"/>
      <c r="H1070" s="910"/>
      <c r="I1070" s="907"/>
      <c r="J1070" s="912"/>
      <c r="K1070" s="909"/>
      <c r="L1070" s="913"/>
      <c r="M1070" s="620"/>
      <c r="N1070" s="620"/>
      <c r="O1070" s="620"/>
      <c r="P1070" s="620"/>
      <c r="Q1070" s="620"/>
      <c r="R1070" s="620"/>
      <c r="S1070" s="620"/>
      <c r="T1070" s="620"/>
      <c r="U1070" s="620"/>
    </row>
    <row r="1071">
      <c r="A1071" s="905"/>
      <c r="B1071" s="905"/>
      <c r="C1071" s="520"/>
      <c r="D1071" s="906"/>
      <c r="E1071" s="907"/>
      <c r="F1071" s="908"/>
      <c r="G1071" s="909"/>
      <c r="H1071" s="910"/>
      <c r="I1071" s="907"/>
      <c r="J1071" s="912"/>
      <c r="K1071" s="909"/>
      <c r="L1071" s="913"/>
      <c r="M1071" s="620"/>
      <c r="N1071" s="620"/>
      <c r="O1071" s="620"/>
      <c r="P1071" s="620"/>
      <c r="Q1071" s="620"/>
      <c r="R1071" s="620"/>
      <c r="S1071" s="620"/>
      <c r="T1071" s="620"/>
      <c r="U1071" s="620"/>
    </row>
    <row r="1072">
      <c r="A1072" s="905"/>
      <c r="B1072" s="905"/>
      <c r="C1072" s="520"/>
      <c r="D1072" s="906"/>
      <c r="E1072" s="907"/>
      <c r="F1072" s="908"/>
      <c r="G1072" s="909"/>
      <c r="H1072" s="910"/>
      <c r="I1072" s="907"/>
      <c r="J1072" s="912"/>
      <c r="K1072" s="909"/>
      <c r="L1072" s="913"/>
      <c r="M1072" s="620"/>
      <c r="N1072" s="620"/>
      <c r="O1072" s="620"/>
      <c r="P1072" s="620"/>
      <c r="Q1072" s="620"/>
      <c r="R1072" s="620"/>
      <c r="S1072" s="620"/>
      <c r="T1072" s="620"/>
      <c r="U1072" s="620"/>
    </row>
    <row r="1073">
      <c r="A1073" s="905"/>
      <c r="B1073" s="905"/>
      <c r="C1073" s="520"/>
      <c r="D1073" s="906"/>
      <c r="E1073" s="907"/>
      <c r="F1073" s="908"/>
      <c r="G1073" s="909"/>
      <c r="H1073" s="910"/>
      <c r="I1073" s="907"/>
      <c r="J1073" s="912"/>
      <c r="K1073" s="909"/>
      <c r="L1073" s="913"/>
      <c r="M1073" s="620"/>
      <c r="N1073" s="620"/>
      <c r="O1073" s="620"/>
      <c r="P1073" s="620"/>
      <c r="Q1073" s="620"/>
      <c r="R1073" s="620"/>
      <c r="S1073" s="620"/>
      <c r="T1073" s="620"/>
      <c r="U1073" s="620"/>
    </row>
    <row r="1074">
      <c r="A1074" s="905"/>
      <c r="B1074" s="905"/>
      <c r="C1074" s="520"/>
      <c r="D1074" s="906"/>
      <c r="E1074" s="907"/>
      <c r="F1074" s="908"/>
      <c r="G1074" s="909"/>
      <c r="H1074" s="910"/>
      <c r="I1074" s="907"/>
      <c r="J1074" s="912"/>
      <c r="K1074" s="909"/>
      <c r="L1074" s="913"/>
      <c r="M1074" s="620"/>
      <c r="N1074" s="620"/>
      <c r="O1074" s="620"/>
      <c r="P1074" s="620"/>
      <c r="Q1074" s="620"/>
      <c r="R1074" s="620"/>
      <c r="S1074" s="620"/>
      <c r="T1074" s="620"/>
      <c r="U1074" s="620"/>
    </row>
    <row r="1075">
      <c r="A1075" s="905"/>
      <c r="B1075" s="905"/>
      <c r="C1075" s="520"/>
      <c r="D1075" s="906"/>
      <c r="E1075" s="907"/>
      <c r="F1075" s="908"/>
      <c r="G1075" s="909"/>
      <c r="H1075" s="910"/>
      <c r="I1075" s="907"/>
      <c r="J1075" s="912"/>
      <c r="K1075" s="909"/>
      <c r="L1075" s="913"/>
      <c r="M1075" s="620"/>
      <c r="N1075" s="620"/>
      <c r="O1075" s="620"/>
      <c r="P1075" s="620"/>
      <c r="Q1075" s="620"/>
      <c r="R1075" s="620"/>
      <c r="S1075" s="620"/>
      <c r="T1075" s="620"/>
      <c r="U1075" s="620"/>
    </row>
    <row r="1076">
      <c r="A1076" s="905"/>
      <c r="B1076" s="905"/>
      <c r="C1076" s="520"/>
      <c r="D1076" s="906"/>
      <c r="E1076" s="907"/>
      <c r="F1076" s="908"/>
      <c r="G1076" s="909"/>
      <c r="H1076" s="910"/>
      <c r="I1076" s="907"/>
      <c r="J1076" s="912"/>
      <c r="K1076" s="909"/>
      <c r="L1076" s="913"/>
      <c r="M1076" s="620"/>
      <c r="N1076" s="620"/>
      <c r="O1076" s="620"/>
      <c r="P1076" s="620"/>
      <c r="Q1076" s="620"/>
      <c r="R1076" s="620"/>
      <c r="S1076" s="620"/>
      <c r="T1076" s="620"/>
      <c r="U1076" s="620"/>
    </row>
    <row r="1077">
      <c r="A1077" s="905"/>
      <c r="B1077" s="905"/>
      <c r="C1077" s="520"/>
      <c r="D1077" s="906"/>
      <c r="E1077" s="907"/>
      <c r="F1077" s="908"/>
      <c r="G1077" s="909"/>
      <c r="H1077" s="910"/>
      <c r="I1077" s="907"/>
      <c r="J1077" s="912"/>
      <c r="K1077" s="909"/>
      <c r="L1077" s="913"/>
      <c r="M1077" s="620"/>
      <c r="N1077" s="620"/>
      <c r="O1077" s="620"/>
      <c r="P1077" s="620"/>
      <c r="Q1077" s="620"/>
      <c r="R1077" s="620"/>
      <c r="S1077" s="620"/>
      <c r="T1077" s="620"/>
      <c r="U1077" s="620"/>
    </row>
    <row r="1078">
      <c r="A1078" s="905"/>
      <c r="B1078" s="905"/>
      <c r="C1078" s="520"/>
      <c r="D1078" s="906"/>
      <c r="E1078" s="907"/>
      <c r="F1078" s="908"/>
      <c r="G1078" s="909"/>
      <c r="H1078" s="910"/>
      <c r="I1078" s="907"/>
      <c r="J1078" s="912"/>
      <c r="K1078" s="909"/>
      <c r="L1078" s="913"/>
      <c r="M1078" s="620"/>
      <c r="N1078" s="620"/>
      <c r="O1078" s="620"/>
      <c r="P1078" s="620"/>
      <c r="Q1078" s="620"/>
      <c r="R1078" s="620"/>
      <c r="S1078" s="620"/>
      <c r="T1078" s="620"/>
      <c r="U1078" s="620"/>
    </row>
    <row r="1079">
      <c r="A1079" s="905"/>
      <c r="B1079" s="905"/>
      <c r="C1079" s="520"/>
      <c r="D1079" s="906"/>
      <c r="E1079" s="907"/>
      <c r="F1079" s="908"/>
      <c r="G1079" s="909"/>
      <c r="H1079" s="910"/>
      <c r="I1079" s="907"/>
      <c r="J1079" s="912"/>
      <c r="K1079" s="909"/>
      <c r="L1079" s="913"/>
      <c r="M1079" s="620"/>
      <c r="N1079" s="620"/>
      <c r="O1079" s="620"/>
      <c r="P1079" s="620"/>
      <c r="Q1079" s="620"/>
      <c r="R1079" s="620"/>
      <c r="S1079" s="620"/>
      <c r="T1079" s="620"/>
      <c r="U1079" s="620"/>
    </row>
    <row r="1080">
      <c r="A1080" s="905"/>
      <c r="B1080" s="905"/>
      <c r="C1080" s="520"/>
      <c r="D1080" s="906"/>
      <c r="E1080" s="907"/>
      <c r="F1080" s="908"/>
      <c r="G1080" s="909"/>
      <c r="H1080" s="910"/>
      <c r="I1080" s="907"/>
      <c r="J1080" s="912"/>
      <c r="K1080" s="909"/>
      <c r="L1080" s="913"/>
      <c r="M1080" s="620"/>
      <c r="N1080" s="620"/>
      <c r="O1080" s="620"/>
      <c r="P1080" s="620"/>
      <c r="Q1080" s="620"/>
      <c r="R1080" s="620"/>
      <c r="S1080" s="620"/>
      <c r="T1080" s="620"/>
      <c r="U1080" s="620"/>
    </row>
    <row r="1081">
      <c r="A1081" s="905"/>
      <c r="B1081" s="905"/>
      <c r="C1081" s="520"/>
      <c r="D1081" s="906"/>
      <c r="E1081" s="907"/>
      <c r="F1081" s="908"/>
      <c r="G1081" s="909"/>
      <c r="H1081" s="910"/>
      <c r="I1081" s="907"/>
      <c r="J1081" s="912"/>
      <c r="K1081" s="909"/>
      <c r="L1081" s="913"/>
      <c r="M1081" s="620"/>
      <c r="N1081" s="620"/>
      <c r="O1081" s="620"/>
      <c r="P1081" s="620"/>
      <c r="Q1081" s="620"/>
      <c r="R1081" s="620"/>
      <c r="S1081" s="620"/>
      <c r="T1081" s="620"/>
      <c r="U1081" s="620"/>
    </row>
    <row r="1082">
      <c r="A1082" s="905"/>
      <c r="B1082" s="905"/>
      <c r="C1082" s="520"/>
      <c r="D1082" s="906"/>
      <c r="E1082" s="907"/>
      <c r="F1082" s="908"/>
      <c r="G1082" s="909"/>
      <c r="H1082" s="910"/>
      <c r="I1082" s="907"/>
      <c r="J1082" s="912"/>
      <c r="K1082" s="909"/>
      <c r="L1082" s="913"/>
      <c r="M1082" s="620"/>
      <c r="N1082" s="620"/>
      <c r="O1082" s="620"/>
      <c r="P1082" s="620"/>
      <c r="Q1082" s="620"/>
      <c r="R1082" s="620"/>
      <c r="S1082" s="620"/>
      <c r="T1082" s="620"/>
      <c r="U1082" s="620"/>
    </row>
    <row r="1083">
      <c r="A1083" s="905"/>
      <c r="B1083" s="905"/>
      <c r="C1083" s="520"/>
      <c r="D1083" s="906"/>
      <c r="E1083" s="907"/>
      <c r="F1083" s="908"/>
      <c r="G1083" s="909"/>
      <c r="H1083" s="910"/>
      <c r="I1083" s="907"/>
      <c r="J1083" s="912"/>
      <c r="K1083" s="909"/>
      <c r="L1083" s="913"/>
      <c r="M1083" s="620"/>
      <c r="N1083" s="620"/>
      <c r="O1083" s="620"/>
      <c r="P1083" s="620"/>
      <c r="Q1083" s="620"/>
      <c r="R1083" s="620"/>
      <c r="S1083" s="620"/>
      <c r="T1083" s="620"/>
      <c r="U1083" s="620"/>
    </row>
    <row r="1084">
      <c r="A1084" s="905"/>
      <c r="B1084" s="905"/>
      <c r="C1084" s="520"/>
      <c r="D1084" s="906"/>
      <c r="E1084" s="907"/>
      <c r="F1084" s="908"/>
      <c r="G1084" s="909"/>
      <c r="H1084" s="910"/>
      <c r="I1084" s="907"/>
      <c r="J1084" s="912"/>
      <c r="K1084" s="909"/>
      <c r="L1084" s="913"/>
      <c r="M1084" s="620"/>
      <c r="N1084" s="620"/>
      <c r="O1084" s="620"/>
      <c r="P1084" s="620"/>
      <c r="Q1084" s="620"/>
      <c r="R1084" s="620"/>
      <c r="S1084" s="620"/>
      <c r="T1084" s="620"/>
      <c r="U1084" s="620"/>
    </row>
    <row r="1085">
      <c r="A1085" s="905"/>
      <c r="B1085" s="905"/>
      <c r="C1085" s="520"/>
      <c r="D1085" s="906"/>
      <c r="E1085" s="907"/>
      <c r="F1085" s="908"/>
      <c r="G1085" s="909"/>
      <c r="H1085" s="910"/>
      <c r="I1085" s="907"/>
      <c r="J1085" s="912"/>
      <c r="K1085" s="909"/>
      <c r="L1085" s="913"/>
      <c r="M1085" s="620"/>
      <c r="N1085" s="620"/>
      <c r="O1085" s="620"/>
      <c r="P1085" s="620"/>
      <c r="Q1085" s="620"/>
      <c r="R1085" s="620"/>
      <c r="S1085" s="620"/>
      <c r="T1085" s="620"/>
      <c r="U1085" s="620"/>
    </row>
    <row r="1086">
      <c r="A1086" s="905"/>
      <c r="B1086" s="905"/>
      <c r="C1086" s="520"/>
      <c r="D1086" s="906"/>
      <c r="E1086" s="907"/>
      <c r="F1086" s="908"/>
      <c r="G1086" s="909"/>
      <c r="H1086" s="910"/>
      <c r="I1086" s="907"/>
      <c r="J1086" s="912"/>
      <c r="K1086" s="909"/>
      <c r="L1086" s="913"/>
      <c r="M1086" s="620"/>
      <c r="N1086" s="620"/>
      <c r="O1086" s="620"/>
      <c r="P1086" s="620"/>
      <c r="Q1086" s="620"/>
      <c r="R1086" s="620"/>
      <c r="S1086" s="620"/>
      <c r="T1086" s="620"/>
      <c r="U1086" s="620"/>
    </row>
    <row r="1087">
      <c r="A1087" s="905"/>
      <c r="B1087" s="905"/>
      <c r="C1087" s="520"/>
      <c r="D1087" s="906"/>
      <c r="E1087" s="907"/>
      <c r="F1087" s="908"/>
      <c r="G1087" s="909"/>
      <c r="H1087" s="910"/>
      <c r="I1087" s="907"/>
      <c r="J1087" s="912"/>
      <c r="K1087" s="909"/>
      <c r="L1087" s="913"/>
      <c r="M1087" s="620"/>
      <c r="N1087" s="620"/>
      <c r="O1087" s="620"/>
      <c r="P1087" s="620"/>
      <c r="Q1087" s="620"/>
      <c r="R1087" s="620"/>
      <c r="S1087" s="620"/>
      <c r="T1087" s="620"/>
      <c r="U1087" s="620"/>
    </row>
    <row r="1088">
      <c r="A1088" s="905"/>
      <c r="B1088" s="905"/>
      <c r="C1088" s="520"/>
      <c r="D1088" s="906"/>
      <c r="E1088" s="907"/>
      <c r="F1088" s="908"/>
      <c r="G1088" s="909"/>
      <c r="H1088" s="910"/>
      <c r="I1088" s="907"/>
      <c r="J1088" s="912"/>
      <c r="K1088" s="909"/>
      <c r="L1088" s="913"/>
      <c r="M1088" s="620"/>
      <c r="N1088" s="620"/>
      <c r="O1088" s="620"/>
      <c r="P1088" s="620"/>
      <c r="Q1088" s="620"/>
      <c r="R1088" s="620"/>
      <c r="S1088" s="620"/>
      <c r="T1088" s="620"/>
      <c r="U1088" s="620"/>
    </row>
    <row r="1089">
      <c r="A1089" s="905"/>
      <c r="B1089" s="905"/>
      <c r="C1089" s="520"/>
      <c r="D1089" s="906"/>
      <c r="E1089" s="907"/>
      <c r="F1089" s="908"/>
      <c r="G1089" s="909"/>
      <c r="H1089" s="910"/>
      <c r="I1089" s="907"/>
      <c r="J1089" s="912"/>
      <c r="K1089" s="909"/>
      <c r="L1089" s="913"/>
      <c r="M1089" s="620"/>
      <c r="N1089" s="620"/>
      <c r="O1089" s="620"/>
      <c r="P1089" s="620"/>
      <c r="Q1089" s="620"/>
      <c r="R1089" s="620"/>
      <c r="S1089" s="620"/>
      <c r="T1089" s="620"/>
      <c r="U1089" s="620"/>
    </row>
    <row r="1090">
      <c r="A1090" s="905"/>
      <c r="B1090" s="905"/>
      <c r="C1090" s="520"/>
      <c r="D1090" s="906"/>
      <c r="E1090" s="907"/>
      <c r="F1090" s="908"/>
      <c r="G1090" s="909"/>
      <c r="H1090" s="910"/>
      <c r="I1090" s="907"/>
      <c r="J1090" s="912"/>
      <c r="K1090" s="909"/>
      <c r="L1090" s="913"/>
      <c r="M1090" s="620"/>
      <c r="N1090" s="620"/>
      <c r="O1090" s="620"/>
      <c r="P1090" s="620"/>
      <c r="Q1090" s="620"/>
      <c r="R1090" s="620"/>
      <c r="S1090" s="620"/>
      <c r="T1090" s="620"/>
      <c r="U1090" s="620"/>
    </row>
    <row r="1091">
      <c r="A1091" s="905"/>
      <c r="B1091" s="905"/>
      <c r="C1091" s="520"/>
      <c r="D1091" s="906"/>
      <c r="E1091" s="907"/>
      <c r="F1091" s="908"/>
      <c r="G1091" s="909"/>
      <c r="H1091" s="910"/>
      <c r="I1091" s="907"/>
      <c r="J1091" s="912"/>
      <c r="K1091" s="909"/>
      <c r="L1091" s="913"/>
      <c r="M1091" s="620"/>
      <c r="N1091" s="620"/>
      <c r="O1091" s="620"/>
      <c r="P1091" s="620"/>
      <c r="Q1091" s="620"/>
      <c r="R1091" s="620"/>
      <c r="S1091" s="620"/>
      <c r="T1091" s="620"/>
      <c r="U1091" s="620"/>
    </row>
    <row r="1092">
      <c r="A1092" s="905"/>
      <c r="B1092" s="905"/>
      <c r="C1092" s="520"/>
      <c r="D1092" s="906"/>
      <c r="E1092" s="907"/>
      <c r="F1092" s="908"/>
      <c r="G1092" s="909"/>
      <c r="H1092" s="910"/>
      <c r="I1092" s="907"/>
      <c r="J1092" s="912"/>
      <c r="K1092" s="909"/>
      <c r="L1092" s="913"/>
      <c r="M1092" s="620"/>
      <c r="N1092" s="620"/>
      <c r="O1092" s="620"/>
      <c r="P1092" s="620"/>
      <c r="Q1092" s="620"/>
      <c r="R1092" s="620"/>
      <c r="S1092" s="620"/>
      <c r="T1092" s="620"/>
      <c r="U1092" s="620"/>
    </row>
    <row r="1093">
      <c r="A1093" s="905"/>
      <c r="B1093" s="905"/>
      <c r="C1093" s="520"/>
      <c r="D1093" s="906"/>
      <c r="E1093" s="907"/>
      <c r="F1093" s="908"/>
      <c r="G1093" s="909"/>
      <c r="H1093" s="910"/>
      <c r="I1093" s="907"/>
      <c r="J1093" s="912"/>
      <c r="K1093" s="909"/>
      <c r="L1093" s="913"/>
      <c r="M1093" s="620"/>
      <c r="N1093" s="620"/>
      <c r="O1093" s="620"/>
      <c r="P1093" s="620"/>
      <c r="Q1093" s="620"/>
      <c r="R1093" s="620"/>
      <c r="S1093" s="620"/>
      <c r="T1093" s="620"/>
      <c r="U1093" s="620"/>
    </row>
    <row r="1094">
      <c r="A1094" s="905"/>
      <c r="B1094" s="905"/>
      <c r="C1094" s="520"/>
      <c r="D1094" s="906"/>
      <c r="E1094" s="907"/>
      <c r="F1094" s="908"/>
      <c r="G1094" s="909"/>
      <c r="H1094" s="910"/>
      <c r="I1094" s="907"/>
      <c r="J1094" s="912"/>
      <c r="K1094" s="909"/>
      <c r="L1094" s="913"/>
      <c r="M1094" s="620"/>
      <c r="N1094" s="620"/>
      <c r="O1094" s="620"/>
      <c r="P1094" s="620"/>
      <c r="Q1094" s="620"/>
      <c r="R1094" s="620"/>
      <c r="S1094" s="620"/>
      <c r="T1094" s="620"/>
      <c r="U1094" s="620"/>
    </row>
    <row r="1095">
      <c r="A1095" s="905"/>
      <c r="B1095" s="905"/>
      <c r="C1095" s="520"/>
      <c r="D1095" s="906"/>
      <c r="E1095" s="907"/>
      <c r="F1095" s="908"/>
      <c r="G1095" s="909"/>
      <c r="H1095" s="910"/>
      <c r="I1095" s="907"/>
      <c r="J1095" s="912"/>
      <c r="K1095" s="909"/>
      <c r="L1095" s="913"/>
      <c r="M1095" s="620"/>
      <c r="N1095" s="620"/>
      <c r="O1095" s="620"/>
      <c r="P1095" s="620"/>
      <c r="Q1095" s="620"/>
      <c r="R1095" s="620"/>
      <c r="S1095" s="620"/>
      <c r="T1095" s="620"/>
      <c r="U1095" s="620"/>
    </row>
    <row r="1096">
      <c r="A1096" s="905"/>
      <c r="B1096" s="905"/>
      <c r="C1096" s="520"/>
      <c r="D1096" s="906"/>
      <c r="E1096" s="907"/>
      <c r="F1096" s="908"/>
      <c r="G1096" s="909"/>
      <c r="H1096" s="910"/>
      <c r="I1096" s="907"/>
      <c r="J1096" s="912"/>
      <c r="K1096" s="909"/>
      <c r="L1096" s="913"/>
      <c r="M1096" s="620"/>
      <c r="N1096" s="620"/>
      <c r="O1096" s="620"/>
      <c r="P1096" s="620"/>
      <c r="Q1096" s="620"/>
      <c r="R1096" s="620"/>
      <c r="S1096" s="620"/>
      <c r="T1096" s="620"/>
      <c r="U1096" s="620"/>
    </row>
    <row r="1097">
      <c r="A1097" s="905"/>
      <c r="B1097" s="905"/>
      <c r="C1097" s="520"/>
      <c r="D1097" s="906"/>
      <c r="E1097" s="907"/>
      <c r="F1097" s="908"/>
      <c r="G1097" s="909"/>
      <c r="H1097" s="910"/>
      <c r="I1097" s="907"/>
      <c r="J1097" s="912"/>
      <c r="K1097" s="909"/>
      <c r="L1097" s="913"/>
      <c r="M1097" s="620"/>
      <c r="N1097" s="620"/>
      <c r="O1097" s="620"/>
      <c r="P1097" s="620"/>
      <c r="Q1097" s="620"/>
      <c r="R1097" s="620"/>
      <c r="S1097" s="620"/>
      <c r="T1097" s="620"/>
      <c r="U1097" s="620"/>
    </row>
    <row r="1098">
      <c r="A1098" s="905"/>
      <c r="B1098" s="905"/>
      <c r="C1098" s="520"/>
      <c r="D1098" s="906"/>
      <c r="E1098" s="907"/>
      <c r="F1098" s="908"/>
      <c r="G1098" s="909"/>
      <c r="H1098" s="910"/>
      <c r="I1098" s="907"/>
      <c r="J1098" s="912"/>
      <c r="K1098" s="909"/>
      <c r="L1098" s="913"/>
      <c r="M1098" s="620"/>
      <c r="N1098" s="620"/>
      <c r="O1098" s="620"/>
      <c r="P1098" s="620"/>
      <c r="Q1098" s="620"/>
      <c r="R1098" s="620"/>
      <c r="S1098" s="620"/>
      <c r="T1098" s="620"/>
      <c r="U1098" s="620"/>
    </row>
    <row r="1099">
      <c r="A1099" s="905"/>
      <c r="B1099" s="905"/>
      <c r="C1099" s="520"/>
      <c r="D1099" s="906"/>
      <c r="E1099" s="907"/>
      <c r="F1099" s="908"/>
      <c r="G1099" s="909"/>
      <c r="H1099" s="910"/>
      <c r="I1099" s="907"/>
      <c r="J1099" s="912"/>
      <c r="K1099" s="909"/>
      <c r="L1099" s="913"/>
      <c r="M1099" s="620"/>
      <c r="N1099" s="620"/>
      <c r="O1099" s="620"/>
      <c r="P1099" s="620"/>
      <c r="Q1099" s="620"/>
      <c r="R1099" s="620"/>
      <c r="S1099" s="620"/>
      <c r="T1099" s="620"/>
      <c r="U1099" s="620"/>
    </row>
    <row r="1100">
      <c r="A1100" s="905"/>
      <c r="B1100" s="905"/>
      <c r="C1100" s="520"/>
      <c r="D1100" s="906"/>
      <c r="E1100" s="907"/>
      <c r="F1100" s="908"/>
      <c r="G1100" s="909"/>
      <c r="H1100" s="910"/>
      <c r="I1100" s="907"/>
      <c r="J1100" s="912"/>
      <c r="K1100" s="909"/>
      <c r="L1100" s="913"/>
      <c r="M1100" s="620"/>
      <c r="N1100" s="620"/>
      <c r="O1100" s="620"/>
      <c r="P1100" s="620"/>
      <c r="Q1100" s="620"/>
      <c r="R1100" s="620"/>
      <c r="S1100" s="620"/>
      <c r="T1100" s="620"/>
      <c r="U1100" s="620"/>
    </row>
    <row r="1101">
      <c r="A1101" s="905"/>
      <c r="B1101" s="905"/>
      <c r="C1101" s="520"/>
      <c r="D1101" s="906"/>
      <c r="E1101" s="907"/>
      <c r="F1101" s="908"/>
      <c r="G1101" s="909"/>
      <c r="H1101" s="910"/>
      <c r="I1101" s="907"/>
      <c r="J1101" s="912"/>
      <c r="K1101" s="909"/>
      <c r="L1101" s="913"/>
      <c r="M1101" s="620"/>
      <c r="N1101" s="620"/>
      <c r="O1101" s="620"/>
      <c r="P1101" s="620"/>
      <c r="Q1101" s="620"/>
      <c r="R1101" s="620"/>
      <c r="S1101" s="620"/>
      <c r="T1101" s="620"/>
      <c r="U1101" s="620"/>
    </row>
    <row r="1102">
      <c r="A1102" s="905"/>
      <c r="B1102" s="905"/>
      <c r="C1102" s="520"/>
      <c r="D1102" s="906"/>
      <c r="E1102" s="907"/>
      <c r="F1102" s="908"/>
      <c r="G1102" s="909"/>
      <c r="H1102" s="910"/>
      <c r="I1102" s="907"/>
      <c r="J1102" s="912"/>
      <c r="K1102" s="909"/>
      <c r="L1102" s="913"/>
      <c r="M1102" s="620"/>
      <c r="N1102" s="620"/>
      <c r="O1102" s="620"/>
      <c r="P1102" s="620"/>
      <c r="Q1102" s="620"/>
      <c r="R1102" s="620"/>
      <c r="S1102" s="620"/>
      <c r="T1102" s="620"/>
      <c r="U1102" s="620"/>
    </row>
    <row r="1103">
      <c r="A1103" s="905"/>
      <c r="B1103" s="905"/>
      <c r="C1103" s="520"/>
      <c r="D1103" s="906"/>
      <c r="E1103" s="907"/>
      <c r="F1103" s="908"/>
      <c r="G1103" s="909"/>
      <c r="H1103" s="910"/>
      <c r="I1103" s="907"/>
      <c r="J1103" s="912"/>
      <c r="K1103" s="909"/>
      <c r="L1103" s="913"/>
      <c r="M1103" s="620"/>
      <c r="N1103" s="620"/>
      <c r="O1103" s="620"/>
      <c r="P1103" s="620"/>
      <c r="Q1103" s="620"/>
      <c r="R1103" s="620"/>
      <c r="S1103" s="620"/>
      <c r="T1103" s="620"/>
      <c r="U1103" s="620"/>
    </row>
    <row r="1104">
      <c r="A1104" s="905"/>
      <c r="B1104" s="905"/>
      <c r="C1104" s="520"/>
      <c r="D1104" s="906"/>
      <c r="E1104" s="907"/>
      <c r="F1104" s="908"/>
      <c r="G1104" s="909"/>
      <c r="H1104" s="910"/>
      <c r="I1104" s="907"/>
      <c r="J1104" s="912"/>
      <c r="K1104" s="909"/>
      <c r="L1104" s="913"/>
      <c r="M1104" s="620"/>
      <c r="N1104" s="620"/>
      <c r="O1104" s="620"/>
      <c r="P1104" s="620"/>
      <c r="Q1104" s="620"/>
      <c r="R1104" s="620"/>
      <c r="S1104" s="620"/>
      <c r="T1104" s="620"/>
      <c r="U1104" s="620"/>
    </row>
    <row r="1105">
      <c r="A1105" s="905"/>
      <c r="B1105" s="905"/>
      <c r="C1105" s="520"/>
      <c r="D1105" s="906"/>
      <c r="E1105" s="907"/>
      <c r="F1105" s="908"/>
      <c r="G1105" s="909"/>
      <c r="H1105" s="910"/>
      <c r="I1105" s="907"/>
      <c r="J1105" s="912"/>
      <c r="K1105" s="909"/>
      <c r="L1105" s="913"/>
      <c r="M1105" s="620"/>
      <c r="N1105" s="620"/>
      <c r="O1105" s="620"/>
      <c r="P1105" s="620"/>
      <c r="Q1105" s="620"/>
      <c r="R1105" s="620"/>
      <c r="S1105" s="620"/>
      <c r="T1105" s="620"/>
      <c r="U1105" s="620"/>
    </row>
    <row r="1106">
      <c r="A1106" s="905"/>
      <c r="B1106" s="905"/>
      <c r="C1106" s="520"/>
      <c r="D1106" s="906"/>
      <c r="E1106" s="907"/>
      <c r="F1106" s="908"/>
      <c r="G1106" s="909"/>
      <c r="H1106" s="910"/>
      <c r="I1106" s="907"/>
      <c r="J1106" s="912"/>
      <c r="K1106" s="909"/>
      <c r="L1106" s="913"/>
      <c r="M1106" s="620"/>
      <c r="N1106" s="620"/>
      <c r="O1106" s="620"/>
      <c r="P1106" s="620"/>
      <c r="Q1106" s="620"/>
      <c r="R1106" s="620"/>
      <c r="S1106" s="620"/>
      <c r="T1106" s="620"/>
      <c r="U1106" s="620"/>
    </row>
    <row r="1107">
      <c r="A1107" s="905"/>
      <c r="B1107" s="905"/>
      <c r="C1107" s="520"/>
      <c r="D1107" s="906"/>
      <c r="E1107" s="907"/>
      <c r="F1107" s="908"/>
      <c r="G1107" s="909"/>
      <c r="H1107" s="910"/>
      <c r="I1107" s="907"/>
      <c r="J1107" s="912"/>
      <c r="K1107" s="909"/>
      <c r="L1107" s="913"/>
      <c r="M1107" s="620"/>
      <c r="N1107" s="620"/>
      <c r="O1107" s="620"/>
      <c r="P1107" s="620"/>
      <c r="Q1107" s="620"/>
      <c r="R1107" s="620"/>
      <c r="S1107" s="620"/>
      <c r="T1107" s="620"/>
      <c r="U1107" s="620"/>
    </row>
    <row r="1108">
      <c r="A1108" s="905"/>
      <c r="B1108" s="905"/>
      <c r="C1108" s="520"/>
      <c r="D1108" s="906"/>
      <c r="E1108" s="907"/>
      <c r="F1108" s="908"/>
      <c r="G1108" s="909"/>
      <c r="H1108" s="910"/>
      <c r="I1108" s="907"/>
      <c r="J1108" s="912"/>
      <c r="K1108" s="909"/>
      <c r="L1108" s="913"/>
      <c r="M1108" s="620"/>
      <c r="N1108" s="620"/>
      <c r="O1108" s="620"/>
      <c r="P1108" s="620"/>
      <c r="Q1108" s="620"/>
      <c r="R1108" s="620"/>
      <c r="S1108" s="620"/>
      <c r="T1108" s="620"/>
      <c r="U1108" s="620"/>
    </row>
    <row r="1109">
      <c r="A1109" s="905"/>
      <c r="B1109" s="905"/>
      <c r="C1109" s="520"/>
      <c r="D1109" s="906"/>
      <c r="E1109" s="907"/>
      <c r="F1109" s="908"/>
      <c r="G1109" s="909"/>
      <c r="H1109" s="910"/>
      <c r="I1109" s="907"/>
      <c r="J1109" s="912"/>
      <c r="K1109" s="909"/>
      <c r="L1109" s="913"/>
      <c r="M1109" s="620"/>
      <c r="N1109" s="620"/>
      <c r="O1109" s="620"/>
      <c r="P1109" s="620"/>
      <c r="Q1109" s="620"/>
      <c r="R1109" s="620"/>
      <c r="S1109" s="620"/>
      <c r="T1109" s="620"/>
      <c r="U1109" s="620"/>
    </row>
    <row r="1110">
      <c r="A1110" s="905"/>
      <c r="B1110" s="905"/>
      <c r="C1110" s="520"/>
      <c r="D1110" s="906"/>
      <c r="E1110" s="907"/>
      <c r="F1110" s="908"/>
      <c r="G1110" s="909"/>
      <c r="H1110" s="910"/>
      <c r="I1110" s="907"/>
      <c r="J1110" s="912"/>
      <c r="K1110" s="909"/>
      <c r="L1110" s="913"/>
      <c r="M1110" s="620"/>
      <c r="N1110" s="620"/>
      <c r="O1110" s="620"/>
      <c r="P1110" s="620"/>
      <c r="Q1110" s="620"/>
      <c r="R1110" s="620"/>
      <c r="S1110" s="620"/>
      <c r="T1110" s="620"/>
      <c r="U1110" s="620"/>
    </row>
    <row r="1111">
      <c r="A1111" s="905"/>
      <c r="B1111" s="905"/>
      <c r="C1111" s="520"/>
      <c r="D1111" s="906"/>
      <c r="E1111" s="907"/>
      <c r="F1111" s="908"/>
      <c r="G1111" s="909"/>
      <c r="H1111" s="910"/>
      <c r="I1111" s="907"/>
      <c r="J1111" s="912"/>
      <c r="K1111" s="909"/>
      <c r="L1111" s="913"/>
      <c r="M1111" s="620"/>
      <c r="N1111" s="620"/>
      <c r="O1111" s="620"/>
      <c r="P1111" s="620"/>
      <c r="Q1111" s="620"/>
      <c r="R1111" s="620"/>
      <c r="S1111" s="620"/>
      <c r="T1111" s="620"/>
      <c r="U1111" s="620"/>
    </row>
  </sheetData>
  <autoFilter ref="$A$1:$U$1111">
    <sortState ref="A1:U1111">
      <sortCondition ref="A1:A1111"/>
      <sortCondition ref="J1:J1111"/>
    </sortState>
  </autoFilter>
  <customSheetViews>
    <customSheetView guid="{5E5A1074-1036-4B66-89EC-3D40ACE4342C}" filter="1" showAutoFilter="1">
      <autoFilter ref="$A$1:$U$1111">
        <sortState ref="A1:U1111">
          <sortCondition ref="A1:A1111"/>
        </sortState>
      </autoFilter>
      <extLst>
        <ext uri="GoogleSheetsCustomDataVersion1">
          <go:sheetsCustomData xmlns:go="http://customooxmlschemas.google.com/" filterViewId="1588175331"/>
        </ext>
      </extLst>
    </customSheetView>
  </customSheetViews>
  <hyperlinks>
    <hyperlink r:id="rId1" ref="A1"/>
    <hyperlink r:id="rId2" ref="K2"/>
    <hyperlink r:id="rId3" ref="K3"/>
    <hyperlink r:id="rId4" ref="K4"/>
    <hyperlink r:id="rId5" ref="K5"/>
    <hyperlink r:id="rId6" ref="K6"/>
    <hyperlink r:id="rId7" ref="K7"/>
    <hyperlink r:id="rId8" ref="K8"/>
    <hyperlink r:id="rId9" ref="K9"/>
    <hyperlink r:id="rId10" ref="K10"/>
    <hyperlink r:id="rId11" ref="K11"/>
    <hyperlink r:id="rId12" ref="K12"/>
    <hyperlink r:id="rId13" ref="K13"/>
    <hyperlink r:id="rId14" ref="K14"/>
    <hyperlink r:id="rId15" ref="K15"/>
    <hyperlink r:id="rId16" ref="K16"/>
    <hyperlink r:id="rId17" ref="K17"/>
    <hyperlink r:id="rId18" ref="K18"/>
    <hyperlink r:id="rId19" ref="K19"/>
    <hyperlink r:id="rId20" ref="K21"/>
    <hyperlink r:id="rId21" ref="K22"/>
    <hyperlink r:id="rId22" ref="K23"/>
    <hyperlink r:id="rId23" ref="K24"/>
    <hyperlink r:id="rId24" ref="K25"/>
    <hyperlink r:id="rId25" ref="K26"/>
    <hyperlink r:id="rId26" ref="K27"/>
    <hyperlink r:id="rId27" ref="K28"/>
    <hyperlink r:id="rId28" ref="K29"/>
    <hyperlink r:id="rId29" ref="K31"/>
    <hyperlink r:id="rId30" ref="K32"/>
    <hyperlink r:id="rId31" ref="K33"/>
    <hyperlink r:id="rId32" ref="K34"/>
    <hyperlink r:id="rId33" location="slide=id.p8" ref="K35"/>
    <hyperlink r:id="rId34" ref="K36"/>
    <hyperlink r:id="rId35" ref="K37"/>
    <hyperlink r:id="rId36" ref="K38"/>
    <hyperlink r:id="rId37" ref="K41"/>
    <hyperlink r:id="rId38" ref="K42"/>
    <hyperlink r:id="rId39" ref="K43"/>
    <hyperlink r:id="rId40" ref="K44"/>
    <hyperlink r:id="rId41" ref="K45"/>
    <hyperlink r:id="rId42" ref="K46"/>
    <hyperlink r:id="rId43" ref="K47"/>
    <hyperlink r:id="rId44" ref="K48"/>
    <hyperlink r:id="rId45" ref="K50"/>
    <hyperlink r:id="rId46" ref="K51"/>
    <hyperlink r:id="rId47" ref="K52"/>
    <hyperlink r:id="rId48" ref="K53"/>
    <hyperlink r:id="rId49" ref="K54"/>
    <hyperlink r:id="rId50" ref="K55"/>
    <hyperlink r:id="rId51" ref="K56"/>
    <hyperlink r:id="rId52" ref="K57"/>
    <hyperlink r:id="rId53" ref="K58"/>
    <hyperlink r:id="rId54" ref="K59"/>
    <hyperlink r:id="rId55" ref="K60"/>
    <hyperlink r:id="rId56" ref="K61"/>
    <hyperlink r:id="rId57" ref="K62"/>
    <hyperlink r:id="rId58" ref="K63"/>
    <hyperlink r:id="rId59" ref="K64"/>
    <hyperlink r:id="rId60" ref="K65"/>
    <hyperlink r:id="rId61" ref="K66"/>
    <hyperlink r:id="rId62" ref="K67"/>
    <hyperlink r:id="rId63" ref="K68"/>
    <hyperlink r:id="rId64" ref="K69"/>
    <hyperlink r:id="rId65" ref="K70"/>
    <hyperlink r:id="rId66" ref="K71"/>
    <hyperlink r:id="rId67" ref="K72"/>
    <hyperlink r:id="rId68" ref="K74"/>
    <hyperlink r:id="rId69" ref="K75"/>
    <hyperlink r:id="rId70" ref="K76"/>
    <hyperlink r:id="rId71" ref="K77"/>
    <hyperlink r:id="rId72" ref="K78"/>
    <hyperlink r:id="rId73" ref="K79"/>
    <hyperlink r:id="rId74" ref="K80"/>
    <hyperlink r:id="rId75" ref="K81"/>
    <hyperlink r:id="rId76" ref="K82"/>
    <hyperlink r:id="rId77" ref="K84"/>
    <hyperlink r:id="rId78" ref="K85"/>
    <hyperlink r:id="rId79" ref="K86"/>
    <hyperlink r:id="rId80" ref="K87"/>
    <hyperlink r:id="rId81" ref="K88"/>
    <hyperlink r:id="rId82" ref="K89"/>
    <hyperlink r:id="rId83" ref="K90"/>
    <hyperlink r:id="rId84" ref="K91"/>
    <hyperlink r:id="rId85" ref="K92"/>
    <hyperlink r:id="rId86" ref="K93"/>
    <hyperlink r:id="rId87" ref="K94"/>
    <hyperlink r:id="rId88" ref="K95"/>
    <hyperlink r:id="rId89" ref="K96"/>
    <hyperlink r:id="rId90" ref="K98"/>
    <hyperlink r:id="rId91" ref="K99"/>
    <hyperlink r:id="rId92" ref="K100"/>
    <hyperlink r:id="rId93" ref="K101"/>
    <hyperlink r:id="rId94" ref="K102"/>
    <hyperlink r:id="rId95" ref="K103"/>
    <hyperlink r:id="rId96" ref="K104"/>
    <hyperlink r:id="rId97" ref="K105"/>
    <hyperlink r:id="rId98" ref="K106"/>
    <hyperlink r:id="rId99" ref="K107"/>
    <hyperlink r:id="rId100" ref="K108"/>
    <hyperlink r:id="rId101" ref="K109"/>
    <hyperlink r:id="rId102" ref="K110"/>
    <hyperlink r:id="rId103" ref="K112"/>
    <hyperlink r:id="rId104" ref="K115"/>
    <hyperlink r:id="rId105" ref="K116"/>
    <hyperlink r:id="rId106" ref="K118"/>
    <hyperlink r:id="rId107" ref="K120"/>
    <hyperlink r:id="rId108" ref="K121"/>
    <hyperlink r:id="rId109" ref="K122"/>
    <hyperlink r:id="rId110" ref="K123"/>
    <hyperlink r:id="rId111" ref="K124"/>
    <hyperlink r:id="rId112" ref="K125"/>
    <hyperlink r:id="rId113" ref="K126"/>
    <hyperlink r:id="rId114" ref="K127"/>
    <hyperlink r:id="rId115" ref="K128"/>
    <hyperlink r:id="rId116" ref="K129"/>
    <hyperlink r:id="rId117" ref="K130"/>
    <hyperlink r:id="rId118" ref="K131"/>
    <hyperlink r:id="rId119" ref="K132"/>
    <hyperlink r:id="rId120" ref="K133"/>
    <hyperlink r:id="rId121" ref="K134"/>
    <hyperlink r:id="rId122" ref="K135"/>
    <hyperlink r:id="rId123" ref="K136"/>
    <hyperlink r:id="rId124" ref="K137"/>
    <hyperlink r:id="rId125" ref="K138"/>
    <hyperlink r:id="rId126" ref="K139"/>
    <hyperlink r:id="rId127" ref="K140"/>
    <hyperlink r:id="rId128" ref="K141"/>
    <hyperlink r:id="rId129" ref="K142"/>
    <hyperlink r:id="rId130" ref="K143"/>
    <hyperlink r:id="rId131" ref="K144"/>
    <hyperlink r:id="rId132" ref="K145"/>
    <hyperlink r:id="rId133" ref="K146"/>
    <hyperlink r:id="rId134" ref="K147"/>
    <hyperlink r:id="rId135" ref="K148"/>
  </hyperlinks>
  <printOptions gridLines="1" horizontalCentered="1"/>
  <pageMargins bottom="0.75" footer="0.0" header="0.0" left="0.7" right="0.7" top="0.75"/>
  <pageSetup fitToHeight="0" cellComments="atEnd" orientation="landscape" pageOrder="overThenDown"/>
  <drawing r:id="rId13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